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ThisWorkbook"/>
  <mc:AlternateContent xmlns:mc="http://schemas.openxmlformats.org/markup-compatibility/2006">
    <mc:Choice Requires="x15">
      <x15ac:absPath xmlns:x15ac="http://schemas.microsoft.com/office/spreadsheetml/2010/11/ac" url="D:\Bureau\MIF ESSEC\Research Method for finance\"/>
    </mc:Choice>
  </mc:AlternateContent>
  <xr:revisionPtr revIDLastSave="0" documentId="13_ncr:1_{76A37DDD-7F81-42A1-980D-CF73E1A46273}" xr6:coauthVersionLast="47" xr6:coauthVersionMax="47" xr10:uidLastSave="{00000000-0000-0000-0000-000000000000}"/>
  <bookViews>
    <workbookView xWindow="-98" yWindow="-98" windowWidth="19095" windowHeight="12075" tabRatio="878" firstSheet="1" activeTab="1" xr2:uid="{00000000-000D-0000-FFFF-FFFF00000000}"/>
  </bookViews>
  <sheets>
    <sheet name="_CIQHiddenCacheSheet" sheetId="54" state="veryHidden" r:id="rId1"/>
    <sheet name="Key Stats" sheetId="11" r:id="rId2"/>
    <sheet name="Language Index" sheetId="15" state="hidden" r:id="rId3"/>
  </sheets>
  <functionGroups builtInGroupCount="19"/>
  <externalReferences>
    <externalReference r:id="rId4"/>
    <externalReference r:id="rId5"/>
    <externalReference r:id="rId6"/>
  </externalReferences>
  <definedNames>
    <definedName name="_xlnm._FilterDatabase" localSheetId="2" hidden="1">'Language Index'!$M$7:$N$1027</definedName>
    <definedName name="CIQWBGuid" hidden="1">"3f747863-15b1-4c8e-822c-b7505b362b7e"</definedName>
    <definedName name="CIQWBInfo" hidden="1">"{ ""CIQVersion"":""9.52.4409.4666"" }"</definedName>
    <definedName name="IQ_ADDIN" hidden="1">"AUTO"</definedName>
    <definedName name="IQ_ANNUAL_DIVIDEND" hidden="1">"c229"</definedName>
    <definedName name="IQ_AVG_PRICE_TARGET" hidden="1">"c82"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STDDEV_EST_REUT" hidden="1">"c5408"</definedName>
    <definedName name="IQ_BV_STDDEV_EST_THOM" hidden="1">"c5152"</definedName>
    <definedName name="IQ_CH">110000</definedName>
    <definedName name="IQ_CLASSB_OUTSTANDING_BS_DATE" hidden="1">"c1972"</definedName>
    <definedName name="IQ_CLASSB_OUTSTANDING_FILING_DATE" hidden="1">"c1974"</definedName>
    <definedName name="IQ_CONV_RATE" hidden="1">"c2192"</definedName>
    <definedName name="IQ_CQ">5000</definedName>
    <definedName name="IQ_CY">10000</definedName>
    <definedName name="IQ_DAILY">500000</definedName>
    <definedName name="IQ_DNTM" hidden="1">700000</definedName>
    <definedName name="IQ_EBIT_10K" hidden="1">"IQ_EBIT_10K"</definedName>
    <definedName name="IQ_EBIT_10Q" hidden="1">"IQ_EBIT_10Q"</definedName>
    <definedName name="IQ_EBIT_10Q1" hidden="1">"IQ_EBIT_10Q1"</definedName>
    <definedName name="IQ_EBIT_GROWTH_1" hidden="1">"c157"</definedName>
    <definedName name="IQ_EBIT_GROWTH_2" hidden="1">"c161"</definedName>
    <definedName name="IQ_EBITDA_10K" hidden="1">"IQ_EBITDA_10K"</definedName>
    <definedName name="IQ_EBITDA_10Q" hidden="1">"IQ_EBITDA_10Q"</definedName>
    <definedName name="IQ_EBITDA_10Q1" hidden="1">"IQ_EBITDA_10Q1"</definedName>
    <definedName name="IQ_EBITDA_GROWTH_1" hidden="1">"c156"</definedName>
    <definedName name="IQ_EBITDA_GROWTH_2" hidden="1">"c160"</definedName>
    <definedName name="IQ_EPS" hidden="1">"IQ_EPS"</definedName>
    <definedName name="IQ_EPS_10K" hidden="1">"IQ_EPS_10K"</definedName>
    <definedName name="IQ_EPS_10Q" hidden="1">"IQ_EPS_10Q"</definedName>
    <definedName name="IQ_EPS_10Q1" hidden="1">"IQ_EPS_10Q1"</definedName>
    <definedName name="IQ_EPS_EST_1" hidden="1">"c189"</definedName>
    <definedName name="IQ_EST_ACT_BV_REUT" hidden="1">"c5409"</definedName>
    <definedName name="IQ_EST_ACT_BV_THOM" hidden="1">"c5153"</definedName>
    <definedName name="IQ_EST_ACT_NI_GW_THOM" hidden="1">"c5139"</definedName>
    <definedName name="IQ_EST_BV_DIFF_CIQ" hidden="1">"c4765"</definedName>
    <definedName name="IQ_EST_BV_DIFF_REUT" hidden="1">"c5433"</definedName>
    <definedName name="IQ_EST_BV_DIFF_THOM" hidden="1">"c5204"</definedName>
    <definedName name="IQ_EST_BV_SURPRISE_PERCENT_CIQ" hidden="1">"c4766"</definedName>
    <definedName name="IQ_EST_BV_SURPRISE_PERCENT_REUT" hidden="1">"c5434"</definedName>
    <definedName name="IQ_EST_BV_SURPRISE_PERCENT_THOM" hidden="1">"c5205"</definedName>
    <definedName name="IQ_EST_EPS_SURPRISE" hidden="1">"c1635"</definedName>
    <definedName name="IQ_EST_NI_GW_DIFF_THOM" hidden="1">"c5200"</definedName>
    <definedName name="IQ_EST_NI_GW_SURPRISE_PERCENT_THOM" hidden="1">"c5201"</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V_OVER_REVENUE_EST" hidden="1">"c165"</definedName>
    <definedName name="IQ_EV_OVER_REVENUE_EST_1" hidden="1">"c166"</definedName>
    <definedName name="IQ_EXPENSE_CODE_" hidden="1">"test"</definedName>
    <definedName name="IQ_FH">100000</definedName>
    <definedName name="IQ_FHLB_DUE_AFTER_FIVE" hidden="1">"c2086"</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VE_PERCENT_AMOUNT" hidden="1">"c240"</definedName>
    <definedName name="IQ_FIVEPERCENT_OWNER" hidden="1">"c239"</definedName>
    <definedName name="IQ_FLOAT">"c225"</definedName>
    <definedName name="IQ_FQ">500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Y">1000</definedName>
    <definedName name="IQ_FY_DATE" hidden="1">"IQ_FY_DATE"</definedName>
    <definedName name="IQ_INSIDER_3MTH_BOUGHT" hidden="1">"c1534"</definedName>
    <definedName name="IQ_INSIDER_3MTH_NET" hidden="1">"c1535"</definedName>
    <definedName name="IQ_INSIDER_3MTH_SOLD" hidden="1">"c1533"</definedName>
    <definedName name="IQ_INSIDER_6MTH_BOUGHT" hidden="1">"c1537"</definedName>
    <definedName name="IQ_INSIDER_6MTH_NET" hidden="1">"c1538"</definedName>
    <definedName name="IQ_INSIDER_6MTH_SOLD" hidden="1">"c1536"</definedName>
    <definedName name="IQ_INSIDER_AMOUNT" hidden="1">"c238"</definedName>
    <definedName name="IQ_INSTITUTIONAL_AMOUNT" hidden="1">"c236"</definedName>
    <definedName name="IQ_INTEREST_INC_10K" hidden="1">"IQ_INTEREST_INC_10K"</definedName>
    <definedName name="IQ_INTEREST_INC_10Q" hidden="1">"IQ_INTEREST_INC_10Q"</definedName>
    <definedName name="IQ_INTEREST_INC_10Q1" hidden="1">"IQ_INTEREST_INC_10Q1"</definedName>
    <definedName name="IQ_LAST_EBIT_MARGIN" hidden="1">"c151"</definedName>
    <definedName name="IQ_LAST_EBITDA_MARGIN" hidden="1">"c150"</definedName>
    <definedName name="IQ_LAST_GROSS_MARGIN" hidden="1">"c149"</definedName>
    <definedName name="IQ_LAST_NET_INC_MARGIN" hidden="1">"c152"</definedName>
    <definedName name="IQ_LATEST" hidden="1">"1"</definedName>
    <definedName name="IQ_LATESTK" hidden="1">1000</definedName>
    <definedName name="IQ_LATESTKFR" hidden="1">"100"</definedName>
    <definedName name="IQ_LATESTQ" hidden="1">500</definedName>
    <definedName name="IQ_LATESTQFR" hidden="1">"50"</definedName>
    <definedName name="IQ_LTM">2000</definedName>
    <definedName name="IQ_LTM_DATE" hidden="1">"IQ_LTM_DATE"</definedName>
    <definedName name="IQ_LTMMONTH" hidden="1">120000</definedName>
    <definedName name="IQ_MONTH">15000</definedName>
    <definedName name="IQ_MTD" hidden="1">800000</definedName>
    <definedName name="IQ_NAMES_REVISION_DATE_" hidden="1">"10/19/2025 13:57:02"</definedName>
    <definedName name="IQ_NAV_ACT_OR_EST" hidden="1">"c2225"</definedName>
    <definedName name="IQ_NET_INC_10K" hidden="1">"IQ_NET_INC_10K"</definedName>
    <definedName name="IQ_NET_INC_10Q" hidden="1">"IQ_NET_INC_10Q"</definedName>
    <definedName name="IQ_NET_INC_10Q1" hidden="1">"IQ_NET_INC_10Q1"</definedName>
    <definedName name="IQ_NET_INC_GROWTH_1" hidden="1">"c158"</definedName>
    <definedName name="IQ_NET_INC_GROWTH_2" hidden="1">"c162"</definedName>
    <definedName name="IQ_NI_GW_EST_THOM" hidden="1">"c5133"</definedName>
    <definedName name="IQ_NI_GW_HIGH_EST_THOM" hidden="1">"c5135"</definedName>
    <definedName name="IQ_NI_GW_LOW_EST_THOM" hidden="1">"c5136"</definedName>
    <definedName name="IQ_NI_GW_MEDIAN_EST_THOM" hidden="1">"c5134"</definedName>
    <definedName name="IQ_NI_GW_NUM_EST_THOM" hidden="1">"c5137"</definedName>
    <definedName name="IQ_NI_GW_STDDEV_EST_THOM" hidden="1">"c5138"</definedName>
    <definedName name="IQ_NTM">6000</definedName>
    <definedName name="IQ_NUM_OFFICES" hidden="1">"c2088"</definedName>
    <definedName name="IQ_NUMBER_SHAREHOLDERS_CLASSB" hidden="1">"c1969"</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OTHER_ADJ" hidden="1">"c1999"</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TOTAL_OIL_PRODUCTON" hidden="1">"c2059"</definedName>
    <definedName name="IQ_OPENED55" hidden="1">1</definedName>
    <definedName name="IQ_OPTIONS_EXCERCISED" hidden="1">"c2116"</definedName>
    <definedName name="IQ_OUTSTANDING_FILING_DATE_TOTAL" hidden="1">"c2107"</definedName>
    <definedName name="IQ_PERCENT_FLOAT" hidden="1">"c227"</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ICE_OVER_EPS_EST" hidden="1">"c174"</definedName>
    <definedName name="IQ_PRICE_OVER_EPS_EST_1" hidden="1">"c175"</definedName>
    <definedName name="IQ_PRICEDATETIME" hidden="1">"IQ_PRICEDATETIME"</definedName>
    <definedName name="IQ_PRIMARY_EPS_TYPE_THOM" hidden="1">"c5297"</definedName>
    <definedName name="IQ_QTD" hidden="1">750000</definedName>
    <definedName name="IQ_REVENUE_10K" hidden="1">"IQ_REVENUE_10K"</definedName>
    <definedName name="IQ_REVENUE_10Q" hidden="1">"IQ_REVENUE_10Q"</definedName>
    <definedName name="IQ_REVENUE_10Q1" hidden="1">"IQ_REVENUE_10Q1"</definedName>
    <definedName name="IQ_REVENUE_EST_1" hidden="1">"c190"</definedName>
    <definedName name="IQ_REVENUE_GROWTH_1" hidden="1">"c155"</definedName>
    <definedName name="IQ_REVENUE_GROWTH_2" hidden="1">"c159"</definedName>
    <definedName name="IQ_SHAREOUTSTANDING" hidden="1">"c1347"</definedName>
    <definedName name="IQ_SHORT_INTEREST_VOLUME" hidden="1">"c228"</definedName>
    <definedName name="IQ_TARGET_PRICE_LASTCLOSE" hidden="1">"c1855"</definedName>
    <definedName name="IQ_TODAY" hidden="1">0</definedName>
    <definedName name="IQ_TOTAL_PENSION_OBLIGATION" hidden="1">"c1292"</definedName>
    <definedName name="IQ_WEEK">50000</definedName>
    <definedName name="IQ_YTD">3000</definedName>
    <definedName name="IQ_YTDMONTH" hidden="1">130000</definedName>
    <definedName name="IQRA13" hidden="1">"$A$14:$A$113"</definedName>
    <definedName name="IQRA14" hidden="1">"$A$15:$A$114"</definedName>
    <definedName name="IQRAA14" hidden="1">"$AA$15:$AA$114"</definedName>
    <definedName name="IQRB13" hidden="1">"$B$14:$B$113"</definedName>
    <definedName name="IQRB14" hidden="1">"$B$15:$B$114"</definedName>
    <definedName name="IQRCapitalStructureDetailsJ3" hidden="1">#REF!</definedName>
    <definedName name="IQRCapitalStructureDetailsJ4" hidden="1">#REF!</definedName>
    <definedName name="IQRCapitalStructureDetailsR34" hidden="1">#REF!</definedName>
    <definedName name="IQRCapitalStructureDetailsR4" hidden="1">#REF!</definedName>
    <definedName name="IQRCapitalStructureDetailsR5" hidden="1">#REF!</definedName>
    <definedName name="IQRCapitalStructureDetailsR63" hidden="1">#REF!</definedName>
    <definedName name="IQRCapitalStructureDetailsU34" hidden="1">#REF!</definedName>
    <definedName name="IQRCapitalStructureDetailsU5" hidden="1">#REF!</definedName>
    <definedName name="IQRCapitalStructureDetailsU63" hidden="1">#REF!</definedName>
    <definedName name="IQRCrossholdingsMH17" hidden="1">[1]Crossholdings!$MH$18:$MH$4993</definedName>
    <definedName name="IQRE14" hidden="1">"$E$15:$E$114"</definedName>
    <definedName name="IQRG14" hidden="1">"$G$15:$G$114"</definedName>
    <definedName name="IQRHistoricalOwnershipA14" hidden="1">#REF!</definedName>
    <definedName name="IQRHistoricalOwnershipAA14" hidden="1">#REF!</definedName>
    <definedName name="IQRHistoricalOwnershipB14" hidden="1">#REF!</definedName>
    <definedName name="IQRHistoricalOwnershipE14" hidden="1">#REF!</definedName>
    <definedName name="IQRHistoricalOwnershipG14" hidden="1">#REF!</definedName>
    <definedName name="IQRHistoricalOwnershipI14" hidden="1">#REF!</definedName>
    <definedName name="IQRHistoricalOwnershipK14" hidden="1">#REF!</definedName>
    <definedName name="IQRHistoricalOwnershipM14" hidden="1">#REF!</definedName>
    <definedName name="IQRHistoricalOwnershipO14" hidden="1">#REF!</definedName>
    <definedName name="IQRHistoricalOwnershipQ14" hidden="1">#REF!</definedName>
    <definedName name="IQRHistoricalOwnershipS14" hidden="1">#REF!</definedName>
    <definedName name="IQRHistoricalOwnershipU14" hidden="1">#REF!</definedName>
    <definedName name="IQRHistoricalOwnershipW14" hidden="1">#REF!</definedName>
    <definedName name="IQRHistoricalOwnershipY14" hidden="1">#REF!</definedName>
    <definedName name="IQRI14" hidden="1">"$I$15:$I$114"</definedName>
    <definedName name="IQRIndexPriceB7" hidden="1">'[2]Index Price'!$B$8:$B$262</definedName>
    <definedName name="IQRIndexPriceC7" hidden="1">'[2]Index Price'!$C$8:$C$262</definedName>
    <definedName name="IQRK14" hidden="1">"$K$15:$K$114"</definedName>
    <definedName name="IQRKeyStatsI10" hidden="1">'Key Stats'!$N$11:$N$13</definedName>
    <definedName name="IQRKeyStatsI100" hidden="1">'Key Stats'!$N$101</definedName>
    <definedName name="IQRKeyStatsI101" hidden="1">'Key Stats'!$N$102:$N$106</definedName>
    <definedName name="IQRKeyStatsI102" hidden="1">'Key Stats'!$N$103:$N$107</definedName>
    <definedName name="IQRKeyStatsI103" hidden="1">'Key Stats'!$N$104:$N$108</definedName>
    <definedName name="IQRKeyStatsI104" hidden="1">'Key Stats'!$N$105:$N$109</definedName>
    <definedName name="IQRKeyStatsI105" hidden="1">'Key Stats'!$N$106:$N$110</definedName>
    <definedName name="IQRKeyStatsI106" hidden="1">'Key Stats'!$N$107:$N$111</definedName>
    <definedName name="IQRKeyStatsI107" hidden="1">'Key Stats'!$N$108:$N$112</definedName>
    <definedName name="IQRKeyStatsI108" hidden="1">'Key Stats'!$N$109:$N$113</definedName>
    <definedName name="IQRKeyStatsI109" hidden="1">'Key Stats'!$N$110</definedName>
    <definedName name="IQRKeyStatsI11" hidden="1">'Key Stats'!$N$12:$N$16</definedName>
    <definedName name="IQRKeyStatsI110" hidden="1">'Key Stats'!$N$111:$N$115</definedName>
    <definedName name="IQRKeyStatsI111" hidden="1">'Key Stats'!$N$112:$N$116</definedName>
    <definedName name="IQRKeyStatsI112" hidden="1">'Key Stats'!$N$113:$N$117</definedName>
    <definedName name="IQRKeyStatsI113" hidden="1">'Key Stats'!$N$114</definedName>
    <definedName name="IQRKeyStatsI114" hidden="1">'Key Stats'!$N$115:$N$119</definedName>
    <definedName name="IQRKeyStatsI115" hidden="1">'Key Stats'!$N$116</definedName>
    <definedName name="IQRKeyStatsI116" hidden="1">'Key Stats'!$N$117:$N$121</definedName>
    <definedName name="IQRKeyStatsI117" hidden="1">'Key Stats'!$N$118</definedName>
    <definedName name="IQRKeyStatsI118" hidden="1">'Key Stats'!$N$119:$N$123</definedName>
    <definedName name="IQRKeyStatsI119" hidden="1">'Key Stats'!$N$120:$N$124</definedName>
    <definedName name="IQRKeyStatsI12" hidden="1">'Key Stats'!$N$13:$N$14</definedName>
    <definedName name="IQRKeyStatsI120" hidden="1">'Key Stats'!$N$121:$N$125</definedName>
    <definedName name="IQRKeyStatsI121" hidden="1">'Key Stats'!$N$122:$N$126</definedName>
    <definedName name="IQRKeyStatsI122" hidden="1">'Key Stats'!$N$123:$N$127</definedName>
    <definedName name="IQRKeyStatsI123" hidden="1">'Key Stats'!$N$124:$N$128</definedName>
    <definedName name="IQRKeyStatsI124" hidden="1">'Key Stats'!$N$125:$N$129</definedName>
    <definedName name="IQRKeyStatsI125" hidden="1">'Key Stats'!$N$126:$N$130</definedName>
    <definedName name="IQRKeyStatsI126" hidden="1">'Key Stats'!$N$127</definedName>
    <definedName name="IQRKeyStatsI127" hidden="1">'Key Stats'!$N$128</definedName>
    <definedName name="IQRKeyStatsI128" hidden="1">'Key Stats'!$N$129:$N$132</definedName>
    <definedName name="IQRKeyStatsI129" hidden="1">'Key Stats'!$N$130</definedName>
    <definedName name="IQRKeyStatsI13" hidden="1">'Key Stats'!$N$14</definedName>
    <definedName name="IQRKeyStatsI130" hidden="1">'Key Stats'!$N$131:$N$135</definedName>
    <definedName name="IQRKeyStatsI131" hidden="1">'Key Stats'!$N$132:$N$133</definedName>
    <definedName name="IQRKeyStatsI132" hidden="1">'Key Stats'!$N$133:$N$137</definedName>
    <definedName name="IQRKeyStatsI133" hidden="1">'Key Stats'!$N$134</definedName>
    <definedName name="IQRKeyStatsI134" hidden="1">'Key Stats'!$N$135:$N$139</definedName>
    <definedName name="IQRKeyStatsI135" hidden="1">'Key Stats'!$N$136:$N$138</definedName>
    <definedName name="IQRKeyStatsI136" hidden="1">'Key Stats'!$N$137:$N$140</definedName>
    <definedName name="IQRKeyStatsI138" hidden="1">'Key Stats'!$N$139</definedName>
    <definedName name="IQRKeyStatsI14" hidden="1">'Key Stats'!$N$15:$N$19</definedName>
    <definedName name="IQRKeyStatsI140" hidden="1">'Key Stats'!$N$141:$N$145</definedName>
    <definedName name="IQRKeyStatsI141" hidden="1">'Key Stats'!$N$142:$N$146</definedName>
    <definedName name="IQRKeyStatsI142" hidden="1">'Key Stats'!$N$143:$N$147</definedName>
    <definedName name="IQRKeyStatsI143" hidden="1">'Key Stats'!$N$144:$N$145</definedName>
    <definedName name="IQRKeyStatsI144" hidden="1">'Key Stats'!$N$145</definedName>
    <definedName name="IQRKeyStatsI145" hidden="1">'Key Stats'!$N$146:$N$150</definedName>
    <definedName name="IQRKeyStatsI146" hidden="1">'Key Stats'!$N$147:$N$151</definedName>
    <definedName name="IQRKeyStatsI147" hidden="1">'Key Stats'!$N$148</definedName>
    <definedName name="IQRKeyStatsI148" hidden="1">'Key Stats'!$N$149:$N$153</definedName>
    <definedName name="IQRKeyStatsI149" hidden="1">'Key Stats'!$N$150:$N$153</definedName>
    <definedName name="IQRKeyStatsI15" hidden="1">'Key Stats'!$N$16:$N$20</definedName>
    <definedName name="IQRKeyStatsI150" hidden="1">'Key Stats'!$N$151:$N$155</definedName>
    <definedName name="IQRKeyStatsI151" hidden="1">'Key Stats'!$N$152:$N$156</definedName>
    <definedName name="IQRKeyStatsI152" hidden="1">'Key Stats'!$N$153:$N$157</definedName>
    <definedName name="IQRKeyStatsI153" hidden="1">'Key Stats'!$N$154</definedName>
    <definedName name="IQRKeyStatsI154" hidden="1">'Key Stats'!$N$155:$N$159</definedName>
    <definedName name="IQRKeyStatsI155" hidden="1">'Key Stats'!$N$156:$N$160</definedName>
    <definedName name="IQRKeyStatsI156" hidden="1">'Key Stats'!$N$157:$N$161</definedName>
    <definedName name="IQRKeyStatsI157" hidden="1">'Key Stats'!$N$158:$N$162</definedName>
    <definedName name="IQRKeyStatsI158" hidden="1">'Key Stats'!$N$159:$N$163</definedName>
    <definedName name="IQRKeyStatsI159" hidden="1">'Key Stats'!$N$160:$N$164</definedName>
    <definedName name="IQRKeyStatsI16" hidden="1">'Key Stats'!$N$17:$N$21</definedName>
    <definedName name="IQRKeyStatsI160" hidden="1">'Key Stats'!$N$161:$N$165</definedName>
    <definedName name="IQRKeyStatsI161" hidden="1">'Key Stats'!$N$162:$N$166</definedName>
    <definedName name="IQRKeyStatsI162" hidden="1">'Key Stats'!$N$163:$N$167</definedName>
    <definedName name="IQRKeyStatsI163" hidden="1">'Key Stats'!$N$164:$N$168</definedName>
    <definedName name="IQRKeyStatsI164" hidden="1">'Key Stats'!$N$165:$N$169</definedName>
    <definedName name="IQRKeyStatsI165" hidden="1">'Key Stats'!$N$166</definedName>
    <definedName name="IQRKeyStatsI166" hidden="1">'Key Stats'!$N$167</definedName>
    <definedName name="IQRKeyStatsI168" hidden="1">'Key Stats'!$N$169:$N$173</definedName>
    <definedName name="IQRKeyStatsI169" hidden="1">'Key Stats'!$N$170:$N$174</definedName>
    <definedName name="IQRKeyStatsI17" hidden="1">'Key Stats'!$N$18:$N$22</definedName>
    <definedName name="IQRKeyStatsI170" hidden="1">'Key Stats'!$N$171:$N$175</definedName>
    <definedName name="IQRKeyStatsI171" hidden="1">'Key Stats'!$N$172:$N$176</definedName>
    <definedName name="IQRKeyStatsI172" hidden="1">'Key Stats'!$N$173:$N$177</definedName>
    <definedName name="IQRKeyStatsI173" hidden="1">'Key Stats'!$N$174:$N$178</definedName>
    <definedName name="IQRKeyStatsI174" hidden="1">'Key Stats'!$N$175:$N$179</definedName>
    <definedName name="IQRKeyStatsI175" hidden="1">'Key Stats'!$N$176</definedName>
    <definedName name="IQRKeyStatsI176" hidden="1">'Key Stats'!$N$177:$N$181</definedName>
    <definedName name="IQRKeyStatsI177" hidden="1">'Key Stats'!$N$178:$N$182</definedName>
    <definedName name="IQRKeyStatsI178" hidden="1">'Key Stats'!$N$179:$N$183</definedName>
    <definedName name="IQRKeyStatsI179" hidden="1">'Key Stats'!$N$180:$N$184</definedName>
    <definedName name="IQRKeyStatsI18" hidden="1">'Key Stats'!$N$19</definedName>
    <definedName name="IQRKeyStatsI180" hidden="1">'Key Stats'!$N$181:$N$185</definedName>
    <definedName name="IQRKeyStatsI181" hidden="1">'Key Stats'!$N$182</definedName>
    <definedName name="IQRKeyStatsI182" hidden="1">'Key Stats'!$N$183:$N$187</definedName>
    <definedName name="IQRKeyStatsI183" hidden="1">'Key Stats'!$N$184:$N$188</definedName>
    <definedName name="IQRKeyStatsI184" hidden="1">'Key Stats'!$N$185:$N$189</definedName>
    <definedName name="IQRKeyStatsI185" hidden="1">'Key Stats'!$N$186:$N$190</definedName>
    <definedName name="IQRKeyStatsI186" hidden="1">'Key Stats'!$N$187:$N$191</definedName>
    <definedName name="IQRKeyStatsI187" hidden="1">'Key Stats'!$N$188:$N$192</definedName>
    <definedName name="IQRKeyStatsI188" hidden="1">'Key Stats'!$N$189</definedName>
    <definedName name="IQRKeyStatsI189" hidden="1">'Key Stats'!$N$190</definedName>
    <definedName name="IQRKeyStatsI19" hidden="1">'Key Stats'!$N$20:$N$24</definedName>
    <definedName name="IQRKeyStatsI190" hidden="1">'Key Stats'!$N$191:$N$195</definedName>
    <definedName name="IQRKeyStatsI191" hidden="1">'Key Stats'!$N$192</definedName>
    <definedName name="IQRKeyStatsI192" hidden="1">'Key Stats'!$N$193:$N$197</definedName>
    <definedName name="IQRKeyStatsI193" hidden="1">'Key Stats'!$N$194:$N$198</definedName>
    <definedName name="IQRKeyStatsI194" hidden="1">'Key Stats'!$N$195:$N$199</definedName>
    <definedName name="IQRKeyStatsI195" hidden="1">'Key Stats'!$N$196:$N$200</definedName>
    <definedName name="IQRKeyStatsI196" hidden="1">'Key Stats'!$N$197</definedName>
    <definedName name="IQRKeyStatsI197" hidden="1">'Key Stats'!$N$198:$N$202</definedName>
    <definedName name="IQRKeyStatsI198" hidden="1">'Key Stats'!$N$199</definedName>
    <definedName name="IQRKeyStatsI199" hidden="1">'Key Stats'!$N$200</definedName>
    <definedName name="IQRKeyStatsI20" hidden="1">'Key Stats'!$N$21:$N$23</definedName>
    <definedName name="IQRKeyStatsI200" hidden="1">'Key Stats'!$N$201</definedName>
    <definedName name="IQRKeyStatsI201" hidden="1">'Key Stats'!$N$202</definedName>
    <definedName name="IQRKeyStatsI202" hidden="1">'Key Stats'!$N$203</definedName>
    <definedName name="IQRKeyStatsI203" hidden="1">'Key Stats'!$N$204:$N$208</definedName>
    <definedName name="IQRKeyStatsI204" hidden="1">'Key Stats'!$N$205:$N$209</definedName>
    <definedName name="IQRKeyStatsI205" hidden="1">'Key Stats'!$N$206</definedName>
    <definedName name="IQRKeyStatsI206" hidden="1">'Key Stats'!$N$207:$N$210</definedName>
    <definedName name="IQRKeyStatsI207" hidden="1">'Key Stats'!$N$208:$N$212</definedName>
    <definedName name="IQRKeyStatsI208" hidden="1">'Key Stats'!$N$209</definedName>
    <definedName name="IQRKeyStatsI209" hidden="1">'Key Stats'!$N$210:$N$214</definedName>
    <definedName name="IQRKeyStatsI21" hidden="1">'Key Stats'!$N$22</definedName>
    <definedName name="IQRKeyStatsI210" hidden="1">'Key Stats'!$N$211:$N$215</definedName>
    <definedName name="IQRKeyStatsI211" hidden="1">'Key Stats'!$N$212:$N$216</definedName>
    <definedName name="IQRKeyStatsI212" hidden="1">'Key Stats'!$N$213</definedName>
    <definedName name="IQRKeyStatsI213" hidden="1">'Key Stats'!$N$214</definedName>
    <definedName name="IQRKeyStatsI214" hidden="1">'Key Stats'!$N$215</definedName>
    <definedName name="IQRKeyStatsI215" hidden="1">'Key Stats'!$N$216</definedName>
    <definedName name="IQRKeyStatsI216" hidden="1">'Key Stats'!$N$217</definedName>
    <definedName name="IQRKeyStatsI217" hidden="1">'Key Stats'!$N$218:$N$222</definedName>
    <definedName name="IQRKeyStatsI218" hidden="1">'Key Stats'!$N$219:$N$223</definedName>
    <definedName name="IQRKeyStatsI219" hidden="1">'Key Stats'!$N$220</definedName>
    <definedName name="IQRKeyStatsI22" hidden="1">'Key Stats'!$N$23:$N$27</definedName>
    <definedName name="IQRKeyStatsI220" hidden="1">'Key Stats'!$N$221</definedName>
    <definedName name="IQRKeyStatsI221" hidden="1">'Key Stats'!$N$222:$N$226</definedName>
    <definedName name="IQRKeyStatsI222" hidden="1">'Key Stats'!$N$223:$N$227</definedName>
    <definedName name="IQRKeyStatsI223" hidden="1">'Key Stats'!$N$224:$N$227</definedName>
    <definedName name="IQRKeyStatsI224" hidden="1">'Key Stats'!$N$225:$N$229</definedName>
    <definedName name="IQRKeyStatsI225" hidden="1">'Key Stats'!$N$226:$N$230</definedName>
    <definedName name="IQRKeyStatsI226" hidden="1">'Key Stats'!$N$227</definedName>
    <definedName name="IQRKeyStatsI227" hidden="1">'Key Stats'!$N$228:$N$232</definedName>
    <definedName name="IQRKeyStatsI228" hidden="1">'Key Stats'!$N$229:$N$233</definedName>
    <definedName name="IQRKeyStatsI23" hidden="1">'Key Stats'!$N$24</definedName>
    <definedName name="IQRKeyStatsI231" hidden="1">'Key Stats'!$N$232</definedName>
    <definedName name="IQRKeyStatsI232" hidden="1">'Key Stats'!$N$233:$N$237</definedName>
    <definedName name="IQRKeyStatsI233" hidden="1">'Key Stats'!$N$234:$N$238</definedName>
    <definedName name="IQRKeyStatsI234" hidden="1">'Key Stats'!$N$235:$N$239</definedName>
    <definedName name="IQRKeyStatsI235" hidden="1">'Key Stats'!$N$236:$N$240</definedName>
    <definedName name="IQRKeyStatsI236" hidden="1">'Key Stats'!$N$237</definedName>
    <definedName name="IQRKeyStatsI237" hidden="1">'Key Stats'!$N$238:$N$242</definedName>
    <definedName name="IQRKeyStatsI238" hidden="1">'Key Stats'!$N$239:$N$243</definedName>
    <definedName name="IQRKeyStatsI239" hidden="1">'Key Stats'!$N$240:$N$244</definedName>
    <definedName name="IQRKeyStatsI24" hidden="1">'Key Stats'!$N$25:$N$29</definedName>
    <definedName name="IQRKeyStatsI240" hidden="1">'Key Stats'!$N$241:$N$245</definedName>
    <definedName name="IQRKeyStatsI241" hidden="1">'Key Stats'!$N$242:$N$246</definedName>
    <definedName name="IQRKeyStatsI242" hidden="1">'Key Stats'!$N$243</definedName>
    <definedName name="IQRKeyStatsI243" hidden="1">'Key Stats'!$N$244:$N$248</definedName>
    <definedName name="IQRKeyStatsI244" hidden="1">'Key Stats'!$N$245:$N$249</definedName>
    <definedName name="IQRKeyStatsI245" hidden="1">'Key Stats'!$N$246</definedName>
    <definedName name="IQRKeyStatsI246" hidden="1">'Key Stats'!$N$247</definedName>
    <definedName name="IQRKeyStatsI247" hidden="1">'Key Stats'!$N$248:$N$252</definedName>
    <definedName name="IQRKeyStatsI248" hidden="1">'Key Stats'!$N$249</definedName>
    <definedName name="IQRKeyStatsI249" hidden="1">'Key Stats'!$N$250</definedName>
    <definedName name="IQRKeyStatsI25" hidden="1">'Key Stats'!$N$26:$N$30</definedName>
    <definedName name="IQRKeyStatsI250" hidden="1">'Key Stats'!$N$251:$N$255</definedName>
    <definedName name="IQRKeyStatsI251" hidden="1">'Key Stats'!$N$252:$N$256</definedName>
    <definedName name="IQRKeyStatsI252" hidden="1">'Key Stats'!$N$253:$N$257</definedName>
    <definedName name="IQRKeyStatsI253" hidden="1">'Key Stats'!$N$254</definedName>
    <definedName name="IQRKeyStatsI254" hidden="1">'Key Stats'!$N$255:$N$259</definedName>
    <definedName name="IQRKeyStatsI255" hidden="1">'Key Stats'!$N$256</definedName>
    <definedName name="IQRKeyStatsI256" hidden="1">'Key Stats'!$N$257:$N$261</definedName>
    <definedName name="IQRKeyStatsI257" hidden="1">'Key Stats'!$N$258</definedName>
    <definedName name="IQRKeyStatsI258" hidden="1">'Key Stats'!$N$259</definedName>
    <definedName name="IQRKeyStatsI259" hidden="1">'Key Stats'!$N$260:$N$263</definedName>
    <definedName name="IQRKeyStatsI26" hidden="1">'Key Stats'!$N$27</definedName>
    <definedName name="IQRKeyStatsI260" hidden="1">'Key Stats'!$N$261:$N$262</definedName>
    <definedName name="IQRKeyStatsI261" hidden="1">'Key Stats'!$N$262:$N$263</definedName>
    <definedName name="IQRKeyStatsI262" hidden="1">'Key Stats'!$N$263:$N$267</definedName>
    <definedName name="IQRKeyStatsI263" hidden="1">'Key Stats'!$N$264:$N$268</definedName>
    <definedName name="IQRKeyStatsI264" hidden="1">'Key Stats'!$N$265:$N$269</definedName>
    <definedName name="IQRKeyStatsI265" hidden="1">'Key Stats'!$N$266:$N$270</definedName>
    <definedName name="IQRKeyStatsI266" hidden="1">'Key Stats'!$N$267</definedName>
    <definedName name="IQRKeyStatsI267" hidden="1">'Key Stats'!$N$268:$N$272</definedName>
    <definedName name="IQRKeyStatsI268" hidden="1">'Key Stats'!$N$269</definedName>
    <definedName name="IQRKeyStatsI269" hidden="1">'Key Stats'!$N$270</definedName>
    <definedName name="IQRKeyStatsI27" hidden="1">'Key Stats'!$N$28</definedName>
    <definedName name="IQRKeyStatsI270" hidden="1">'Key Stats'!$N$271</definedName>
    <definedName name="IQRKeyStatsI271" hidden="1">'Key Stats'!$N$272:$N$273</definedName>
    <definedName name="IQRKeyStatsI272" hidden="1">'Key Stats'!$N$273:$N$277</definedName>
    <definedName name="IQRKeyStatsI273" hidden="1">'Key Stats'!$N$274</definedName>
    <definedName name="IQRKeyStatsI274" hidden="1">'Key Stats'!$N$275:$N$279</definedName>
    <definedName name="IQRKeyStatsI275" hidden="1">'Key Stats'!$N$276</definedName>
    <definedName name="IQRKeyStatsI276" hidden="1">'Key Stats'!$N$277</definedName>
    <definedName name="IQRKeyStatsI277" hidden="1">'Key Stats'!$N$278:$N$282</definedName>
    <definedName name="IQRKeyStatsI278" hidden="1">'Key Stats'!$N$279:$N$283</definedName>
    <definedName name="IQRKeyStatsI279" hidden="1">'Key Stats'!$N$280:$N$284</definedName>
    <definedName name="IQRKeyStatsI28" hidden="1">'Key Stats'!$N$29:$N$33</definedName>
    <definedName name="IQRKeyStatsI280" hidden="1">'Key Stats'!$N$281:$N$285</definedName>
    <definedName name="IQRKeyStatsI281" hidden="1">'Key Stats'!$N$282:$N$286</definedName>
    <definedName name="IQRKeyStatsI282" hidden="1">'Key Stats'!$N$283:$N$287</definedName>
    <definedName name="IQRKeyStatsI283" hidden="1">'Key Stats'!$N$284</definedName>
    <definedName name="IQRKeyStatsI284" hidden="1">'Key Stats'!$N$285:$N$289</definedName>
    <definedName name="IQRKeyStatsI285" hidden="1">'Key Stats'!$N$286:$N$290</definedName>
    <definedName name="IQRKeyStatsI286" hidden="1">'Key Stats'!$N$287:$N$291</definedName>
    <definedName name="IQRKeyStatsI287" hidden="1">'Key Stats'!$N$288:$N$292</definedName>
    <definedName name="IQRKeyStatsI288" hidden="1">'Key Stats'!$N$289</definedName>
    <definedName name="IQRKeyStatsI289" hidden="1">'Key Stats'!$N$290:$N$294</definedName>
    <definedName name="IQRKeyStatsI29" hidden="1">'Key Stats'!$N$30</definedName>
    <definedName name="IQRKeyStatsI290" hidden="1">'Key Stats'!$N$291:$N$295</definedName>
    <definedName name="IQRKeyStatsI291" hidden="1">'Key Stats'!$N$292</definedName>
    <definedName name="IQRKeyStatsI292" hidden="1">'Key Stats'!$N$293:$N$297</definedName>
    <definedName name="IQRKeyStatsI293" hidden="1">'Key Stats'!$N$294:$N$298</definedName>
    <definedName name="IQRKeyStatsI294" hidden="1">'Key Stats'!$N$295:$N$299</definedName>
    <definedName name="IQRKeyStatsI295" hidden="1">'Key Stats'!$N$296:$N$300</definedName>
    <definedName name="IQRKeyStatsI296" hidden="1">'Key Stats'!$N$297</definedName>
    <definedName name="IQRKeyStatsI297" hidden="1">'Key Stats'!$N$298</definedName>
    <definedName name="IQRKeyStatsI298" hidden="1">'Key Stats'!$N$299</definedName>
    <definedName name="IQRKeyStatsI299" hidden="1">'Key Stats'!$N$300</definedName>
    <definedName name="IQRKeyStatsI30" hidden="1">'Key Stats'!$N$31:$N$35</definedName>
    <definedName name="IQRKeyStatsI300" hidden="1">'Key Stats'!$N$301</definedName>
    <definedName name="IQRKeyStatsI301" hidden="1">'Key Stats'!$N$302:$N$306</definedName>
    <definedName name="IQRKeyStatsI302" hidden="1">'Key Stats'!$N$303:$N$307</definedName>
    <definedName name="IQRKeyStatsI303" hidden="1">'Key Stats'!$N$304:$N$308</definedName>
    <definedName name="IQRKeyStatsI304" hidden="1">'Key Stats'!$N$305</definedName>
    <definedName name="IQRKeyStatsI305" hidden="1">'Key Stats'!$N$306:$N$310</definedName>
    <definedName name="IQRKeyStatsI307" hidden="1">'Key Stats'!$N$308:$N$312</definedName>
    <definedName name="IQRKeyStatsI308" hidden="1">'Key Stats'!$N$309:$N$313</definedName>
    <definedName name="IQRKeyStatsI309" hidden="1">'Key Stats'!$N$310</definedName>
    <definedName name="IQRKeyStatsI31" hidden="1">'Key Stats'!$N$32:$N$36</definedName>
    <definedName name="IQRKeyStatsI310" hidden="1">'Key Stats'!$N$311:$N$315</definedName>
    <definedName name="IQRKeyStatsI311" hidden="1">'Key Stats'!$N$312:$N$316</definedName>
    <definedName name="IQRKeyStatsI312" hidden="1">'Key Stats'!$N$313:$N$317</definedName>
    <definedName name="IQRKeyStatsI313" hidden="1">'Key Stats'!$N$314:$N$318</definedName>
    <definedName name="IQRKeyStatsI314" hidden="1">'Key Stats'!$N$315:$N$319</definedName>
    <definedName name="IQRKeyStatsI315" hidden="1">'Key Stats'!$N$316:$N$320</definedName>
    <definedName name="IQRKeyStatsI316" hidden="1">'Key Stats'!$N$317:$N$321</definedName>
    <definedName name="IQRKeyStatsI317" hidden="1">'Key Stats'!$N$318:$N$320</definedName>
    <definedName name="IQRKeyStatsI318" hidden="1">'Key Stats'!$N$319</definedName>
    <definedName name="IQRKeyStatsI319" hidden="1">'Key Stats'!$N$320:$N$324</definedName>
    <definedName name="IQRKeyStatsI32" hidden="1">'Key Stats'!$N$33:$N$37</definedName>
    <definedName name="IQRKeyStatsI320" hidden="1">'Key Stats'!$N$321:$N$325</definedName>
    <definedName name="IQRKeyStatsI321" hidden="1">'Key Stats'!$N$322:$N$326</definedName>
    <definedName name="IQRKeyStatsI322" hidden="1">'Key Stats'!$N$323:$N$327</definedName>
    <definedName name="IQRKeyStatsI323" hidden="1">'Key Stats'!$N$324:$N$328</definedName>
    <definedName name="IQRKeyStatsI324" hidden="1">'Key Stats'!$N$325:$N$329</definedName>
    <definedName name="IQRKeyStatsI325" hidden="1">'Key Stats'!$N$326:$N$330</definedName>
    <definedName name="IQRKeyStatsI326" hidden="1">'Key Stats'!$N$327:$N$331</definedName>
    <definedName name="IQRKeyStatsI327" hidden="1">'Key Stats'!$N$328:$N$332</definedName>
    <definedName name="IQRKeyStatsI328" hidden="1">'Key Stats'!$N$329</definedName>
    <definedName name="IQRKeyStatsI329" hidden="1">'Key Stats'!$N$330:$N$334</definedName>
    <definedName name="IQRKeyStatsI33" hidden="1">'Key Stats'!$N$34</definedName>
    <definedName name="IQRKeyStatsI330" hidden="1">'Key Stats'!$N$331:$N$334</definedName>
    <definedName name="IQRKeyStatsI331" hidden="1">'Key Stats'!$N$332:$N$336</definedName>
    <definedName name="IQRKeyStatsI332" hidden="1">'Key Stats'!$N$333:$N$337</definedName>
    <definedName name="IQRKeyStatsI333" hidden="1">'Key Stats'!$N$334:$N$338</definedName>
    <definedName name="IQRKeyStatsI334" hidden="1">'Key Stats'!$N$335:$N$339</definedName>
    <definedName name="IQRKeyStatsI335" hidden="1">'Key Stats'!$N$336:$N$340</definedName>
    <definedName name="IQRKeyStatsI336" hidden="1">'Key Stats'!$N$337:$N$341</definedName>
    <definedName name="IQRKeyStatsI337" hidden="1">'Key Stats'!$N$338:$N$342</definedName>
    <definedName name="IQRKeyStatsI338" hidden="1">'Key Stats'!$N$339:$N$342</definedName>
    <definedName name="IQRKeyStatsI339" hidden="1">'Key Stats'!$N$340:$N$343</definedName>
    <definedName name="IQRKeyStatsI34" hidden="1">'Key Stats'!$N$35:$N$38</definedName>
    <definedName name="IQRKeyStatsI340" hidden="1">'Key Stats'!$N$341:$N$345</definedName>
    <definedName name="IQRKeyStatsI341" hidden="1">'Key Stats'!$N$342:$N$346</definedName>
    <definedName name="IQRKeyStatsI342" hidden="1">'Key Stats'!$N$343:$N$347</definedName>
    <definedName name="IQRKeyStatsI343" hidden="1">'Key Stats'!$N$344:$N$348</definedName>
    <definedName name="IQRKeyStatsI344" hidden="1">'Key Stats'!$N$345:$N$349</definedName>
    <definedName name="IQRKeyStatsI345" hidden="1">'Key Stats'!$N$346</definedName>
    <definedName name="IQRKeyStatsI346" hidden="1">'Key Stats'!$N$347:$N$351</definedName>
    <definedName name="IQRKeyStatsI347" hidden="1">'Key Stats'!$N$348:$N$351</definedName>
    <definedName name="IQRKeyStatsI348" hidden="1">'Key Stats'!$N$349:$N$351</definedName>
    <definedName name="IQRKeyStatsI349" hidden="1">'Key Stats'!$N$350:$N$354</definedName>
    <definedName name="IQRKeyStatsI35" hidden="1">'Key Stats'!$N$36</definedName>
    <definedName name="IQRKeyStatsI350" hidden="1">'Key Stats'!$N$351:$N$355</definedName>
    <definedName name="IQRKeyStatsI351" hidden="1">'Key Stats'!$N$352:$N$356</definedName>
    <definedName name="IQRKeyStatsI352" hidden="1">'Key Stats'!$N$353:$N$357</definedName>
    <definedName name="IQRKeyStatsI353" hidden="1">'Key Stats'!$N$354</definedName>
    <definedName name="IQRKeyStatsI354" hidden="1">'Key Stats'!$N$355:$N$359</definedName>
    <definedName name="IQRKeyStatsI355" hidden="1">'Key Stats'!$N$356:$N$360</definedName>
    <definedName name="IQRKeyStatsI356" hidden="1">'Key Stats'!$N$357:$N$361</definedName>
    <definedName name="IQRKeyStatsI357" hidden="1">'Key Stats'!$N$358</definedName>
    <definedName name="IQRKeyStatsI358" hidden="1">'Key Stats'!$N$359:$N$363</definedName>
    <definedName name="IQRKeyStatsI359" hidden="1">'Key Stats'!$N$360:$N$364</definedName>
    <definedName name="IQRKeyStatsI36" hidden="1">'Key Stats'!$N$37:$N$41</definedName>
    <definedName name="IQRKeyStatsI360" hidden="1">'Key Stats'!$N$361:$N$362</definedName>
    <definedName name="IQRKeyStatsI361" hidden="1">'Key Stats'!$N$362:$N$366</definedName>
    <definedName name="IQRKeyStatsI362" hidden="1">'Key Stats'!$N$363:$N$367</definedName>
    <definedName name="IQRKeyStatsI363" hidden="1">'Key Stats'!$N$364</definedName>
    <definedName name="IQRKeyStatsI364" hidden="1">'Key Stats'!$N$365:$N$369</definedName>
    <definedName name="IQRKeyStatsI365" hidden="1">'Key Stats'!$N$366:$N$370</definedName>
    <definedName name="IQRKeyStatsI366" hidden="1">'Key Stats'!$N$367</definedName>
    <definedName name="IQRKeyStatsI367" hidden="1">'Key Stats'!$N$368</definedName>
    <definedName name="IQRKeyStatsI368" hidden="1">'Key Stats'!$N$369:$N$372</definedName>
    <definedName name="IQRKeyStatsI369" hidden="1">'Key Stats'!$N$370:$N$374</definedName>
    <definedName name="IQRKeyStatsI37" hidden="1">'Key Stats'!$N$38:$N$42</definedName>
    <definedName name="IQRKeyStatsI370" hidden="1">'Key Stats'!$N$371</definedName>
    <definedName name="IQRKeyStatsI371" hidden="1">'Key Stats'!$N$372:$N$376</definedName>
    <definedName name="IQRKeyStatsI372" hidden="1">'Key Stats'!$N$373:$N$377</definedName>
    <definedName name="IQRKeyStatsI373" hidden="1">'Key Stats'!$N$374:$N$378</definedName>
    <definedName name="IQRKeyStatsI374" hidden="1">'Key Stats'!$N$375:$N$379</definedName>
    <definedName name="IQRKeyStatsI375" hidden="1">'Key Stats'!$N$376</definedName>
    <definedName name="IQRKeyStatsI376" hidden="1">'Key Stats'!$N$377:$N$381</definedName>
    <definedName name="IQRKeyStatsI377" hidden="1">'Key Stats'!$N$378:$N$380</definedName>
    <definedName name="IQRKeyStatsI378" hidden="1">'Key Stats'!$N$379:$N$383</definedName>
    <definedName name="IQRKeyStatsI379" hidden="1">'Key Stats'!$N$380:$N$384</definedName>
    <definedName name="IQRKeyStatsI38" hidden="1">'Key Stats'!$N$39</definedName>
    <definedName name="IQRKeyStatsI380" hidden="1">'Key Stats'!$N$381:$N$382</definedName>
    <definedName name="IQRKeyStatsI381" hidden="1">'Key Stats'!$N$382:$N$386</definedName>
    <definedName name="IQRKeyStatsI382" hidden="1">'Key Stats'!$N$383</definedName>
    <definedName name="IQRKeyStatsI383" hidden="1">'Key Stats'!$N$384:$N$388</definedName>
    <definedName name="IQRKeyStatsI384" hidden="1">'Key Stats'!$N$385:$N$388</definedName>
    <definedName name="IQRKeyStatsI385" hidden="1">'Key Stats'!$N$386</definedName>
    <definedName name="IQRKeyStatsI386" hidden="1">'Key Stats'!$N$387</definedName>
    <definedName name="IQRKeyStatsI387" hidden="1">'Key Stats'!$N$388</definedName>
    <definedName name="IQRKeyStatsI388" hidden="1">'Key Stats'!$N$389:$N$393</definedName>
    <definedName name="IQRKeyStatsI389" hidden="1">'Key Stats'!$N$390</definedName>
    <definedName name="IQRKeyStatsI39" hidden="1">'Key Stats'!$N$40:$N$44</definedName>
    <definedName name="IQRKeyStatsI390" hidden="1">'Key Stats'!$N$391</definedName>
    <definedName name="IQRKeyStatsI391" hidden="1">'Key Stats'!$N$392:$N$396</definedName>
    <definedName name="IQRKeyStatsI392" hidden="1">'Key Stats'!$N$393:$N$397</definedName>
    <definedName name="IQRKeyStatsI393" hidden="1">'Key Stats'!$N$394:$N$398</definedName>
    <definedName name="IQRKeyStatsI394" hidden="1">'Key Stats'!$N$395:$N$399</definedName>
    <definedName name="IQRKeyStatsI395" hidden="1">'Key Stats'!$N$396:$N$400</definedName>
    <definedName name="IQRKeyStatsI396" hidden="1">'Key Stats'!$N$397:$N$401</definedName>
    <definedName name="IQRKeyStatsI397" hidden="1">'Key Stats'!$N$398:$N$402</definedName>
    <definedName name="IQRKeyStatsI398" hidden="1">'Key Stats'!$N$399</definedName>
    <definedName name="IQRKeyStatsI399" hidden="1">'Key Stats'!$N$400</definedName>
    <definedName name="IQRKeyStatsI40" hidden="1">'Key Stats'!$N$41:$N$45</definedName>
    <definedName name="IQRKeyStatsI400" hidden="1">'Key Stats'!$N$401:$N$405</definedName>
    <definedName name="IQRKeyStatsI401" hidden="1">'Key Stats'!$N$402:$N$406</definedName>
    <definedName name="IQRKeyStatsI402" hidden="1">'Key Stats'!$N$403:$N$407</definedName>
    <definedName name="IQRKeyStatsI403" hidden="1">'Key Stats'!$N$404</definedName>
    <definedName name="IQRKeyStatsI404" hidden="1">'Key Stats'!$N$405:$N$409</definedName>
    <definedName name="IQRKeyStatsI405" hidden="1">'Key Stats'!$N$406:$N$410</definedName>
    <definedName name="IQRKeyStatsI406" hidden="1">'Key Stats'!$N$407:$N$411</definedName>
    <definedName name="IQRKeyStatsI407" hidden="1">'Key Stats'!$N$408:$N$412</definedName>
    <definedName name="IQRKeyStatsI408" hidden="1">'Key Stats'!$N$409:$N$413</definedName>
    <definedName name="IQRKeyStatsI409" hidden="1">'Key Stats'!$N$410</definedName>
    <definedName name="IQRKeyStatsI41" hidden="1">'Key Stats'!$N$42</definedName>
    <definedName name="IQRKeyStatsI410" hidden="1">'Key Stats'!$N$411:$N$415</definedName>
    <definedName name="IQRKeyStatsI411" hidden="1">'Key Stats'!$N$412:$N$413</definedName>
    <definedName name="IQRKeyStatsI412" hidden="1">'Key Stats'!$N$413:$N$417</definedName>
    <definedName name="IQRKeyStatsI413" hidden="1">'Key Stats'!$N$414:$N$418</definedName>
    <definedName name="IQRKeyStatsI414" hidden="1">'Key Stats'!$N$415</definedName>
    <definedName name="IQRKeyStatsI415" hidden="1">'Key Stats'!$N$416</definedName>
    <definedName name="IQRKeyStatsI416" hidden="1">'Key Stats'!$N$417:$N$418</definedName>
    <definedName name="IQRKeyStatsI417" hidden="1">'Key Stats'!$N$418:$N$422</definedName>
    <definedName name="IQRKeyStatsI418" hidden="1">'Key Stats'!$N$419:$N$423</definedName>
    <definedName name="IQRKeyStatsI419" hidden="1">'Key Stats'!$N$420</definedName>
    <definedName name="IQRKeyStatsI42" hidden="1">'Key Stats'!$N$43:$N$47</definedName>
    <definedName name="IQRKeyStatsI420" hidden="1">'Key Stats'!$N$421:$N$425</definedName>
    <definedName name="IQRKeyStatsI421" hidden="1">'Key Stats'!$N$422:$N$426</definedName>
    <definedName name="IQRKeyStatsI422" hidden="1">'Key Stats'!$N$423:$N$427</definedName>
    <definedName name="IQRKeyStatsI423" hidden="1">'Key Stats'!$N$424:$N$428</definedName>
    <definedName name="IQRKeyStatsI424" hidden="1">'Key Stats'!$N$425:$N$429</definedName>
    <definedName name="IQRKeyStatsI425" hidden="1">'Key Stats'!$N$426:$N$430</definedName>
    <definedName name="IQRKeyStatsI426" hidden="1">'Key Stats'!$N$427</definedName>
    <definedName name="IQRKeyStatsI427" hidden="1">'Key Stats'!$N$428</definedName>
    <definedName name="IQRKeyStatsI428" hidden="1">'Key Stats'!$N$429:$N$433</definedName>
    <definedName name="IQRKeyStatsI429" hidden="1">'Key Stats'!$N$430:$N$434</definedName>
    <definedName name="IQRKeyStatsI43" hidden="1">'Key Stats'!$N$44:$N$48</definedName>
    <definedName name="IQRKeyStatsI430" hidden="1">'Key Stats'!$N$431:$N$435</definedName>
    <definedName name="IQRKeyStatsI431" hidden="1">'Key Stats'!$N$432:$N$436</definedName>
    <definedName name="IQRKeyStatsI432" hidden="1">'Key Stats'!$N$433:$N$437</definedName>
    <definedName name="IQRKeyStatsI433" hidden="1">'Key Stats'!$N$434:$N$438</definedName>
    <definedName name="IQRKeyStatsI434" hidden="1">'Key Stats'!$N$435:$N$439</definedName>
    <definedName name="IQRKeyStatsI435" hidden="1">'Key Stats'!$N$436</definedName>
    <definedName name="IQRKeyStatsI436" hidden="1">'Key Stats'!$N$437</definedName>
    <definedName name="IQRKeyStatsI437" hidden="1">'Key Stats'!$N$438:$N$442</definedName>
    <definedName name="IQRKeyStatsI438" hidden="1">'Key Stats'!$N$439:$N$443</definedName>
    <definedName name="IQRKeyStatsI439" hidden="1">'Key Stats'!$N$440:$N$444</definedName>
    <definedName name="IQRKeyStatsI44" hidden="1">'Key Stats'!$N$45:$N$49</definedName>
    <definedName name="IQRKeyStatsI440" hidden="1">'Key Stats'!$N$441:$N$444</definedName>
    <definedName name="IQRKeyStatsI441" hidden="1">'Key Stats'!$N$442:$N$446</definedName>
    <definedName name="IQRKeyStatsI442" hidden="1">'Key Stats'!$N$443</definedName>
    <definedName name="IQRKeyStatsI443" hidden="1">'Key Stats'!$N$444:$N$448</definedName>
    <definedName name="IQRKeyStatsI444" hidden="1">'Key Stats'!$N$445</definedName>
    <definedName name="IQRKeyStatsI445" hidden="1">'Key Stats'!$N$446</definedName>
    <definedName name="IQRKeyStatsI446" hidden="1">'Key Stats'!$N$447:$N$451</definedName>
    <definedName name="IQRKeyStatsI447" hidden="1">'Key Stats'!$N$448:$N$452</definedName>
    <definedName name="IQRKeyStatsI448" hidden="1">'Key Stats'!$N$449</definedName>
    <definedName name="IQRKeyStatsI449" hidden="1">'Key Stats'!$N$450:$N$454</definedName>
    <definedName name="IQRKeyStatsI45" hidden="1">'Key Stats'!$N$46:$N$50</definedName>
    <definedName name="IQRKeyStatsI450" hidden="1">'Key Stats'!$N$451</definedName>
    <definedName name="IQRKeyStatsI451" hidden="1">'Key Stats'!$N$452</definedName>
    <definedName name="IQRKeyStatsI452" hidden="1">'Key Stats'!$N$453:$N$454</definedName>
    <definedName name="IQRKeyStatsI453" hidden="1">'Key Stats'!$N$454:$N$458</definedName>
    <definedName name="IQRKeyStatsI454" hidden="1">'Key Stats'!$N$455</definedName>
    <definedName name="IQRKeyStatsI455" hidden="1">'Key Stats'!$N$456</definedName>
    <definedName name="IQRKeyStatsI456" hidden="1">'Key Stats'!$N$457:$N$461</definedName>
    <definedName name="IQRKeyStatsI457" hidden="1">'Key Stats'!$N$458:$N$462</definedName>
    <definedName name="IQRKeyStatsI458" hidden="1">'Key Stats'!$N$459</definedName>
    <definedName name="IQRKeyStatsI459" hidden="1">'Key Stats'!$N$460:$N$464</definedName>
    <definedName name="IQRKeyStatsI46" hidden="1">'Key Stats'!$N$47:$N$51</definedName>
    <definedName name="IQRKeyStatsI460" hidden="1">'Key Stats'!$N$461:$N$465</definedName>
    <definedName name="IQRKeyStatsI461" hidden="1">'Key Stats'!$N$462</definedName>
    <definedName name="IQRKeyStatsI462" hidden="1">'Key Stats'!$N$463:$N$467</definedName>
    <definedName name="IQRKeyStatsI464" hidden="1">'Key Stats'!$N$465</definedName>
    <definedName name="IQRKeyStatsI465" hidden="1">'Key Stats'!$N$466:$N$470</definedName>
    <definedName name="IQRKeyStatsI466" hidden="1">'Key Stats'!$N$467:$N$471</definedName>
    <definedName name="IQRKeyStatsI467" hidden="1">'Key Stats'!$N$468:$N$471</definedName>
    <definedName name="IQRKeyStatsI468" hidden="1">'Key Stats'!$N$469:$N$473</definedName>
    <definedName name="IQRKeyStatsI469" hidden="1">'Key Stats'!$N$470:$N$474</definedName>
    <definedName name="IQRKeyStatsI47" hidden="1">'Key Stats'!$N$48:$N$52</definedName>
    <definedName name="IQRKeyStatsI470" hidden="1">'Key Stats'!$N$471</definedName>
    <definedName name="IQRKeyStatsI471" hidden="1">'Key Stats'!$N$472:$N$476</definedName>
    <definedName name="IQRKeyStatsI472" hidden="1">'Key Stats'!$N$473</definedName>
    <definedName name="IQRKeyStatsI473" hidden="1">'Key Stats'!$N$474</definedName>
    <definedName name="IQRKeyStatsI474" hidden="1">'Key Stats'!$N$475:$N$479</definedName>
    <definedName name="IQRKeyStatsI475" hidden="1">'Key Stats'!$N$476:$N$479</definedName>
    <definedName name="IQRKeyStatsI476" hidden="1">'Key Stats'!$N$477</definedName>
    <definedName name="IQRKeyStatsI477" hidden="1">'Key Stats'!$N$478:$N$480</definedName>
    <definedName name="IQRKeyStatsI479" hidden="1">'Key Stats'!$N$480:$N$484</definedName>
    <definedName name="IQRKeyStatsI48" hidden="1">'Key Stats'!$N$49</definedName>
    <definedName name="IQRKeyStatsI480" hidden="1">'Key Stats'!$N$481:$N$485</definedName>
    <definedName name="IQRKeyStatsI481" hidden="1">'Key Stats'!$N$482</definedName>
    <definedName name="IQRKeyStatsI482" hidden="1">'Key Stats'!$N$483:$N$487</definedName>
    <definedName name="IQRKeyStatsI483" hidden="1">'Key Stats'!$N$484:$N$488</definedName>
    <definedName name="IQRKeyStatsI484" hidden="1">'Key Stats'!$N$485:$N$489</definedName>
    <definedName name="IQRKeyStatsI485" hidden="1">'Key Stats'!$N$486:$N$490</definedName>
    <definedName name="IQRKeyStatsI486" hidden="1">'Key Stats'!$N$487</definedName>
    <definedName name="IQRKeyStatsI487" hidden="1">'Key Stats'!$N$488:$N$492</definedName>
    <definedName name="IQRKeyStatsI488" hidden="1">'Key Stats'!$N$489:$N$492</definedName>
    <definedName name="IQRKeyStatsI489" hidden="1">'Key Stats'!$N$490:$N$494</definedName>
    <definedName name="IQRKeyStatsI49" hidden="1">'Key Stats'!$N$50:$N$54</definedName>
    <definedName name="IQRKeyStatsI490" hidden="1">'Key Stats'!$N$491:$N$494</definedName>
    <definedName name="IQRKeyStatsI491" hidden="1">'Key Stats'!$N$492:$N$496</definedName>
    <definedName name="IQRKeyStatsI492" hidden="1">'Key Stats'!$N$493:$N$497</definedName>
    <definedName name="IQRKeyStatsI493" hidden="1">'Key Stats'!$N$494:$N$498</definedName>
    <definedName name="IQRKeyStatsI494" hidden="1">'Key Stats'!$N$495:$N$499</definedName>
    <definedName name="IQRKeyStatsI495" hidden="1">'Key Stats'!$N$496:$N$500</definedName>
    <definedName name="IQRKeyStatsI496" hidden="1">'Key Stats'!$N$497:$N$501</definedName>
    <definedName name="IQRKeyStatsI497" hidden="1">'Key Stats'!$N$498:$N$502</definedName>
    <definedName name="IQRKeyStatsI498" hidden="1">'Key Stats'!$N$499:$N$502</definedName>
    <definedName name="IQRKeyStatsI499" hidden="1">'Key Stats'!$N$500:$N$504</definedName>
    <definedName name="IQRKeyStatsI50" hidden="1">'Key Stats'!$N$51:$N$55</definedName>
    <definedName name="IQRKeyStatsI500" hidden="1">'Key Stats'!$N$501:$N$505</definedName>
    <definedName name="IQRKeyStatsI501" hidden="1">'Key Stats'!$N$502:$N$506</definedName>
    <definedName name="IQRKeyStatsI502" hidden="1">'Key Stats'!$N$503</definedName>
    <definedName name="IQRKeyStatsI503" hidden="1">'Key Stats'!$N$504:$N$508</definedName>
    <definedName name="IQRKeyStatsI504" hidden="1">'Key Stats'!$N$505:$N$507</definedName>
    <definedName name="IQRKeyStatsI51" hidden="1">'Key Stats'!$N$52:$N$53</definedName>
    <definedName name="IQRKeyStatsI52" hidden="1">'Key Stats'!$N$53:$N$57</definedName>
    <definedName name="IQRKeyStatsI53" hidden="1">'Key Stats'!$N$54</definedName>
    <definedName name="IQRKeyStatsI54" hidden="1">'Key Stats'!$N$55:$N$59</definedName>
    <definedName name="IQRKeyStatsI55" hidden="1">'Key Stats'!$N$56:$N$58</definedName>
    <definedName name="IQRKeyStatsI56" hidden="1">'Key Stats'!$N$57</definedName>
    <definedName name="IQRKeyStatsI57" hidden="1">'Key Stats'!$N$58:$N$62</definedName>
    <definedName name="IQRKeyStatsI58" hidden="1">'Key Stats'!$N$59:$N$63</definedName>
    <definedName name="IQRKeyStatsI59" hidden="1">'Key Stats'!$N$60:$N$64</definedName>
    <definedName name="IQRKeyStatsI60" hidden="1">'Key Stats'!$N$61</definedName>
    <definedName name="IQRKeyStatsI61" hidden="1">'Key Stats'!$N$62:$N$66</definedName>
    <definedName name="IQRKeyStatsI62" hidden="1">'Key Stats'!$N$63:$N$67</definedName>
    <definedName name="IQRKeyStatsI63" hidden="1">'Key Stats'!$N$64:$N$67</definedName>
    <definedName name="IQRKeyStatsI64" hidden="1">'Key Stats'!$N$65:$N$68</definedName>
    <definedName name="IQRKeyStatsI65" hidden="1">'Key Stats'!$N$66:$N$70</definedName>
    <definedName name="IQRKeyStatsI66" hidden="1">'Key Stats'!$N$67:$N$71</definedName>
    <definedName name="IQRKeyStatsI67" hidden="1">'Key Stats'!$N$68</definedName>
    <definedName name="IQRKeyStatsI68" hidden="1">'Key Stats'!$N$69:$N$73</definedName>
    <definedName name="IQRKeyStatsI69" hidden="1">'Key Stats'!$N$70:$N$74</definedName>
    <definedName name="IQRKeyStatsI7" hidden="1">'Key Stats'!$N$8:$N$12</definedName>
    <definedName name="IQRKeyStatsI70" hidden="1">'Key Stats'!$N$71:$N$75</definedName>
    <definedName name="IQRKeyStatsI71" hidden="1">'Key Stats'!$N$72</definedName>
    <definedName name="IQRKeyStatsI72" hidden="1">'Key Stats'!$N$73:$N$77</definedName>
    <definedName name="IQRKeyStatsI73" hidden="1">'Key Stats'!$N$74:$N$78</definedName>
    <definedName name="IQRKeyStatsI74" hidden="1">'Key Stats'!$N$75:$N$79</definedName>
    <definedName name="IQRKeyStatsI75" hidden="1">'Key Stats'!$N$76</definedName>
    <definedName name="IQRKeyStatsI76" hidden="1">'Key Stats'!$N$77:$N$81</definedName>
    <definedName name="IQRKeyStatsI77" hidden="1">'Key Stats'!$N$78:$N$82</definedName>
    <definedName name="IQRKeyStatsI78" hidden="1">'Key Stats'!$N$79:$N$83</definedName>
    <definedName name="IQRKeyStatsI79" hidden="1">'Key Stats'!$N$80:$N$84</definedName>
    <definedName name="IQRKeyStatsI8" hidden="1">'Key Stats'!$N$9:$N$13</definedName>
    <definedName name="IQRKeyStatsI80" hidden="1">'Key Stats'!$N$81:$N$85</definedName>
    <definedName name="IQRKeyStatsI81" hidden="1">'Key Stats'!$N$82</definedName>
    <definedName name="IQRKeyStatsI82" hidden="1">'Key Stats'!$N$83</definedName>
    <definedName name="IQRKeyStatsI83" hidden="1">'Key Stats'!$N$84</definedName>
    <definedName name="IQRKeyStatsI84" hidden="1">'Key Stats'!$N$85:$N$89</definedName>
    <definedName name="IQRKeyStatsI85" hidden="1">'Key Stats'!$N$86:$N$90</definedName>
    <definedName name="IQRKeyStatsI86" hidden="1">'Key Stats'!$N$87:$N$91</definedName>
    <definedName name="IQRKeyStatsI87" hidden="1">'Key Stats'!$N$88:$N$92</definedName>
    <definedName name="IQRKeyStatsI88" hidden="1">'Key Stats'!$N$89:$N$93</definedName>
    <definedName name="IQRKeyStatsI89" hidden="1">'Key Stats'!$N$90:$N$94</definedName>
    <definedName name="IQRKeyStatsI9" hidden="1">'Key Stats'!$N$10:$N$14</definedName>
    <definedName name="IQRKeyStatsI90" hidden="1">'Key Stats'!$N$91:$N$95</definedName>
    <definedName name="IQRKeyStatsI91" hidden="1">'Key Stats'!$N$92:$N$96</definedName>
    <definedName name="IQRKeyStatsI92" hidden="1">'Key Stats'!$N$93:$N$97</definedName>
    <definedName name="IQRKeyStatsI93" hidden="1">'Key Stats'!$N$94:$N$98</definedName>
    <definedName name="IQRKeyStatsI94" hidden="1">'Key Stats'!$N$95:$N$99</definedName>
    <definedName name="IQRKeyStatsI95" hidden="1">'Key Stats'!$N$96:$N$100</definedName>
    <definedName name="IQRKeyStatsI96" hidden="1">'Key Stats'!$N$97:$N$101</definedName>
    <definedName name="IQRKeyStatsI97" hidden="1">'Key Stats'!$N$98:$N$102</definedName>
    <definedName name="IQRKeyStatsI98" hidden="1">'Key Stats'!$N$99:$N$103</definedName>
    <definedName name="IQRKeyStatsI99" hidden="1">'Key Stats'!$N$100:$N$104</definedName>
    <definedName name="IQRKeyStatsJ7" hidden="1">'Key Stats'!$N$8:$N$12</definedName>
    <definedName name="IQRKeyStatsK7" hidden="1">'Key Stats'!$N$8:$N$12</definedName>
    <definedName name="IQRKeyStatsL7" hidden="1">'Key Stats'!$N$8:$N$12</definedName>
    <definedName name="IQRKeyStatsM5" hidden="1">'Key Stats'!$N$6:$N$10</definedName>
    <definedName name="IQRKeyStatsM7" hidden="1">'Key Stats'!$N$8:$N$12</definedName>
    <definedName name="IQRKeyStatsM8" hidden="1">'Key Stats'!$N$9:$N$13</definedName>
    <definedName name="IQRM14" hidden="1">"$M$15:$M$114"</definedName>
    <definedName name="IQRO14" hidden="1">"$O$15:$O$114"</definedName>
    <definedName name="IQRQ14" hidden="1">"$Q$15:$Q$114"</definedName>
    <definedName name="IQRS14" hidden="1">"$S$15:$S$114"</definedName>
    <definedName name="IQRSheet11U34" hidden="1">#REF!</definedName>
    <definedName name="IQRSheet11U5" hidden="1">#REF!</definedName>
    <definedName name="IQRSheet11U63" hidden="1">#REF!</definedName>
    <definedName name="IQRTearsheetAD26" hidden="1">[3]Tearsheet!$AD$27:$AD$155</definedName>
    <definedName name="IQRU14" hidden="1">"$U$15:$U$114"</definedName>
    <definedName name="IQRW14" hidden="1">"$W$15:$W$114"</definedName>
    <definedName name="IQRY14" hidden="1">"$Y$15:$Y$114"</definedName>
    <definedName name="Languages">OFFSET('Key Stats'!$BR$7,,,'Key Stats'!$BR$5)</definedName>
    <definedName name="_xlnm.Print_Area" localSheetId="1">'Key Stats'!$A$3:$N$86</definedName>
    <definedName name="_xlnm.Print_Titles" localSheetId="1">'Key Stats'!$3:$4</definedName>
    <definedName name="SPWS_WBID">"2671CACF-89C8-45E7-B90D-E75BF6C08CCD"</definedName>
    <definedName name="SPWS_WSID" localSheetId="1" hidden="1">"8C6C9A4A-ADD3-4634-A8E6-EFE84268F406"</definedName>
    <definedName name="T">#REF!</definedName>
  </definedNames>
  <calcPr calcId="191029" iterateDelta="9.999999999999445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 i="11" l="1"/>
  <c r="A3" i="11"/>
  <c r="A6"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B48" i="15" a="1"/>
  <c r="B48" i="15"/>
  <c r="A48" i="15"/>
  <c r="C48" i="15" a="1"/>
  <c r="C48" i="15"/>
  <c r="D48" i="15" a="1"/>
  <c r="D48" i="15"/>
  <c r="E48" i="15" a="1"/>
  <c r="E48" i="15"/>
  <c r="F48" i="15" a="1"/>
  <c r="F48" i="15"/>
  <c r="G48" i="15" a="1"/>
  <c r="G48" i="15"/>
  <c r="H48" i="15" a="1"/>
  <c r="H48" i="15"/>
  <c r="I48" i="15" a="1"/>
  <c r="I48" i="15"/>
  <c r="J48" i="15" a="1"/>
  <c r="J48" i="15"/>
  <c r="K48" i="15" a="1"/>
  <c r="K48" i="15"/>
  <c r="L48" i="15" a="1"/>
  <c r="L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252" i="15"/>
  <c r="A253" i="15"/>
  <c r="A254" i="15"/>
  <c r="A255" i="15"/>
  <c r="A256" i="15"/>
  <c r="A257" i="15"/>
  <c r="A258" i="15"/>
  <c r="A259" i="15"/>
  <c r="A260" i="15"/>
  <c r="A261" i="15"/>
  <c r="A262" i="15"/>
  <c r="A263" i="15"/>
  <c r="A264" i="15"/>
  <c r="A265" i="15"/>
  <c r="A266" i="15"/>
  <c r="A267" i="15"/>
  <c r="A268" i="15"/>
  <c r="A269" i="15"/>
  <c r="A270" i="15"/>
  <c r="A271" i="15"/>
  <c r="A272" i="15"/>
  <c r="A273" i="15"/>
  <c r="A274" i="15"/>
  <c r="A275" i="15"/>
  <c r="A276" i="15"/>
  <c r="A277" i="15"/>
  <c r="A278" i="15"/>
  <c r="A279" i="15"/>
  <c r="A280" i="15"/>
  <c r="A281" i="15"/>
  <c r="A282" i="15"/>
  <c r="A283" i="15"/>
  <c r="A284" i="15"/>
  <c r="A285" i="15"/>
  <c r="A286" i="15"/>
  <c r="A287" i="15"/>
  <c r="A288" i="15"/>
  <c r="A289" i="15"/>
  <c r="A290" i="15"/>
  <c r="A291" i="15"/>
  <c r="A292" i="15"/>
  <c r="A293" i="15"/>
  <c r="A294" i="15"/>
  <c r="A295" i="15"/>
  <c r="A296" i="15"/>
  <c r="A297" i="15"/>
  <c r="A298" i="15"/>
  <c r="A299" i="15"/>
  <c r="A300" i="15"/>
  <c r="A301" i="15"/>
  <c r="A302" i="15"/>
  <c r="A303" i="15"/>
  <c r="A304" i="15"/>
  <c r="A305" i="15"/>
  <c r="A306" i="15"/>
  <c r="A307" i="15"/>
  <c r="A308" i="15"/>
  <c r="A309" i="15"/>
  <c r="A310" i="15"/>
  <c r="A311" i="15"/>
  <c r="A312" i="15"/>
  <c r="A313" i="15"/>
  <c r="A314" i="15"/>
  <c r="A315" i="15"/>
  <c r="A316" i="15"/>
  <c r="A317" i="15"/>
  <c r="A318" i="15"/>
  <c r="A319" i="15"/>
  <c r="A320" i="15"/>
  <c r="A321" i="15"/>
  <c r="A322" i="15"/>
  <c r="A323" i="15"/>
  <c r="A324" i="15"/>
  <c r="A325" i="15"/>
  <c r="A326" i="15"/>
  <c r="A327" i="15"/>
  <c r="A328" i="15"/>
  <c r="A329" i="15"/>
  <c r="A330" i="15"/>
  <c r="A331" i="15"/>
  <c r="A332" i="15"/>
  <c r="A333" i="15"/>
  <c r="A334" i="15"/>
  <c r="A335" i="15"/>
  <c r="A336" i="15"/>
  <c r="A337" i="15"/>
  <c r="A338" i="15"/>
  <c r="A339" i="15"/>
  <c r="A340" i="15"/>
  <c r="A341" i="15"/>
  <c r="A342" i="15"/>
  <c r="A343" i="15"/>
  <c r="A344" i="15"/>
  <c r="A345" i="15"/>
  <c r="A346" i="15"/>
  <c r="A347" i="15"/>
  <c r="A348" i="15"/>
  <c r="A349" i="15"/>
  <c r="A350" i="15"/>
  <c r="A351" i="15"/>
  <c r="A352" i="15"/>
  <c r="A353" i="15"/>
  <c r="A354" i="15"/>
  <c r="A355" i="15"/>
  <c r="A356" i="15"/>
  <c r="A357" i="15"/>
  <c r="A358" i="15"/>
  <c r="A359" i="15"/>
  <c r="A360" i="15"/>
  <c r="A361" i="15"/>
  <c r="A362" i="15"/>
  <c r="A363" i="15"/>
  <c r="A364" i="15"/>
  <c r="A365" i="15"/>
  <c r="A366" i="15"/>
  <c r="A367" i="15"/>
  <c r="A368" i="15"/>
  <c r="A369" i="15"/>
  <c r="A370" i="15"/>
  <c r="A371" i="15"/>
  <c r="A372" i="15"/>
  <c r="A373" i="15"/>
  <c r="A374" i="15"/>
  <c r="A375" i="15"/>
  <c r="A376" i="15"/>
  <c r="A377" i="15"/>
  <c r="A378" i="15"/>
  <c r="A379" i="15"/>
  <c r="A380" i="15"/>
  <c r="A381" i="15"/>
  <c r="A382" i="15"/>
  <c r="A383" i="15"/>
  <c r="A384" i="15"/>
  <c r="A385" i="15"/>
  <c r="A386" i="15"/>
  <c r="A387" i="15"/>
  <c r="A388" i="15"/>
  <c r="A389" i="15"/>
  <c r="A390" i="15"/>
  <c r="A391" i="15"/>
  <c r="A392" i="15"/>
  <c r="A393" i="15"/>
  <c r="A394" i="15"/>
  <c r="A395" i="15"/>
  <c r="A396" i="15"/>
  <c r="A397" i="15"/>
  <c r="A398" i="15"/>
  <c r="A399" i="15"/>
  <c r="A400" i="15"/>
  <c r="A401" i="15"/>
  <c r="A402" i="15"/>
  <c r="A403" i="15"/>
  <c r="A404" i="15"/>
  <c r="A405" i="15"/>
  <c r="A406" i="15"/>
  <c r="A407" i="15"/>
  <c r="A408" i="15"/>
  <c r="A409" i="15"/>
  <c r="A410" i="15"/>
  <c r="A411" i="15"/>
  <c r="A412" i="15"/>
  <c r="A413" i="15"/>
  <c r="A414" i="15"/>
  <c r="A415" i="15"/>
  <c r="A416" i="15"/>
  <c r="A417" i="15"/>
  <c r="A418" i="15"/>
  <c r="A419" i="15"/>
  <c r="A420" i="15"/>
  <c r="A421" i="15"/>
  <c r="A422" i="15"/>
  <c r="A423" i="15"/>
  <c r="A424" i="15"/>
  <c r="A425" i="15"/>
  <c r="A426" i="15"/>
  <c r="A427" i="15"/>
  <c r="A428" i="15"/>
  <c r="A429" i="15"/>
  <c r="A430" i="15"/>
  <c r="A431" i="15"/>
  <c r="A432" i="15"/>
  <c r="A433" i="15"/>
  <c r="A434" i="15"/>
  <c r="A435" i="15"/>
  <c r="A436" i="15"/>
  <c r="A437" i="15"/>
  <c r="A438" i="15"/>
  <c r="A439" i="15"/>
  <c r="A440" i="15"/>
  <c r="A441" i="15"/>
  <c r="A442" i="15"/>
  <c r="A443" i="15"/>
  <c r="A444" i="15"/>
  <c r="A445" i="15"/>
  <c r="A446" i="15"/>
  <c r="A447" i="15"/>
  <c r="A448" i="15"/>
  <c r="A449" i="15"/>
  <c r="A450" i="15"/>
  <c r="A451" i="15"/>
  <c r="A452" i="15"/>
  <c r="A453" i="15"/>
  <c r="A454" i="15"/>
  <c r="A455" i="15"/>
  <c r="A456" i="15"/>
  <c r="A457" i="15"/>
  <c r="A458" i="15"/>
  <c r="A459" i="15"/>
  <c r="A460" i="15"/>
  <c r="A461" i="15"/>
  <c r="A462" i="15"/>
  <c r="A463" i="15"/>
  <c r="A464" i="15"/>
  <c r="A465" i="15"/>
  <c r="A466" i="15"/>
  <c r="A467" i="15"/>
  <c r="A468" i="15"/>
  <c r="A469" i="15"/>
  <c r="A470" i="15"/>
  <c r="A471" i="15"/>
  <c r="A472" i="15"/>
  <c r="A473" i="15"/>
  <c r="A474" i="15"/>
  <c r="A475" i="15"/>
  <c r="A476" i="15"/>
  <c r="A477" i="15"/>
  <c r="A478" i="15"/>
  <c r="A479" i="15"/>
  <c r="A480" i="15"/>
  <c r="A481" i="15"/>
  <c r="A482" i="15"/>
  <c r="A483" i="15"/>
  <c r="A484" i="15"/>
  <c r="A485" i="15"/>
  <c r="A486" i="15"/>
  <c r="A487" i="15"/>
  <c r="A488" i="15"/>
  <c r="A489" i="15"/>
  <c r="A490" i="15"/>
  <c r="A491" i="15"/>
  <c r="A492" i="15"/>
  <c r="A493" i="15"/>
  <c r="A494" i="15"/>
  <c r="A495" i="15"/>
  <c r="A496" i="15"/>
  <c r="A497" i="15"/>
  <c r="A498" i="15"/>
  <c r="A499" i="15"/>
  <c r="A500" i="15"/>
  <c r="A501" i="15"/>
  <c r="A502" i="15"/>
  <c r="A503" i="15"/>
  <c r="A504" i="15"/>
  <c r="A505" i="15"/>
  <c r="A506" i="15"/>
  <c r="A507" i="15"/>
  <c r="A508" i="15"/>
  <c r="A509" i="15"/>
  <c r="A510" i="15"/>
  <c r="A511" i="15"/>
  <c r="A512" i="15"/>
  <c r="A513" i="15"/>
  <c r="A514" i="15"/>
  <c r="A515" i="15"/>
  <c r="A516" i="15"/>
  <c r="A517" i="15"/>
  <c r="A518" i="15"/>
  <c r="A519" i="15"/>
  <c r="A520" i="15"/>
  <c r="A521" i="15"/>
  <c r="A522" i="15"/>
  <c r="A523" i="15"/>
  <c r="A524" i="15"/>
  <c r="A525" i="15"/>
  <c r="A526" i="15"/>
  <c r="A527" i="15"/>
  <c r="A528" i="15"/>
  <c r="A529" i="15"/>
  <c r="A530" i="15"/>
  <c r="A531" i="15"/>
  <c r="A532" i="15"/>
  <c r="A533" i="15"/>
  <c r="A534" i="15"/>
  <c r="A535" i="15"/>
  <c r="A536" i="15"/>
  <c r="A537" i="15"/>
  <c r="A538" i="15"/>
  <c r="A539" i="15"/>
  <c r="A540" i="15"/>
  <c r="A541" i="15"/>
  <c r="A542" i="15"/>
  <c r="A543" i="15"/>
  <c r="A544" i="15"/>
  <c r="A545" i="15"/>
  <c r="A546" i="15"/>
  <c r="A547" i="15"/>
  <c r="A548" i="15"/>
  <c r="A549" i="15"/>
  <c r="A550" i="15"/>
  <c r="A551" i="15"/>
  <c r="A552" i="15"/>
  <c r="A553" i="15"/>
  <c r="A554" i="15"/>
  <c r="A555" i="15"/>
  <c r="A556" i="15"/>
  <c r="A557" i="15"/>
  <c r="A558" i="15"/>
  <c r="A559" i="15"/>
  <c r="A560" i="15"/>
  <c r="A561" i="15"/>
  <c r="A562" i="15"/>
  <c r="A563" i="15"/>
  <c r="A564" i="15"/>
  <c r="A565" i="15"/>
  <c r="A566" i="15"/>
  <c r="A567" i="15"/>
  <c r="A568" i="15"/>
  <c r="A569" i="15"/>
  <c r="A570" i="15"/>
  <c r="A571" i="15"/>
  <c r="A572" i="15"/>
  <c r="A573" i="15"/>
  <c r="A574" i="15"/>
  <c r="A575" i="15"/>
  <c r="A576" i="15"/>
  <c r="A577" i="15"/>
  <c r="A578" i="15"/>
  <c r="A579" i="15"/>
  <c r="A580" i="15"/>
  <c r="A581" i="15"/>
  <c r="A582" i="15"/>
  <c r="A583" i="15"/>
  <c r="A584" i="15"/>
  <c r="A585" i="15"/>
  <c r="A586" i="15"/>
  <c r="A587" i="15"/>
  <c r="A588" i="15"/>
  <c r="A589" i="15"/>
  <c r="A590" i="15"/>
  <c r="A591" i="15"/>
  <c r="A592" i="15"/>
  <c r="A593" i="15"/>
  <c r="A594" i="15"/>
  <c r="A595" i="15"/>
  <c r="A596" i="15"/>
  <c r="A597" i="15"/>
  <c r="A598" i="15"/>
  <c r="A599" i="15"/>
  <c r="A600" i="15"/>
  <c r="A601" i="15"/>
  <c r="A602" i="15"/>
  <c r="A603" i="15"/>
  <c r="A604" i="15"/>
  <c r="A605" i="15"/>
  <c r="A606" i="15"/>
  <c r="A607" i="15"/>
  <c r="A608" i="15"/>
  <c r="A609" i="15"/>
  <c r="A610" i="15"/>
  <c r="A611" i="15"/>
  <c r="A612" i="15"/>
  <c r="A613" i="15"/>
  <c r="A614" i="15"/>
  <c r="A615" i="15"/>
  <c r="A616" i="15"/>
  <c r="A617" i="15"/>
  <c r="A618" i="15"/>
  <c r="A619" i="15"/>
  <c r="A620" i="15"/>
  <c r="A621" i="15"/>
  <c r="A622" i="15"/>
  <c r="A623" i="15"/>
  <c r="A624" i="15"/>
  <c r="A625" i="15"/>
  <c r="A626" i="15"/>
  <c r="A627" i="15"/>
  <c r="A628" i="15"/>
  <c r="A629" i="15"/>
  <c r="A630" i="15"/>
  <c r="A631" i="15"/>
  <c r="A632" i="15"/>
  <c r="A633" i="15"/>
  <c r="A634" i="15"/>
  <c r="A635" i="15"/>
  <c r="A636" i="15"/>
  <c r="A637" i="15"/>
  <c r="A638" i="15"/>
  <c r="A639" i="15"/>
  <c r="A640" i="15"/>
  <c r="A641" i="15"/>
  <c r="A642" i="15"/>
  <c r="A643" i="15"/>
  <c r="A644" i="15"/>
  <c r="A645" i="15"/>
  <c r="A646" i="15"/>
  <c r="A647" i="15"/>
  <c r="A648" i="15"/>
  <c r="A649" i="15"/>
  <c r="A650" i="15"/>
  <c r="A651" i="15"/>
  <c r="A652" i="15"/>
  <c r="A653" i="15"/>
  <c r="A654" i="15"/>
  <c r="A655" i="15"/>
  <c r="A656" i="15"/>
  <c r="A657" i="15"/>
  <c r="A658" i="15"/>
  <c r="A659" i="15"/>
  <c r="A660" i="15"/>
  <c r="A661" i="15"/>
  <c r="A662" i="15"/>
  <c r="A663" i="15"/>
  <c r="A664" i="15"/>
  <c r="A665" i="15"/>
  <c r="A666" i="15"/>
  <c r="A667" i="15"/>
  <c r="A668" i="15"/>
  <c r="A669" i="15"/>
  <c r="A670" i="15"/>
  <c r="A671" i="15"/>
  <c r="A672" i="15"/>
  <c r="A673" i="15"/>
  <c r="A674" i="15"/>
  <c r="A675" i="15"/>
  <c r="A676" i="15"/>
  <c r="A677" i="15"/>
  <c r="A678" i="15"/>
  <c r="A679" i="15"/>
  <c r="A680" i="15"/>
  <c r="A681" i="15"/>
  <c r="A682" i="15"/>
  <c r="A683" i="15"/>
  <c r="A684" i="15"/>
  <c r="A685" i="15"/>
  <c r="A686" i="15"/>
  <c r="A687" i="15"/>
  <c r="A688" i="15"/>
  <c r="A689" i="15"/>
  <c r="A690" i="15"/>
  <c r="A691" i="15"/>
  <c r="A692" i="15"/>
  <c r="A693" i="15"/>
  <c r="A694" i="15"/>
  <c r="A695" i="15"/>
  <c r="A696" i="15"/>
  <c r="A697" i="15"/>
  <c r="A698" i="15"/>
  <c r="A699" i="15"/>
  <c r="A700" i="15"/>
  <c r="A701" i="15"/>
  <c r="A702" i="15"/>
  <c r="A703" i="15"/>
  <c r="A704" i="15"/>
  <c r="A705" i="15"/>
  <c r="A706" i="15"/>
  <c r="A707" i="15"/>
  <c r="A708" i="15"/>
  <c r="A709" i="15"/>
  <c r="A710" i="15"/>
  <c r="A711" i="15"/>
  <c r="A712" i="15"/>
  <c r="A713" i="15"/>
  <c r="A714" i="15"/>
  <c r="A715" i="15"/>
  <c r="A716" i="15"/>
  <c r="A717" i="15"/>
  <c r="A718" i="15"/>
  <c r="A719" i="15"/>
  <c r="A720" i="15"/>
  <c r="A721" i="15"/>
  <c r="A722" i="15"/>
  <c r="A723" i="15"/>
  <c r="A724" i="15"/>
  <c r="A725" i="15"/>
  <c r="A726" i="15"/>
  <c r="A727" i="15"/>
  <c r="A728" i="15"/>
  <c r="A729" i="15"/>
  <c r="A730" i="15"/>
  <c r="A731" i="15"/>
  <c r="A732" i="15"/>
  <c r="A733" i="15"/>
  <c r="A734" i="15"/>
  <c r="A735" i="15"/>
  <c r="A736" i="15"/>
  <c r="A737" i="15"/>
  <c r="A738" i="15"/>
  <c r="A739" i="15"/>
  <c r="A740" i="15"/>
  <c r="A741" i="15"/>
  <c r="A742" i="15"/>
  <c r="A743" i="15"/>
  <c r="A744" i="15"/>
  <c r="A745" i="15"/>
  <c r="A746" i="15"/>
  <c r="A747" i="15"/>
  <c r="A748" i="15"/>
  <c r="A749" i="15"/>
  <c r="A750" i="15"/>
  <c r="A751" i="15"/>
  <c r="A752" i="15"/>
  <c r="A753" i="15"/>
  <c r="A754" i="15"/>
  <c r="A755" i="15"/>
  <c r="A756" i="15"/>
  <c r="A757" i="15"/>
  <c r="A758" i="15"/>
  <c r="A759" i="15"/>
  <c r="A760" i="15"/>
  <c r="A761" i="15"/>
  <c r="A762" i="15"/>
  <c r="A763" i="15"/>
  <c r="A764" i="15"/>
  <c r="A765" i="15"/>
  <c r="A766" i="15"/>
  <c r="A767" i="15"/>
  <c r="A768" i="15"/>
  <c r="A769" i="15"/>
  <c r="A770" i="15"/>
  <c r="A771" i="15"/>
  <c r="A772" i="15"/>
  <c r="A773" i="15"/>
  <c r="A774" i="15"/>
  <c r="A775" i="15"/>
  <c r="A776" i="15"/>
  <c r="A777" i="15"/>
  <c r="A778" i="15"/>
  <c r="A779" i="15"/>
  <c r="A780" i="15"/>
  <c r="A781" i="15"/>
  <c r="A782" i="15"/>
  <c r="A783" i="15"/>
  <c r="A784" i="15"/>
  <c r="A785" i="15"/>
  <c r="A786" i="15"/>
  <c r="A787" i="15"/>
  <c r="A788" i="15"/>
  <c r="A789" i="15"/>
  <c r="A790" i="15"/>
  <c r="A791" i="15"/>
  <c r="A792" i="15"/>
  <c r="A793" i="15"/>
  <c r="A794" i="15"/>
  <c r="A795" i="15"/>
  <c r="A796" i="15"/>
  <c r="A797" i="15"/>
  <c r="A798" i="15"/>
  <c r="A799" i="15"/>
  <c r="A800" i="15"/>
  <c r="A801" i="15"/>
  <c r="A802" i="15"/>
  <c r="A803" i="15"/>
  <c r="A804" i="15"/>
  <c r="A805" i="15"/>
  <c r="A806" i="15"/>
  <c r="A807" i="15"/>
  <c r="A808" i="15"/>
  <c r="A809" i="15"/>
  <c r="A810" i="15"/>
  <c r="A811" i="15"/>
  <c r="A812" i="15"/>
  <c r="A813" i="15"/>
  <c r="A814" i="15"/>
  <c r="A815" i="15"/>
  <c r="A816" i="15"/>
  <c r="A817" i="15"/>
  <c r="A818" i="15"/>
  <c r="A819" i="15"/>
  <c r="A820" i="15"/>
  <c r="A821" i="15"/>
  <c r="A822" i="15"/>
  <c r="A823" i="15"/>
  <c r="A824" i="15"/>
  <c r="A825" i="15"/>
  <c r="A826" i="15"/>
  <c r="A827" i="15"/>
  <c r="A828" i="15"/>
  <c r="A829" i="15"/>
  <c r="A830" i="15"/>
  <c r="A831" i="15"/>
  <c r="A832" i="15"/>
  <c r="A833" i="15"/>
  <c r="A834" i="15"/>
  <c r="A835" i="15"/>
  <c r="A836" i="15"/>
  <c r="A837" i="15"/>
  <c r="A838" i="15"/>
  <c r="A839" i="15"/>
  <c r="A840" i="15"/>
  <c r="A841" i="15"/>
  <c r="A842" i="15"/>
  <c r="A843" i="15"/>
  <c r="A844" i="15"/>
  <c r="A845" i="15"/>
  <c r="A846" i="15"/>
  <c r="A847" i="15"/>
  <c r="A848" i="15"/>
  <c r="A849" i="15"/>
  <c r="A850" i="15"/>
  <c r="A851" i="15"/>
  <c r="A852" i="15"/>
  <c r="A853" i="15"/>
  <c r="A854" i="15"/>
  <c r="A855" i="15"/>
  <c r="A856" i="15"/>
  <c r="A857" i="15"/>
  <c r="A858" i="15"/>
  <c r="A859" i="15"/>
  <c r="A860" i="15"/>
  <c r="A861" i="15"/>
  <c r="A862" i="15"/>
  <c r="A863" i="15"/>
  <c r="A864" i="15"/>
  <c r="A865" i="15"/>
  <c r="A866" i="15"/>
  <c r="A867" i="15"/>
  <c r="A868" i="15"/>
  <c r="A869" i="15"/>
  <c r="A870" i="15"/>
  <c r="A871" i="15"/>
  <c r="A872" i="15"/>
  <c r="A873" i="15"/>
  <c r="A874" i="15"/>
  <c r="A875" i="15"/>
  <c r="A876" i="15"/>
  <c r="A877" i="15"/>
  <c r="A878" i="15"/>
  <c r="A879" i="15"/>
  <c r="A880" i="15"/>
  <c r="A881" i="15"/>
  <c r="A882" i="15"/>
  <c r="A883" i="15"/>
  <c r="A884" i="15"/>
  <c r="A885" i="15"/>
  <c r="A886" i="15"/>
  <c r="A887" i="15"/>
  <c r="A888" i="15"/>
  <c r="A889" i="15"/>
  <c r="A890" i="15"/>
  <c r="A891" i="15"/>
  <c r="A892" i="15"/>
  <c r="A893" i="15"/>
  <c r="A894" i="15"/>
  <c r="A895" i="15"/>
  <c r="A896" i="15"/>
  <c r="A897" i="15"/>
  <c r="A898" i="15"/>
  <c r="A899" i="15"/>
  <c r="A900" i="15"/>
  <c r="A901" i="15"/>
  <c r="A902" i="15"/>
  <c r="A903" i="15"/>
  <c r="A904" i="15"/>
  <c r="A905" i="15"/>
  <c r="A906" i="15"/>
  <c r="A907" i="15"/>
  <c r="A908" i="15"/>
  <c r="A909" i="15"/>
  <c r="A910" i="15"/>
  <c r="A911" i="15"/>
  <c r="A912" i="15"/>
  <c r="A913" i="15"/>
  <c r="A914" i="15"/>
  <c r="A915" i="15"/>
  <c r="A916" i="15"/>
  <c r="A917" i="15"/>
  <c r="A918" i="15"/>
  <c r="A919" i="15"/>
  <c r="A920" i="15"/>
  <c r="A921" i="15"/>
  <c r="A922" i="15"/>
  <c r="A923" i="15"/>
  <c r="A924" i="15"/>
  <c r="A925" i="15"/>
  <c r="A926" i="15"/>
  <c r="A927" i="15"/>
  <c r="A928" i="15"/>
  <c r="A929" i="15"/>
  <c r="A930" i="15"/>
  <c r="A931" i="15"/>
  <c r="A932" i="15"/>
  <c r="A933" i="15"/>
  <c r="A934" i="15"/>
  <c r="A935" i="15"/>
  <c r="A936" i="15"/>
  <c r="A937" i="15"/>
  <c r="A938" i="15"/>
  <c r="A939" i="15"/>
  <c r="A940" i="15"/>
  <c r="A941" i="15"/>
  <c r="A942" i="15"/>
  <c r="A943" i="15"/>
  <c r="A944" i="15"/>
  <c r="A945" i="15"/>
  <c r="A946" i="15"/>
  <c r="A947" i="15"/>
  <c r="A948" i="15"/>
  <c r="A949" i="15"/>
  <c r="A950" i="15"/>
  <c r="A951" i="15"/>
  <c r="A952" i="15"/>
  <c r="A953" i="15"/>
  <c r="A954" i="15"/>
  <c r="A955" i="15"/>
  <c r="A956" i="15"/>
  <c r="A957" i="15"/>
  <c r="A958" i="15"/>
  <c r="A959" i="15"/>
  <c r="A960" i="15"/>
  <c r="A961" i="15"/>
  <c r="A962" i="15"/>
  <c r="A963" i="15"/>
  <c r="A964" i="15"/>
  <c r="A965" i="15"/>
  <c r="A966" i="15"/>
  <c r="A967" i="15"/>
  <c r="A968" i="15"/>
  <c r="A969" i="15"/>
  <c r="A970" i="15"/>
  <c r="A971" i="15"/>
  <c r="A972" i="15"/>
  <c r="A973" i="15"/>
  <c r="A974" i="15"/>
  <c r="A975" i="15"/>
  <c r="A976" i="15"/>
  <c r="A977" i="15"/>
  <c r="A978" i="15"/>
  <c r="A979" i="15"/>
  <c r="A980" i="15"/>
  <c r="A981" i="15"/>
  <c r="A982" i="15"/>
  <c r="A983" i="15"/>
  <c r="A984" i="15"/>
  <c r="A985" i="15"/>
  <c r="A986" i="15"/>
  <c r="A987" i="15"/>
  <c r="A988" i="15"/>
  <c r="A989" i="15"/>
  <c r="A990" i="15"/>
  <c r="A991" i="15"/>
  <c r="A992" i="15"/>
  <c r="A993" i="15"/>
  <c r="A994" i="15"/>
  <c r="A995" i="15"/>
  <c r="A996" i="15"/>
  <c r="A997" i="15"/>
  <c r="A998" i="15"/>
  <c r="A999" i="15"/>
  <c r="A1000" i="15"/>
  <c r="A1001" i="15"/>
  <c r="A1002" i="15"/>
  <c r="A1003" i="15"/>
  <c r="A1004" i="15"/>
  <c r="A1005" i="15"/>
  <c r="A1006" i="15"/>
  <c r="A1007" i="15"/>
  <c r="A1008" i="15"/>
  <c r="A1009" i="15"/>
  <c r="A1010" i="15"/>
  <c r="A1011" i="15"/>
  <c r="A1012" i="15"/>
  <c r="A1013" i="15"/>
  <c r="A1014" i="15"/>
  <c r="A1015" i="15"/>
  <c r="A1016" i="15"/>
  <c r="A1017" i="15"/>
  <c r="A1018" i="15"/>
  <c r="A1019" i="15"/>
  <c r="A1020" i="15"/>
  <c r="A1021" i="15"/>
  <c r="A1022" i="15"/>
  <c r="A1023" i="15"/>
  <c r="A1024" i="15"/>
  <c r="A1025" i="15"/>
  <c r="A1026" i="15"/>
  <c r="A1027" i="15"/>
  <c r="A1028" i="15"/>
  <c r="A1029" i="15"/>
  <c r="AJ1" i="11"/>
  <c r="AJ2" i="11"/>
  <c r="A4" i="11"/>
  <c r="A5" i="11"/>
  <c r="BR7" i="11" a="1"/>
  <c r="BR8" i="11" s="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T1" i="11"/>
  <c r="BR7" i="11" l="1"/>
  <c r="BR13" i="11"/>
  <c r="BR12" i="11"/>
  <c r="BR11" i="11"/>
  <c r="BR10" i="11"/>
  <c r="BR9" i="11"/>
  <c r="BR5" i="1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<sst xmlns="http://schemas.openxmlformats.org/spreadsheetml/2006/main" count="18028" uniqueCount="13507">
  <si>
    <t>Options W/Avg Strike Price of Granted - Other</t>
  </si>
  <si>
    <t>Total Options Out. at Beginning of Year</t>
  </si>
  <si>
    <t>Total Options Granted During the Year</t>
  </si>
  <si>
    <t>Total Options Exercised During the Year</t>
  </si>
  <si>
    <t>Total Options Cancelled During the Year</t>
  </si>
  <si>
    <t>Total Options Out. at the End of Year</t>
  </si>
  <si>
    <t>Warrants Out. at the Beginning of the Year</t>
  </si>
  <si>
    <t>Warrants Issued During the Year</t>
  </si>
  <si>
    <t>Warrants Exercised During the Year</t>
  </si>
  <si>
    <t>Warrants Cancelled During the Year</t>
  </si>
  <si>
    <t>Warrants Out. at the End of the Year</t>
  </si>
  <si>
    <t>Warrants W/Avg Strike Price of Out.</t>
  </si>
  <si>
    <t>Warrants W/Avg Strike of Issued</t>
  </si>
  <si>
    <t>Warrants Out. at the Beginning of the Year - Class A</t>
  </si>
  <si>
    <t>Warrants Issued During the Year - Class A</t>
  </si>
  <si>
    <t>Warrants Exercised During the Year - Class A</t>
  </si>
  <si>
    <t>Warrants Cancelled During the Year - Class A</t>
  </si>
  <si>
    <t>Warrants Out. at the End of the Year - Class A</t>
  </si>
  <si>
    <t>Warrants W/Avg Strike Price of Out. - Class A</t>
  </si>
  <si>
    <t>Warrants W/Avg Strike of Issued - Class A</t>
  </si>
  <si>
    <t>Warrants Out. at the Beginning of the Year - Other</t>
  </si>
  <si>
    <t>Warrants Issued During the Year - Other</t>
  </si>
  <si>
    <t>Selling General &amp; Admin Exp.</t>
  </si>
  <si>
    <t>R &amp; D Exp.</t>
  </si>
  <si>
    <t>Depreciation &amp; Amort.</t>
  </si>
  <si>
    <t>Interest Expense</t>
  </si>
  <si>
    <t>Interest and Invest. Income</t>
  </si>
  <si>
    <t>Currency Exchange Gains (Loss)</t>
  </si>
  <si>
    <t>Other Non-Operating Inc. (Exp.)</t>
  </si>
  <si>
    <t>Restructuring Charges</t>
  </si>
  <si>
    <t>Impairment of Goodwill</t>
  </si>
  <si>
    <t>Gain (Loss) On Sale Of Invest.</t>
  </si>
  <si>
    <t>Gain (Loss) On Sale Of Assets</t>
  </si>
  <si>
    <t>Asset Writedown</t>
  </si>
  <si>
    <t>Insurance Settlements</t>
  </si>
  <si>
    <t>Legal Settlements</t>
  </si>
  <si>
    <t>Other Unusual Items</t>
  </si>
  <si>
    <t>Income Tax Expense</t>
  </si>
  <si>
    <t>Earnings of Discontinued Ops.</t>
  </si>
  <si>
    <t>Extraord. Item &amp; Account. Change</t>
  </si>
  <si>
    <t>Pref. Dividends and Other Adj.</t>
  </si>
  <si>
    <t>Per Share Items</t>
  </si>
  <si>
    <t>Basic EPS</t>
  </si>
  <si>
    <t>Basic EPS Excl. Extra Items</t>
  </si>
  <si>
    <t>Weighted Avg. Basic Shares Out.</t>
  </si>
  <si>
    <t>Diluted EPS</t>
  </si>
  <si>
    <t>Weighted Avg. Diluted Shares Out.</t>
  </si>
  <si>
    <t>Normalized Basic EPS</t>
  </si>
  <si>
    <t>Normalized Diluted EPS</t>
  </si>
  <si>
    <t>Supplemental Items</t>
  </si>
  <si>
    <t>EBITA</t>
  </si>
  <si>
    <t>Current Domestic Taxes</t>
  </si>
  <si>
    <t>Current Foreign Taxes</t>
  </si>
  <si>
    <t>Deferred Domestic Taxes</t>
  </si>
  <si>
    <t>Deferred Foreign Taxes</t>
  </si>
  <si>
    <t>Normalized Net Income</t>
  </si>
  <si>
    <t>Interest Capitalized</t>
  </si>
  <si>
    <t>Maintenance &amp; Repair Expenses</t>
  </si>
  <si>
    <t>Filing Date</t>
  </si>
  <si>
    <t>Restatement Type</t>
  </si>
  <si>
    <t>ASSETS</t>
  </si>
  <si>
    <t>Provision for Doubtful Accounts - Patient Service Revenue</t>
  </si>
  <si>
    <t>General Partner - Common Equity</t>
  </si>
  <si>
    <t>General Partner - Preferred Equity</t>
  </si>
  <si>
    <t>General Partner - Minority Interest</t>
  </si>
  <si>
    <t>General Partner Interest (Supple)</t>
  </si>
  <si>
    <t>Depreciation And Amortization Notes for Partial CF</t>
  </si>
  <si>
    <t>Amortization Of Goodwill Notes for Partial CF</t>
  </si>
  <si>
    <t>Def. Benefit Total Cost of Supple Plans</t>
  </si>
  <si>
    <t>Def. Benefit Total Cost Incl. Supple Plans</t>
  </si>
  <si>
    <t>Cash And Equivalents</t>
  </si>
  <si>
    <t>Short Term Investments</t>
  </si>
  <si>
    <t>Accounts Receivable</t>
  </si>
  <si>
    <t>Inventory</t>
  </si>
  <si>
    <t>Prepaid Exp.</t>
  </si>
  <si>
    <t>Other Current Assets</t>
  </si>
  <si>
    <t>Gross Property, Plant &amp; Equipment</t>
  </si>
  <si>
    <t>Accumulated Depreciation</t>
  </si>
  <si>
    <t>Long-term Investments</t>
  </si>
  <si>
    <t>Goodwill</t>
  </si>
  <si>
    <t>Other Intangibles</t>
  </si>
  <si>
    <t>Accounts Receivable Long-Term</t>
  </si>
  <si>
    <t>Deferred Tax Assets, LT</t>
  </si>
  <si>
    <t>Other Long-Term Assets</t>
  </si>
  <si>
    <t>LIABILITIES</t>
  </si>
  <si>
    <t>Accounts Payable</t>
  </si>
  <si>
    <t>Amortization of Negative Goodwill - After Tax</t>
  </si>
  <si>
    <t>Accounts Receivables - Unbilled</t>
  </si>
  <si>
    <t>Exploration/Drilling Costs</t>
  </si>
  <si>
    <t>Provision for Bad Debts</t>
  </si>
  <si>
    <t>Pre-Opening Costs</t>
  </si>
  <si>
    <t>Impair. of Oil, Gas &amp; Mineral Prop.</t>
  </si>
  <si>
    <t>Other Operating Expense/(Income)</t>
  </si>
  <si>
    <t>Other Operating Exp., Total</t>
  </si>
  <si>
    <t>Operating Income</t>
  </si>
  <si>
    <t>Net Interest Exp.</t>
  </si>
  <si>
    <t>Income / (Loss) from Affiliates</t>
  </si>
  <si>
    <t>EBT Excl Unusual Items</t>
  </si>
  <si>
    <t>Merger &amp; Related Restruct. Charges</t>
  </si>
  <si>
    <t>In Process R &amp; D Exp.</t>
  </si>
  <si>
    <t>EBT Incl Unusual Items</t>
  </si>
  <si>
    <t>Minority Int. in Earnings</t>
  </si>
  <si>
    <t>NI to Common Incl Extra Items</t>
  </si>
  <si>
    <t>NI to Common Excl Extra Items</t>
  </si>
  <si>
    <t>Trading Asset Securities</t>
  </si>
  <si>
    <t>Other Receivables</t>
  </si>
  <si>
    <t>Notes Receivable</t>
  </si>
  <si>
    <t>Total Receivables</t>
  </si>
  <si>
    <t>Finance Div. Loans and Leases, ST</t>
  </si>
  <si>
    <t>Finance Div. Other Curr. Assets</t>
  </si>
  <si>
    <t>Loans Held For Sale</t>
  </si>
  <si>
    <t>Deferred Tax Assets, Curr.</t>
  </si>
  <si>
    <t>Restricted Cash</t>
  </si>
  <si>
    <t>Total Current Assets</t>
  </si>
  <si>
    <t>Net Property, Plant &amp; Equipment</t>
  </si>
  <si>
    <t>Finance Div. Loans and Leases, LT</t>
  </si>
  <si>
    <t>Finance Div. Other LT Assets</t>
  </si>
  <si>
    <t>Loans Receivable Long-Term</t>
  </si>
  <si>
    <t>Deferred Charges, LT</t>
  </si>
  <si>
    <t>Current Portion of Long Term Debt</t>
  </si>
  <si>
    <t>Finance Div. Debt Current</t>
  </si>
  <si>
    <t>Finance Div. Other Curr. Liab.</t>
  </si>
  <si>
    <t>Def. Tax Liability, Curr.</t>
  </si>
  <si>
    <t>Total Current Liabilities</t>
  </si>
  <si>
    <t>Finance Div. Debt Non-Curr.</t>
  </si>
  <si>
    <t>Finance Div. Other Non-Curr. Liab.</t>
  </si>
  <si>
    <t>Unearned Revenue, Non-Current</t>
  </si>
  <si>
    <t>Pension &amp; Other Post-Retire. Benefits</t>
  </si>
  <si>
    <t>Other Rental Expense</t>
  </si>
  <si>
    <t>Minimum Rental Expense</t>
  </si>
  <si>
    <t>Depreciation of Rental Assets</t>
  </si>
  <si>
    <t>Sale Proceeds from Rental Assets</t>
  </si>
  <si>
    <t>Pref. Stock, Non-Redeem.</t>
  </si>
  <si>
    <t>Pref. Stock, Convertible</t>
  </si>
  <si>
    <t>Pref. Stock, Other</t>
  </si>
  <si>
    <t>Total Capitalization</t>
  </si>
  <si>
    <t>(Gain) Loss From Sale Of Asset</t>
  </si>
  <si>
    <t>Asset Writedown &amp; Restructuring Costs</t>
  </si>
  <si>
    <t>Net (Increase) Decrease in Loans Orig./Sold</t>
  </si>
  <si>
    <t>Provision for Credit Losses</t>
  </si>
  <si>
    <t>Tax Benefit from Stock Options</t>
  </si>
  <si>
    <t>Provision &amp; Write-off of Bad debts</t>
  </si>
  <si>
    <t>Net Cash From Discontinued Ops.</t>
  </si>
  <si>
    <t>Change in Trad. Asset Securities</t>
  </si>
  <si>
    <t>Change in Unearned Rev.</t>
  </si>
  <si>
    <t>Cash from Ops.</t>
  </si>
  <si>
    <t>Sale/(Purchase) of Real Estate Properties</t>
  </si>
  <si>
    <t>Sale/(Purchase) of Intangible Assets</t>
  </si>
  <si>
    <t>Invest. in Marketable &amp; Equity Sec.</t>
  </si>
  <si>
    <t>Cash from Investing</t>
  </si>
  <si>
    <t>Cash from Financing</t>
  </si>
  <si>
    <t>Misc. Cash Flow Adj.</t>
  </si>
  <si>
    <t>Net Change in Cash</t>
  </si>
  <si>
    <t>Assets under Capital Lease - Gross</t>
  </si>
  <si>
    <t>Assets under Capital Lease - Accumulated Depreciation</t>
  </si>
  <si>
    <t>Assets on Operating Lease - Gross</t>
  </si>
  <si>
    <t>Assets on Operating Lease - Accumulated Depreciation</t>
  </si>
  <si>
    <t>Options Out. at the Beginning of the Year</t>
  </si>
  <si>
    <t>Options Granted During the Year</t>
  </si>
  <si>
    <t>Options W/Avg. Strike Price of Exercised - Class A</t>
  </si>
  <si>
    <t>Options W/Avg. Strike Price of Cancelled - Class A</t>
  </si>
  <si>
    <t>Options W/Avg. Strike Price of Exercisable - Class A</t>
  </si>
  <si>
    <t>Options Exercisable at End of Period - Other</t>
  </si>
  <si>
    <t>Options W/Avg. Strike Price of Out. at Beginning of Period - Other</t>
  </si>
  <si>
    <t>Options W/Avg. Strike Price of Exercised - Other</t>
  </si>
  <si>
    <t>Options W/Avg. Strike Price of Cancelled - Other</t>
  </si>
  <si>
    <t>Options W/Avg. Strike Price of Exercisable - Other</t>
  </si>
  <si>
    <t>Total Options Exercisable at the End of the Period</t>
  </si>
  <si>
    <t>Finance Division Debt, Total</t>
  </si>
  <si>
    <t>Date</t>
  </si>
  <si>
    <t>Currency</t>
  </si>
  <si>
    <t>USD</t>
  </si>
  <si>
    <t>Aircraft Rental Expense</t>
  </si>
  <si>
    <t>Current Derivative Liabilities</t>
  </si>
  <si>
    <t>Non-Current Derivative Liabilities</t>
  </si>
  <si>
    <t>Derivative Trading Asset Securities</t>
  </si>
  <si>
    <t>Sr. Secured Loans</t>
  </si>
  <si>
    <t>Sr. Secured Bonds and Notes</t>
  </si>
  <si>
    <t>Total Sr. Secured</t>
  </si>
  <si>
    <t>Senior Unsecured Bonds and Notes</t>
  </si>
  <si>
    <t>Securitized Debt</t>
  </si>
  <si>
    <t>Second Lien Loans</t>
  </si>
  <si>
    <t>Second Lien Bonds and Notes</t>
  </si>
  <si>
    <t>Second Lien Debt</t>
  </si>
  <si>
    <t>Fixed Rate Debt</t>
  </si>
  <si>
    <t>Zero Coupon Debt</t>
  </si>
  <si>
    <t>Variable Rate Debt</t>
  </si>
  <si>
    <t>Hedging Activities</t>
  </si>
  <si>
    <t>Undrawn Securitized Facilities</t>
  </si>
  <si>
    <t>Total Senior Secured/EBITDA</t>
  </si>
  <si>
    <t>Total Senior Secured/(EBITDA-CAPEX)</t>
  </si>
  <si>
    <t>Salaries and Other Employee Benefits</t>
  </si>
  <si>
    <t>Distributable Cash Shares (Basic)</t>
  </si>
  <si>
    <t>Distributable Cash Shares (Diluted)</t>
  </si>
  <si>
    <t>Distributable Cash per Share (Diluted)</t>
  </si>
  <si>
    <t>Employees Under Union Contracts</t>
  </si>
  <si>
    <t>Contingent Liabilities</t>
  </si>
  <si>
    <t>Contractual Obligations Due +1</t>
  </si>
  <si>
    <t>Contractual Obligations Due + 2</t>
  </si>
  <si>
    <t>Contractual Obligations Due + 3</t>
  </si>
  <si>
    <t>Contractual Obligations Due + 4</t>
  </si>
  <si>
    <t>Contractual Obligations Due + 5</t>
  </si>
  <si>
    <t>Contractual Obligations Due, Next 5 Yrs</t>
  </si>
  <si>
    <t>Contractual Obligations Due, After 5 Yrs</t>
  </si>
  <si>
    <t>Total Contractual Obligations</t>
  </si>
  <si>
    <t>W/Avg. Interest Rate - Long-term Debt</t>
  </si>
  <si>
    <t>W/Avg. Interest Rate - Total Debt</t>
  </si>
  <si>
    <t>Avg. Interest Rate + 1</t>
  </si>
  <si>
    <t>Avg. Interest Rate + 2</t>
  </si>
  <si>
    <t>Avg. Interest Rate + 3</t>
  </si>
  <si>
    <t>Avg. Interest Rate + 4</t>
  </si>
  <si>
    <t>Avg. Interest Rate + 5</t>
  </si>
  <si>
    <t>Avg. Interest Rate, After 5 Yrs</t>
  </si>
  <si>
    <t>Market Cap / LTM Total Revenues</t>
  </si>
  <si>
    <t>Market Cap / Forward Total Revenues</t>
  </si>
  <si>
    <t>Market Cap / LTM EBT Excl Unusual Items</t>
  </si>
  <si>
    <t>PEG Ratio</t>
  </si>
  <si>
    <t>Forward P / BV</t>
  </si>
  <si>
    <t>Net Debt/EBITDA</t>
  </si>
  <si>
    <t>Total Debt/EBITDA</t>
  </si>
  <si>
    <t>Financial Accounting Standard</t>
  </si>
  <si>
    <t>Total Debt Current</t>
  </si>
  <si>
    <t>Auditor Name</t>
  </si>
  <si>
    <t>Auditor Opinion</t>
  </si>
  <si>
    <t>Restricted Cash (Non-Current)</t>
  </si>
  <si>
    <t>Finance Division Cash and Equivalents</t>
  </si>
  <si>
    <t>Finance Division Short-Term Investments</t>
  </si>
  <si>
    <t>Cash Interest Paid - Operating Activities</t>
  </si>
  <si>
    <t>Cash Interest Paid - Investing Activities</t>
  </si>
  <si>
    <t>Cash Interest Paid - Financing Activities</t>
  </si>
  <si>
    <t>Cash Taxes Paid - Operating Activities</t>
  </si>
  <si>
    <t>Cash Taxes Paid - Investing Activities</t>
  </si>
  <si>
    <t>Cash Taxes Paid - Financing Activities</t>
  </si>
  <si>
    <t>Cash Interest Paid Net of Interest Received</t>
  </si>
  <si>
    <t>Cash Dividend and Interest Received</t>
  </si>
  <si>
    <t>Deferred Income Taxes, Total</t>
  </si>
  <si>
    <t>Period Date</t>
  </si>
  <si>
    <t>Exploration/Drilling Exp.</t>
  </si>
  <si>
    <t>Stock-Based Comp. Exploration/Drilling Exp</t>
  </si>
  <si>
    <t>Debt Issuance Costs</t>
  </si>
  <si>
    <t>Fees and Other Income</t>
  </si>
  <si>
    <t>Liquidation Value of Preferred Stock -Convertable</t>
  </si>
  <si>
    <t>Liquidation Value of Preferred Stock -Non-Redeemable</t>
  </si>
  <si>
    <t>Liquidation Value of Preferred Stock -Redeemable</t>
  </si>
  <si>
    <t>Level 2 Assets - Observable Prices</t>
  </si>
  <si>
    <t>Netting and Other Adjustments to Assets</t>
  </si>
  <si>
    <t>Fair Value of Assets</t>
  </si>
  <si>
    <t>Level 1 Liabilities - Quoted Prices</t>
  </si>
  <si>
    <t>Netting and Other Adjustments to Liabilities</t>
  </si>
  <si>
    <t>Fair Value Change Included in Earnings</t>
  </si>
  <si>
    <t>Shares per Depository Receipt</t>
  </si>
  <si>
    <t>Restructuring Charges (Supple)</t>
  </si>
  <si>
    <t>Merger Expense (Supple)</t>
  </si>
  <si>
    <t>Impairment of Goodwill, Total (Supple)</t>
  </si>
  <si>
    <t>Assets Writedown, Total (Supple)</t>
  </si>
  <si>
    <t>In Process R &amp; D Expenses (Supple)</t>
  </si>
  <si>
    <t>Insurance Settlement (Supple)</t>
  </si>
  <si>
    <t>Legal Settlement (Supple)</t>
  </si>
  <si>
    <t>Other Unusual Items (Supple)</t>
  </si>
  <si>
    <t>Unusual Items, Total (Supple)</t>
  </si>
  <si>
    <t>Other Amortization</t>
  </si>
  <si>
    <t>Assets Under Management - Equity</t>
  </si>
  <si>
    <t>Assets Under Management - Fixed Income</t>
  </si>
  <si>
    <t>Assets Under Management - Money Market</t>
  </si>
  <si>
    <t>Assets Under Management - Other</t>
  </si>
  <si>
    <t>Capital Lease Payment Due (Incl. Interest)+1</t>
  </si>
  <si>
    <t>EBITDA - CAPEX</t>
  </si>
  <si>
    <t>Total Current Taxes</t>
  </si>
  <si>
    <t>Total Deferred Taxes</t>
  </si>
  <si>
    <t>Tangible Book Value Per Share (Reported)</t>
  </si>
  <si>
    <t>Total Intangibles</t>
  </si>
  <si>
    <t>Contingent Rental Expense</t>
  </si>
  <si>
    <t>Standardized Distributable Cash</t>
  </si>
  <si>
    <t>Construction in Progress</t>
  </si>
  <si>
    <t>Leasehold Improvements</t>
  </si>
  <si>
    <t>Short-Term Borrowing Derivatives</t>
  </si>
  <si>
    <t>Curr. Port. of LT Debt Derivatives</t>
  </si>
  <si>
    <t>Long-Term Debt Derivatives</t>
  </si>
  <si>
    <t>Current Derivative Assets</t>
  </si>
  <si>
    <t>Long-Term Derivative Assets</t>
  </si>
  <si>
    <t>Gross Intangible Assets</t>
  </si>
  <si>
    <t>Accumulated Amortization of Intangible Assets</t>
  </si>
  <si>
    <t>Gross Goodwill</t>
  </si>
  <si>
    <t>Accumulated Amortization of Goodwill</t>
  </si>
  <si>
    <t>Assets Under Management - Private Equity</t>
  </si>
  <si>
    <t>Assets Under Management - Real Estate</t>
  </si>
  <si>
    <t>Assets Under Management - Institutional</t>
  </si>
  <si>
    <t>Assets Under Management - Retail</t>
  </si>
  <si>
    <t>Assets Under Management - High Net Worth</t>
  </si>
  <si>
    <t>Assets Under Management - Other Clients</t>
  </si>
  <si>
    <t>Assets Under Management - Domestic</t>
  </si>
  <si>
    <t>Assets Under Management - Foreign</t>
  </si>
  <si>
    <t>Assets Under Management - Fee Earning</t>
  </si>
  <si>
    <t>Assets Under Management - Non Fee Earning</t>
  </si>
  <si>
    <t>Assets Under Management - Retail Customers</t>
  </si>
  <si>
    <t>Assets Under Management - Institutional Customers</t>
  </si>
  <si>
    <t>Assets Under Management - Small, Medium Enterprise Customers</t>
  </si>
  <si>
    <t>Assets Under Management - Other Customers</t>
  </si>
  <si>
    <t>Assets Under Management - Total Customers</t>
  </si>
  <si>
    <t>Assets Under Management - Beginning of Period</t>
  </si>
  <si>
    <t>Assets Under Management - Inflows</t>
  </si>
  <si>
    <t>Assets Under Management - Outflows</t>
  </si>
  <si>
    <t>Assets Under Management - Net Inflows / (Outflows)</t>
  </si>
  <si>
    <t>Assets Under Management - Cash Flows &amp; Dividends</t>
  </si>
  <si>
    <t>Other Non-Current Liabilities</t>
  </si>
  <si>
    <t>Pref. Stock, Redeemable</t>
  </si>
  <si>
    <t>Common Stock</t>
  </si>
  <si>
    <t>Additional Paid In Capital</t>
  </si>
  <si>
    <t>Retained Earnings</t>
  </si>
  <si>
    <t>Treasury Stock</t>
  </si>
  <si>
    <t>Comprehensive Inc. and Other</t>
  </si>
  <si>
    <t>Total Equity</t>
  </si>
  <si>
    <t>Total Liabilities And Equity</t>
  </si>
  <si>
    <t>Total Shares Out. on Filing Cover</t>
  </si>
  <si>
    <t>Return on Assets %</t>
  </si>
  <si>
    <t>Return on Capital %</t>
  </si>
  <si>
    <t>Return on Equity %</t>
  </si>
  <si>
    <t>Return on Common Equity %</t>
  </si>
  <si>
    <t/>
  </si>
  <si>
    <t>Gross Margin %</t>
  </si>
  <si>
    <t>SG&amp;A Margin %</t>
  </si>
  <si>
    <t>EBITDA Margin %</t>
  </si>
  <si>
    <t>EBITA Margin %</t>
  </si>
  <si>
    <t>EBIT Margin %</t>
  </si>
  <si>
    <t>Earnings from Cont. Ops Margin %</t>
  </si>
  <si>
    <t>Net Income Margin %</t>
  </si>
  <si>
    <t>Net Income Avail. for Common Margin %</t>
  </si>
  <si>
    <t>Normalized Net Income Margin %</t>
  </si>
  <si>
    <t>Levered Free Cash Flow Margin %</t>
  </si>
  <si>
    <t>Unlevered Free Cash Flow Margin %</t>
  </si>
  <si>
    <t>Capex as % of Revenues</t>
  </si>
  <si>
    <t>Total Asset Turnover</t>
  </si>
  <si>
    <t>Fixed Asset Turnover</t>
  </si>
  <si>
    <t>Accounts Receivable Turnover</t>
  </si>
  <si>
    <t>Inventory Turnover</t>
  </si>
  <si>
    <t>Current Ratio</t>
  </si>
  <si>
    <t>Quick Ratio</t>
  </si>
  <si>
    <t>Cash from Ops. to Curr. Liab.</t>
  </si>
  <si>
    <t>Avg. Days Sales Out.</t>
  </si>
  <si>
    <t>Avg. Days Inventory Out.</t>
  </si>
  <si>
    <t>Avg. Days Payable Out.</t>
  </si>
  <si>
    <t>Avg. Cash Conversion Cycle</t>
  </si>
  <si>
    <t>Total Debt/Equity</t>
  </si>
  <si>
    <t>Total Debt/Capital</t>
  </si>
  <si>
    <t>LT Debt/Equity</t>
  </si>
  <si>
    <t>LT Debt/Capital</t>
  </si>
  <si>
    <t>Total Liabilities/Total Assets</t>
  </si>
  <si>
    <t>EBIT / Interest Exp.</t>
  </si>
  <si>
    <t>EBITDA / Interest Exp.</t>
  </si>
  <si>
    <t>(EBITDA-CAPEX) / Interest Exp.</t>
  </si>
  <si>
    <t>Altman Z Score</t>
  </si>
  <si>
    <t>Total Revenues / Employee</t>
  </si>
  <si>
    <t>Diluted EPS before Extra</t>
  </si>
  <si>
    <t>Net PP&amp;E</t>
  </si>
  <si>
    <t>Total Assets</t>
  </si>
  <si>
    <t>Capital Expenditures</t>
  </si>
  <si>
    <t>Dividend per Share</t>
  </si>
  <si>
    <t>Levered Free Cash Flow</t>
  </si>
  <si>
    <t>Unlevered Free Cash Flow</t>
  </si>
  <si>
    <t>For the Fiscal Period Ending</t>
  </si>
  <si>
    <t>Valuation Multiples</t>
  </si>
  <si>
    <t>Capitalization</t>
  </si>
  <si>
    <t>Total Shares Out. on Balance Sheet Date</t>
  </si>
  <si>
    <t>Tangible Book Value</t>
  </si>
  <si>
    <t>Total Debt</t>
  </si>
  <si>
    <t>Net Debt</t>
  </si>
  <si>
    <t>Equity Method Investments</t>
  </si>
  <si>
    <t>Inventory Method</t>
  </si>
  <si>
    <t>LIFO Reserve</t>
  </si>
  <si>
    <t>Raw Materials Inventory</t>
  </si>
  <si>
    <t>Work in Progress Inventory</t>
  </si>
  <si>
    <t>Finished Goods Inventory</t>
  </si>
  <si>
    <t>Land</t>
  </si>
  <si>
    <t>Buildings</t>
  </si>
  <si>
    <t>Machinery</t>
  </si>
  <si>
    <t>Full Time Employees</t>
  </si>
  <si>
    <t>Accumulated Allowance for Doubtful Accounts</t>
  </si>
  <si>
    <t>Amort. of Goodwill and Intangibles</t>
  </si>
  <si>
    <t>Depreciation &amp; Amort., Total</t>
  </si>
  <si>
    <t>(Gain) Loss On Sale Of Invest.</t>
  </si>
  <si>
    <t>(Income) Loss on Equity Invest.</t>
  </si>
  <si>
    <t>Stock-Based Compensation</t>
  </si>
  <si>
    <t>Other Operating Activities</t>
  </si>
  <si>
    <t>Change in Acc. Receivable</t>
  </si>
  <si>
    <t>Change In Inventories</t>
  </si>
  <si>
    <t>Change in Acc. Payable</t>
  </si>
  <si>
    <t>Change in Inc. Taxes</t>
  </si>
  <si>
    <t>Change in Def. Taxes</t>
  </si>
  <si>
    <t>Capital Expenditure</t>
  </si>
  <si>
    <t>Sale of Property, Plant, and Equipment</t>
  </si>
  <si>
    <t>Cash Acquisitions</t>
  </si>
  <si>
    <t>Divestitures</t>
  </si>
  <si>
    <t>Net (Inc.) Dec. in Loans Originated/Sold</t>
  </si>
  <si>
    <t>Other Investing Activities</t>
  </si>
  <si>
    <t>Short Term Debt Issued</t>
  </si>
  <si>
    <t>Long-Term Debt Issued</t>
  </si>
  <si>
    <t>Total Debt Issued</t>
  </si>
  <si>
    <t>Short Term Debt Repaid</t>
  </si>
  <si>
    <t>Long-Term Debt Repaid</t>
  </si>
  <si>
    <t>Total Debt Repaid</t>
  </si>
  <si>
    <t>Issuance of Common Stock</t>
  </si>
  <si>
    <t>Repurchase of Common</t>
  </si>
  <si>
    <t>Issuance of Pref. Stock</t>
  </si>
  <si>
    <t>Repurchase of Preferred</t>
  </si>
  <si>
    <t>Common Dividends Paid</t>
  </si>
  <si>
    <t>Pref. Dividends Paid</t>
  </si>
  <si>
    <t>Common and/or Pref. Dividends Paid</t>
  </si>
  <si>
    <t>Total Dividends Paid</t>
  </si>
  <si>
    <t>Special Dividend Paid</t>
  </si>
  <si>
    <t>Other Financing Activities</t>
  </si>
  <si>
    <t>Foreign Exchange Rate Adj.</t>
  </si>
  <si>
    <t>Cash Interest Paid</t>
  </si>
  <si>
    <t>Cash Taxes Paid</t>
  </si>
  <si>
    <t>Change in Net Working Capital</t>
  </si>
  <si>
    <t>Net Debt Issued</t>
  </si>
  <si>
    <t>Profitability</t>
  </si>
  <si>
    <t>Margin Analysis</t>
  </si>
  <si>
    <t>Book Value/Share (Reported)</t>
  </si>
  <si>
    <t>Asset Turnover</t>
  </si>
  <si>
    <t>Short Term Liquidity</t>
  </si>
  <si>
    <t>Long Term Solvency</t>
  </si>
  <si>
    <t>Total Pension Expense</t>
  </si>
  <si>
    <t>Fixed Payment Schedule</t>
  </si>
  <si>
    <t>TEV / LTM Total Revenue</t>
  </si>
  <si>
    <t>TEV / NTM Total Revenue</t>
  </si>
  <si>
    <t>Price / LTM EPS</t>
  </si>
  <si>
    <t>Average</t>
  </si>
  <si>
    <t>Price / NTM EPS</t>
  </si>
  <si>
    <t>High</t>
  </si>
  <si>
    <t>Growth Over Prior Year</t>
  </si>
  <si>
    <t>Def. Benefit Service Cost</t>
  </si>
  <si>
    <t>Assets Under Management - Market Appreciation / (Depreciation)</t>
  </si>
  <si>
    <t>Assets Under Management - Acquisitions and Transfers</t>
  </si>
  <si>
    <t>Assets Under Management - Other Adjustments</t>
  </si>
  <si>
    <t>Assets Under Management - End of Period</t>
  </si>
  <si>
    <t>Assets Under Management - Average</t>
  </si>
  <si>
    <t>Assets Under Management - Net Change</t>
  </si>
  <si>
    <t>Mutual Fund - Beginning of Period</t>
  </si>
  <si>
    <t>Mutual Fund - Sales</t>
  </si>
  <si>
    <t>Mutual Fund - Redemptions</t>
  </si>
  <si>
    <t>Mutual Fund - Net Sales</t>
  </si>
  <si>
    <t>Mutual Fund - Market Appreciation / (Depreciation)</t>
  </si>
  <si>
    <t>Mutual Fund - Acquisitions and Other</t>
  </si>
  <si>
    <t>Mutual Fund - End of Period</t>
  </si>
  <si>
    <t>Daily Average Revenue Trades</t>
  </si>
  <si>
    <t>Number of Trades Executed</t>
  </si>
  <si>
    <t>Organic Growth Rate</t>
  </si>
  <si>
    <t>Net New Client Assets</t>
  </si>
  <si>
    <t>Average Revenue Per Trade</t>
  </si>
  <si>
    <t>Assets Under Administration</t>
  </si>
  <si>
    <t>Value of Customer Assets</t>
  </si>
  <si>
    <t>Asset Managed Growth Rate</t>
  </si>
  <si>
    <t>Unrecog. Tax Benefits, Beginning of the Period</t>
  </si>
  <si>
    <t>Additions Based on Tax Positions - Current Yr.</t>
  </si>
  <si>
    <t>Reductions Based on Tax Positions - Current Yr.</t>
  </si>
  <si>
    <t>Additions for Tax Positions - Prior Yrs</t>
  </si>
  <si>
    <t>Reductions for Tax Positions - Prior Yrs</t>
  </si>
  <si>
    <t>Settlements with Tax Authorities</t>
  </si>
  <si>
    <t>Lapse of Statute of Limitations</t>
  </si>
  <si>
    <t>Unrecog. Tax Benefits - Other Adj.</t>
  </si>
  <si>
    <t>Unrecog. Tax Benefits, End of the Period</t>
  </si>
  <si>
    <t>Account Code - Interest and Penalties</t>
  </si>
  <si>
    <t>Interest and Penalties Recog. on IS - Before Tax</t>
  </si>
  <si>
    <t>Interest and Penalties Recog. on IS - After Tax</t>
  </si>
  <si>
    <t>Interest and Penalties Recog. on BS - Before Tax</t>
  </si>
  <si>
    <t>Interest and Penalties Recog. on BS - After Tax</t>
  </si>
  <si>
    <t>Capitalization Detail</t>
  </si>
  <si>
    <t>Market Capitalization</t>
  </si>
  <si>
    <t>Price / LTM Normalized EPS</t>
  </si>
  <si>
    <t>Low</t>
  </si>
  <si>
    <t>Price / Book Value</t>
  </si>
  <si>
    <t>Close</t>
  </si>
  <si>
    <t>Price / Tangible Book Value</t>
  </si>
  <si>
    <t>Price / NTM CFPS</t>
  </si>
  <si>
    <t>TEV / LTM Unlevered FCF</t>
  </si>
  <si>
    <t>Market Cap / LTM Levered FCF</t>
  </si>
  <si>
    <t>Ticker</t>
  </si>
  <si>
    <t>12 Months</t>
  </si>
  <si>
    <t>Total Common Equity</t>
  </si>
  <si>
    <t>Minority Interest</t>
  </si>
  <si>
    <t>Pref Equity</t>
  </si>
  <si>
    <t>Total Capital</t>
  </si>
  <si>
    <t>Debt Summary Data</t>
  </si>
  <si>
    <t>Total Commercial Paper</t>
  </si>
  <si>
    <t>Total Revolving Credit</t>
  </si>
  <si>
    <t>Total Term Loans</t>
  </si>
  <si>
    <t>Total Sr. Bonds and Notes</t>
  </si>
  <si>
    <t>Total Sub. Bonds and Notes</t>
  </si>
  <si>
    <t>Other Borrowings</t>
  </si>
  <si>
    <t>Total Principal Due</t>
  </si>
  <si>
    <t>Total Unamortized Discount</t>
  </si>
  <si>
    <t>Adjustments</t>
  </si>
  <si>
    <t>Available Credit</t>
  </si>
  <si>
    <t>Undrawn Revolving Credit</t>
  </si>
  <si>
    <t>Undrawn Commercial Paper</t>
  </si>
  <si>
    <t>Undrawn Term Loans</t>
  </si>
  <si>
    <t>Other Available Credit</t>
  </si>
  <si>
    <t>Total Undrawn Credit</t>
  </si>
  <si>
    <t>Additional Totals</t>
  </si>
  <si>
    <t>Total Cash &amp; ST Investments</t>
  </si>
  <si>
    <t>Total Senior Debt</t>
  </si>
  <si>
    <t>Total Sub. Debt</t>
  </si>
  <si>
    <t>Sr. Sub. Debt</t>
  </si>
  <si>
    <t>Sub. Debt</t>
  </si>
  <si>
    <t>Jr. Sub. Debt</t>
  </si>
  <si>
    <t>Total Convertible Debt</t>
  </si>
  <si>
    <t>Total Short-Term Debt</t>
  </si>
  <si>
    <t>Curr. Port. of LT Debt/Cap. Leases</t>
  </si>
  <si>
    <t>Long-Term Debt (Incl. Cap. Leases)</t>
  </si>
  <si>
    <t>Total Bank Debt</t>
  </si>
  <si>
    <t>Total Secured Debt</t>
  </si>
  <si>
    <t>Total Unsecured Debt</t>
  </si>
  <si>
    <t>Total Non-Recourse Debt</t>
  </si>
  <si>
    <t>Credit Ratios</t>
  </si>
  <si>
    <t>Senior Debt/EBITDA</t>
  </si>
  <si>
    <t>Total Sub. Debt/ EBITDA</t>
  </si>
  <si>
    <t>Sr. Sub. Debt/EBITDA</t>
  </si>
  <si>
    <t>Sub. Debt/EBITDA</t>
  </si>
  <si>
    <t>Warrants Exercised During the Year - Other</t>
  </si>
  <si>
    <t>Warrants Cancelled During the Year - Other</t>
  </si>
  <si>
    <t>Warrants Out. At The End of the Year - Other</t>
  </si>
  <si>
    <t>Warrants W/Avg Strike Price of Out. - Other</t>
  </si>
  <si>
    <t>Warrants W/Avg Strike of Issued - Other</t>
  </si>
  <si>
    <t>Total Warrants Out. at the Beginning of the Year</t>
  </si>
  <si>
    <t>Total Warrants Issued During the Year</t>
  </si>
  <si>
    <t>Total Warrants Exercised During the Year</t>
  </si>
  <si>
    <t>Capitalized/Purchased Software</t>
  </si>
  <si>
    <t>Total Warrants Cancelled During the Year</t>
  </si>
  <si>
    <t>Total Warrants Out. at the End of the Year</t>
  </si>
  <si>
    <t>Loss Carry Forward Items</t>
  </si>
  <si>
    <t>NOL C/F, Current Year</t>
  </si>
  <si>
    <t>NOL C/F, Current Year + 1</t>
  </si>
  <si>
    <t>NOL C/F, Current Year + 2</t>
  </si>
  <si>
    <t>NOL C/F, Current Year + 3</t>
  </si>
  <si>
    <t>NOL C/F, Current Year + 4</t>
  </si>
  <si>
    <t>NOL C/F, After Five Years</t>
  </si>
  <si>
    <t>NOL C/F, No Expiration</t>
  </si>
  <si>
    <t>Total NOL C/F</t>
  </si>
  <si>
    <t>Max. Year for NOL C/F</t>
  </si>
  <si>
    <t>Capital Loss C/F, Current Year</t>
  </si>
  <si>
    <t>Capital Loss C/F, Current Year + 1</t>
  </si>
  <si>
    <t>Capital Loss C/F, Current Year + 2</t>
  </si>
  <si>
    <t>Capital Loss C/F, Current Year + 3</t>
  </si>
  <si>
    <t>Capital Loss C/F, Current Year + 4</t>
  </si>
  <si>
    <t>Capital Loss C/F, After Five Years</t>
  </si>
  <si>
    <t>Capital Loss C/F, No Expiration</t>
  </si>
  <si>
    <t>Total Capital Loss C/F</t>
  </si>
  <si>
    <t>Max. Year for Capital Loss C/F</t>
  </si>
  <si>
    <t>Tax Benefit C/F, Current Year</t>
  </si>
  <si>
    <t>Tax Benefit C/F, Current Year + 1</t>
  </si>
  <si>
    <t>Tax Benefit C/F, Current Year + 2</t>
  </si>
  <si>
    <t>Tax Benefit C/F, Current Year + 3</t>
  </si>
  <si>
    <t>Tax Benefit C/F, Current Year + 4</t>
  </si>
  <si>
    <t>Tax Benefit C/F, After Five Years</t>
  </si>
  <si>
    <t>Tax Benefit C/F, No Expiration</t>
  </si>
  <si>
    <t>Total Tax Benefit C/F</t>
  </si>
  <si>
    <t>Max. Year for Tax Benefit C/F</t>
  </si>
  <si>
    <t>EBITDAR</t>
  </si>
  <si>
    <t>Interest On Long Term Debt</t>
  </si>
  <si>
    <t>Calculation Type</t>
  </si>
  <si>
    <t>Supplemental Operating Expense Items</t>
  </si>
  <si>
    <t>Advertising</t>
  </si>
  <si>
    <t>Marketing Expense</t>
  </si>
  <si>
    <t>Selling And Marketing Expense</t>
  </si>
  <si>
    <t>General and Administrative Expense</t>
  </si>
  <si>
    <t>Imputed Oper. Lease Interest Exp</t>
  </si>
  <si>
    <t>Imputed Oper. Lease Depreciation</t>
  </si>
  <si>
    <t>D&amp;A For EBITDA</t>
  </si>
  <si>
    <t>Non-Cash Pension Expense</t>
  </si>
  <si>
    <t>Stock-Based Comp., COGS</t>
  </si>
  <si>
    <t>Stock-Based Comp., R&amp;D Exp</t>
  </si>
  <si>
    <t>Stock-Based Comp., S&amp;M Exp</t>
  </si>
  <si>
    <t>Stock-Based Comp., G&amp;A Exp</t>
  </si>
  <si>
    <t>Stock-Based Comp., SG&amp;A Exp</t>
  </si>
  <si>
    <t>Stock-Based Comp., Unallocated</t>
  </si>
  <si>
    <t>Stock-Based Comp., After-Tax</t>
  </si>
  <si>
    <t>Stock-Based Comp., Total</t>
  </si>
  <si>
    <t>Distributable Cash</t>
  </si>
  <si>
    <t>Common Stock Dividend Declared</t>
  </si>
  <si>
    <t>Part Time Employees</t>
  </si>
  <si>
    <t>Order Backlog</t>
  </si>
  <si>
    <t>Working Capital</t>
  </si>
  <si>
    <t>Depreciation (From Notes)</t>
  </si>
  <si>
    <t>Maintenance CAPEX</t>
  </si>
  <si>
    <t>Total Debt/(EBITDA-CAPEX)</t>
  </si>
  <si>
    <t>Net Debt/(EBITDA-CAPEX)</t>
  </si>
  <si>
    <t>Long Term Film Contract and Broadcasting Rights</t>
  </si>
  <si>
    <t>Restr. Stock Comp. Exp., Before Tax</t>
  </si>
  <si>
    <t>Restr. Stock Comp. Exp., Tax Effect</t>
  </si>
  <si>
    <t>Restr. Stock Comp. Exp., After Tax</t>
  </si>
  <si>
    <t>Stock Options Comp. Exp., Before Tax</t>
  </si>
  <si>
    <t>Stock Options Comp. Exp., Tax Effect</t>
  </si>
  <si>
    <t>Stock Options Comp. Exp., After Tax</t>
  </si>
  <si>
    <t>Stock Based Comp. Exp., Before Tax</t>
  </si>
  <si>
    <t>Stock Based Comp. Exp., Tax Effect</t>
  </si>
  <si>
    <t>Stock Based Comp. Exp., After Tax</t>
  </si>
  <si>
    <t>Dividends per Share</t>
  </si>
  <si>
    <t>Revenues per Share</t>
  </si>
  <si>
    <t>Distributable Cash per Share</t>
  </si>
  <si>
    <t>Special Dividend per Share</t>
  </si>
  <si>
    <t>EBITDA (Incl. Equity Inc. from Affiliates)</t>
  </si>
  <si>
    <t>EBITDA (Excl. SBC and Incl. Equity Inc. from Affiliates)</t>
  </si>
  <si>
    <t>EBITDA (Excl. SBC)</t>
  </si>
  <si>
    <t>EBIT (Incl. Equity Inc. from Affiliates)</t>
  </si>
  <si>
    <t>EBIT (Excl. SBC and Incl. Equity Inc. from Affiliates)</t>
  </si>
  <si>
    <t>EBIT (Excl. SBC)</t>
  </si>
  <si>
    <t>EBITA (Incl. Equity Inc. from Affiliates)</t>
  </si>
  <si>
    <t>EBITA (Excl. SBC and Incl. Equity Inc. from Affiliates)</t>
  </si>
  <si>
    <t>EBITA (Excl. SBC)</t>
  </si>
  <si>
    <t>EBITDAR (Incl. Equity Inc. from Affiliates)</t>
  </si>
  <si>
    <t>EBITDAR (Excl. SBC and Incl. Equity Inc. from Affiliates)</t>
  </si>
  <si>
    <t>EBITDAR (Excl. SBC)</t>
  </si>
  <si>
    <t>Same Store Sales Growth</t>
  </si>
  <si>
    <t>Net Income per SFAS 123 (after Options)</t>
  </si>
  <si>
    <t>Excise Taxes Excluded from Sales</t>
  </si>
  <si>
    <t>Excise Taxes Included in Sales</t>
  </si>
  <si>
    <t>Diluted Net Income</t>
  </si>
  <si>
    <t>Net Income to Parent</t>
  </si>
  <si>
    <t>Interest Expense (Incl. Cap. Interest)</t>
  </si>
  <si>
    <t>Annualized Distributions per Unit</t>
  </si>
  <si>
    <t>Distributable Cash Payout Ratio (Income Trusts)</t>
  </si>
  <si>
    <t>Effective Tax Rate (%)</t>
  </si>
  <si>
    <t>Payout Ratio (%)</t>
  </si>
  <si>
    <t>Period Length in Months</t>
  </si>
  <si>
    <t>Filing Currency</t>
  </si>
  <si>
    <t>R&amp;D Expense (footnotes)</t>
  </si>
  <si>
    <t>Tangible Book Value/Share</t>
  </si>
  <si>
    <t>Cash per Share</t>
  </si>
  <si>
    <t>Minority Interest, Total</t>
  </si>
  <si>
    <t>Net Working Capital</t>
  </si>
  <si>
    <t>Other Inventory Accounts</t>
  </si>
  <si>
    <t>Total Employees</t>
  </si>
  <si>
    <t>Finance Division Long-term Debt, Total</t>
  </si>
  <si>
    <t>Finance Division Short-term Debt, Total</t>
  </si>
  <si>
    <t>Cost of Borrowing</t>
  </si>
  <si>
    <t>Total Debt (Excl.Fin.Div.Debt)</t>
  </si>
  <si>
    <t>Interest Capitalized, Beg. Of Period</t>
  </si>
  <si>
    <t>Interest Capitalized, Expensed</t>
  </si>
  <si>
    <t>Interest Capitalized, Written-off</t>
  </si>
  <si>
    <t>Interest Capitalized, Other Adj.</t>
  </si>
  <si>
    <t>Interest Capitalized, End Of Period</t>
  </si>
  <si>
    <t>Def. Benefit Total Cost</t>
  </si>
  <si>
    <t>Def. Contribution Cost</t>
  </si>
  <si>
    <t>Proj. Benefit Obligation</t>
  </si>
  <si>
    <t>Accum. Benefit Obligation (Pension)</t>
  </si>
  <si>
    <t>Exp.Ret. On Pension Assets</t>
  </si>
  <si>
    <t>Assumed Comp. Growth Rate</t>
  </si>
  <si>
    <t>Pension</t>
  </si>
  <si>
    <t>OPEB</t>
  </si>
  <si>
    <t>Pension - Domestic</t>
  </si>
  <si>
    <t>OPEB - Domestic</t>
  </si>
  <si>
    <t>Pension - Foreign</t>
  </si>
  <si>
    <t>OPEB - Foreign</t>
  </si>
  <si>
    <t>Change In Other Net Operating Assets</t>
  </si>
  <si>
    <t>Net Income to Company</t>
  </si>
  <si>
    <t>Earnings to Parent before Extraordinary Items</t>
  </si>
  <si>
    <t>Redeemable Minority Interest</t>
  </si>
  <si>
    <t>Finance Division Redeemable Minority Interest</t>
  </si>
  <si>
    <t>Total Redeemable Minority Interest</t>
  </si>
  <si>
    <t>Finance Division Minority Interest</t>
  </si>
  <si>
    <t>LTM</t>
  </si>
  <si>
    <t>Total Trust Preferred</t>
  </si>
  <si>
    <t>Breakdown of Amounts recognized in Other Comprehensive Income in BS</t>
  </si>
  <si>
    <t>Net Actuarial Loss/Gain – Compr. Inc.</t>
  </si>
  <si>
    <t>Prior Service Cost/Benefit – Compr. Inc.</t>
  </si>
  <si>
    <t>Transition Asset/Obligation – Compr. Inc.</t>
  </si>
  <si>
    <t>Other Misc. Adj. – Compr. Inc.</t>
  </si>
  <si>
    <t>Net Amount Recognized – Compr. Inc.</t>
  </si>
  <si>
    <t>Expected to be recognized as components of net periodic benefit cost in the next year</t>
  </si>
  <si>
    <t>Prior Service Cost/Benefit Recog. Next Period</t>
  </si>
  <si>
    <t>Net Actuarial Loss/Gain Recog. Next Period</t>
  </si>
  <si>
    <t>Transition Asset/Obligation Recog. Next Period</t>
  </si>
  <si>
    <t>Total Amount to be Recognized Next Period</t>
  </si>
  <si>
    <t>Long Term Assets</t>
  </si>
  <si>
    <t>Current Liabilities</t>
  </si>
  <si>
    <t>Long Term Liabilities</t>
  </si>
  <si>
    <t>Avg Employees</t>
  </si>
  <si>
    <t>Temporary/Seasonal Employees</t>
  </si>
  <si>
    <t>Options Exercisable at the End of the Period</t>
  </si>
  <si>
    <t>Options W/Avg. Strike Price of Out. at Beginning of Period</t>
  </si>
  <si>
    <t>Options W/Avg. Strike Price of Exercised</t>
  </si>
  <si>
    <t>Options W/Avg. Strike Price of Cancelled</t>
  </si>
  <si>
    <t>Options W/Avg. Strike Price of Exercisable</t>
  </si>
  <si>
    <t>Options Exercisable at End of Period - Class A</t>
  </si>
  <si>
    <t>Options W/Avg. Strike Price of Out. at Beginning of Period - Class A</t>
  </si>
  <si>
    <t>Jr. Sub Debt/EBITDA</t>
  </si>
  <si>
    <t>Senior Debt/(EBITDA - CAPEX)</t>
  </si>
  <si>
    <t>Total Sub. Debt/(EBITDA - CAPEX)</t>
  </si>
  <si>
    <t>Sr. Sub. Debt/(EBITDA-CAPEX)</t>
  </si>
  <si>
    <t>Sub. Debt/(EBITDA-CAPEX)</t>
  </si>
  <si>
    <t>Jr. Sub Debt/(EBITDA-CAPEX)</t>
  </si>
  <si>
    <t>LT Debt Due + 1</t>
  </si>
  <si>
    <t>LT Debt Due + 2</t>
  </si>
  <si>
    <t>LT Debt Due + 3</t>
  </si>
  <si>
    <t>LT Debt Due + 4</t>
  </si>
  <si>
    <t>LT Debt Due + 5</t>
  </si>
  <si>
    <t>LT Debt Due, Next Five Years</t>
  </si>
  <si>
    <t>LT Debt Due After 5 Years</t>
  </si>
  <si>
    <t>Capital Lease Payment Due + 1</t>
  </si>
  <si>
    <t>Capital Lease Payment Due + 2</t>
  </si>
  <si>
    <t>Capital Lease Payment Due + 3</t>
  </si>
  <si>
    <t>Capital Lease Payment Due + 4</t>
  </si>
  <si>
    <t>Capital Lease Payment Due + 5</t>
  </si>
  <si>
    <t>Capital Lease Payment Due, Next Five Years</t>
  </si>
  <si>
    <t>Capital Lease payment Due After 5 Years</t>
  </si>
  <si>
    <t>Operating Lease Commitment+ 1</t>
  </si>
  <si>
    <t>Operating Lease Commitment+ 2</t>
  </si>
  <si>
    <t>Operating Lease Commitment+ 3</t>
  </si>
  <si>
    <t>Operating Lease Commitment+ 4</t>
  </si>
  <si>
    <t>Operating Lease Commitment+ 5</t>
  </si>
  <si>
    <t>Operating Lease Commitment, Next Five Years</t>
  </si>
  <si>
    <t>Operating Lease CommitmentAfter 5 Years</t>
  </si>
  <si>
    <t>Sub-Lease Income+ 1</t>
  </si>
  <si>
    <t>Sub-Lease Income+ 2</t>
  </si>
  <si>
    <t>Sub-Lease Income+ 3</t>
  </si>
  <si>
    <t>Sub-Lease Income+ 4</t>
  </si>
  <si>
    <t>Sub-Lease Income+ 5</t>
  </si>
  <si>
    <t>Sub-Lease Income, Next Five Years</t>
  </si>
  <si>
    <t>Sub-Lease IncomeAfter 5 Years</t>
  </si>
  <si>
    <t>Share Price</t>
  </si>
  <si>
    <t>GRAPH DATA</t>
  </si>
  <si>
    <t>Common Equity</t>
  </si>
  <si>
    <t>Total Liability</t>
  </si>
  <si>
    <t>Net Liability</t>
  </si>
  <si>
    <t>MarketCap</t>
  </si>
  <si>
    <t>TEV</t>
  </si>
  <si>
    <t>Book Value of Common Equity</t>
  </si>
  <si>
    <t>Total Liability includes Total Debt, Minority Interest and Pref. Equity.</t>
  </si>
  <si>
    <t>Net Liability includes Total Liability, net of Cash and Equivalents.</t>
  </si>
  <si>
    <t>TEV includes Market Cap and Net Liability.</t>
  </si>
  <si>
    <t>Total Capital includes Common Equity and Total Liability.</t>
  </si>
  <si>
    <t>P/Diluted EPS Before Extra</t>
  </si>
  <si>
    <t>Note: Average multiples are calculated using positive close values on each trading day within the frequency periods selected. Negative values are excluded from the calculation.</t>
  </si>
  <si>
    <t>TEV / NTM EBITDA</t>
  </si>
  <si>
    <t>TEV / LTM EBIT</t>
  </si>
  <si>
    <t>TEV / NTM EBIT</t>
  </si>
  <si>
    <t>Compounded Annual Growth Rate Over Two Years</t>
  </si>
  <si>
    <t>Compounded Annual Growth Rate Over Three Years</t>
  </si>
  <si>
    <t>Compounded Annual Growth Rate Over Five Years</t>
  </si>
  <si>
    <t>For the Calendar Quarter Ending,</t>
  </si>
  <si>
    <t>Revenues</t>
  </si>
  <si>
    <t>Finance Div. Revenues</t>
  </si>
  <si>
    <t>Insurance Div. Revenues</t>
  </si>
  <si>
    <t>Gain/(Loss) on Sale Of Assets (Rev)</t>
  </si>
  <si>
    <t>Cash Flow per Share</t>
  </si>
  <si>
    <t>Net Cash from Discontinued Ops. - Investing</t>
  </si>
  <si>
    <t>Net Cash from Discontinued Ops. - Financing</t>
  </si>
  <si>
    <t>Gain/(Loss) on Sale Of Invest.(Rev)</t>
  </si>
  <si>
    <t>Interest And Invest. Income (Rev)</t>
  </si>
  <si>
    <t>Other Revenues</t>
  </si>
  <si>
    <t>Total Revenues</t>
  </si>
  <si>
    <t>Finance Div. Operating Exp.</t>
  </si>
  <si>
    <t>Insurance Div. Operating Exp.</t>
  </si>
  <si>
    <t>Interest Expense - Finance Division</t>
  </si>
  <si>
    <t>Changes in Unrecog. Tax Benefit within a Year of the Rep. Date - Min</t>
  </si>
  <si>
    <t>Changes in Unrecog. Tax Benefit within a Year of the Rep. Date - Max</t>
  </si>
  <si>
    <t>Impact of Unrecog. Tax Benefit on the Effective Tax Rate</t>
  </si>
  <si>
    <t>Interest Rate Data</t>
  </si>
  <si>
    <t>Adoption of FIN 48 Related Items</t>
  </si>
  <si>
    <t>Filing Version</t>
  </si>
  <si>
    <t>Defined Benefit Net Periodic Cost</t>
  </si>
  <si>
    <t>Defined Benefit Obligation</t>
  </si>
  <si>
    <t>Beg. Def. Benefit Obligation</t>
  </si>
  <si>
    <t>Def. Benefit Interest Cost</t>
  </si>
  <si>
    <t>Def. Benefit Employee Contributions</t>
  </si>
  <si>
    <t>Def. Benefit Actuarial Gain/Losses</t>
  </si>
  <si>
    <t>Foreign Exchange Adj.</t>
  </si>
  <si>
    <t>Acq. Benefit Obligation</t>
  </si>
  <si>
    <t>Def. Benefit Settlement/Curtailment</t>
  </si>
  <si>
    <t>Other Adj. To Def. Benefit Obligation</t>
  </si>
  <si>
    <t>Plan Assets</t>
  </si>
  <si>
    <t>Beg. Plan Assets</t>
  </si>
  <si>
    <t>Actual Return on Plan Assets</t>
  </si>
  <si>
    <t>Employer Contributions</t>
  </si>
  <si>
    <t>Participant Contributions</t>
  </si>
  <si>
    <t>Benefits Paid</t>
  </si>
  <si>
    <t>Foreign Exchange Adjustments</t>
  </si>
  <si>
    <t>Acquired Plan Assets</t>
  </si>
  <si>
    <t>Plan Settlement/Curtailment</t>
  </si>
  <si>
    <t>Other Plan Adjustments</t>
  </si>
  <si>
    <t>Total Plan Assets</t>
  </si>
  <si>
    <t>Weighted Avg. Assumptions on Net Periodic Cost</t>
  </si>
  <si>
    <t>Net Periodic Cost Disc. Rate - Min</t>
  </si>
  <si>
    <t>Net Periodic Cost Disc. Rate - Max</t>
  </si>
  <si>
    <t>Rate of Comp. Increase - Min</t>
  </si>
  <si>
    <t>Exp. Long-Term Rate of Return on Assets - Min</t>
  </si>
  <si>
    <t>Exp. Long-Term Rate of Return on Assets - Max</t>
  </si>
  <si>
    <t>Breakdown of Plan Assets</t>
  </si>
  <si>
    <t>Plan Assets - Equities (%)</t>
  </si>
  <si>
    <t>Plan Assets - Fixed Income (%)</t>
  </si>
  <si>
    <t>Plan Assets- Real Estate (%)</t>
  </si>
  <si>
    <t>Other Plan Assets (%)</t>
  </si>
  <si>
    <t>Plan Assets - Equities</t>
  </si>
  <si>
    <t>Plan Assets - Fixed Income</t>
  </si>
  <si>
    <t>Plan Assets- Real Estate</t>
  </si>
  <si>
    <t>Other Plan Assets</t>
  </si>
  <si>
    <t>Weighted Avg. Assumptions on Def. Benefit Obligation</t>
  </si>
  <si>
    <t>PBO Assumed Rate of Return - Min</t>
  </si>
  <si>
    <t>PBO Assumed Rate of Return - Max</t>
  </si>
  <si>
    <t>Rate of PBO Compensation Increase - Min</t>
  </si>
  <si>
    <t>Rate of PBO Compensation Increase - Max</t>
  </si>
  <si>
    <t>Estimated Future Benefits Paid</t>
  </si>
  <si>
    <t>Est. Future Benefits Paid - 1st Yr</t>
  </si>
  <si>
    <t>Est. Future Benefits Paid - 2nd Yr</t>
  </si>
  <si>
    <t>Est. Future Benefits Paid - 3rd Yr</t>
  </si>
  <si>
    <t>Est. Future Benefits Paid - 4th Yr</t>
  </si>
  <si>
    <t>Est. Future Benefits Paid - 5th Yr</t>
  </si>
  <si>
    <t>Est. Future Benefits Paid - Thereafter</t>
  </si>
  <si>
    <t>Balance Sheet Reconciliation Items</t>
  </si>
  <si>
    <t>Prepaid Benefit Cost</t>
  </si>
  <si>
    <t>Accrued Benefit Liability</t>
  </si>
  <si>
    <t>Intangible Assets</t>
  </si>
  <si>
    <t>Accum. Other Comp. Income</t>
  </si>
  <si>
    <t>Other Assets/Liabilities</t>
  </si>
  <si>
    <t>Adj. for Liability Recognized on Balance Sheet</t>
  </si>
  <si>
    <t>Unrecog. Prior Plan Service Cost</t>
  </si>
  <si>
    <t>Other Adj. (Net Benefit Asset/Liab.)</t>
  </si>
  <si>
    <t>Net Asset/Liability Recognized on Balance Sheet</t>
  </si>
  <si>
    <t>Other Pension Related Items</t>
  </si>
  <si>
    <t>Unfunded &amp; Vested Pension Liab.</t>
  </si>
  <si>
    <t>Est. Contributions - Next Year</t>
  </si>
  <si>
    <t>Quarterly Employer Contribution</t>
  </si>
  <si>
    <t>Quarterly Additional Contributions Expected</t>
  </si>
  <si>
    <t>Unfunded Additional Minimum Liab.</t>
  </si>
  <si>
    <t>Benefit Info Date</t>
  </si>
  <si>
    <t>Def. Benefit Expected Return on Assets</t>
  </si>
  <si>
    <t>Def. Benefit Other Cost</t>
  </si>
  <si>
    <t>Def. Benefit Benefit Total Cost</t>
  </si>
  <si>
    <t>Total OPEB Expense</t>
  </si>
  <si>
    <t>Projected Benefit Obligation</t>
  </si>
  <si>
    <t>Accumulated Benefit Obligation</t>
  </si>
  <si>
    <t>Benefits Sensitivity Analysis</t>
  </si>
  <si>
    <t>1% Increase - Effect on Service and Interest Cost</t>
  </si>
  <si>
    <t>1% Increase - Effect on PBO</t>
  </si>
  <si>
    <t>1% Decrease - Effect on Service and Interest Cost</t>
  </si>
  <si>
    <t>1% Decrease - Effect on PBO</t>
  </si>
  <si>
    <t>Other Post-Retirement Benefit Related Items</t>
  </si>
  <si>
    <t>Health Care Cost Trend Rate, Initial</t>
  </si>
  <si>
    <t>Health Care Cost Trend Rate, Ultimate</t>
  </si>
  <si>
    <t>Total Revenue</t>
  </si>
  <si>
    <t>Gross Profit</t>
  </si>
  <si>
    <t>EBITDA</t>
  </si>
  <si>
    <t>EBIT</t>
  </si>
  <si>
    <t>Earnings from Cont. Ops.</t>
  </si>
  <si>
    <t>Net Income</t>
  </si>
  <si>
    <t>TEV/Total Revenue</t>
  </si>
  <si>
    <t>TEV/EBITDA</t>
  </si>
  <si>
    <t>TEV/EBIT</t>
  </si>
  <si>
    <t>P/BV</t>
  </si>
  <si>
    <t>Price/Tang BV</t>
  </si>
  <si>
    <t>Diluted EPS Excl. Extra Items</t>
  </si>
  <si>
    <t>Book Value/Share</t>
  </si>
  <si>
    <t>Cost Of Goods Sold</t>
  </si>
  <si>
    <t>Net Rental Expense, Total</t>
  </si>
  <si>
    <t>Net Rental Expense</t>
  </si>
  <si>
    <t>Net Rental Expense (Supple)</t>
  </si>
  <si>
    <t>Amortization of Negative Goodwill</t>
  </si>
  <si>
    <t>Accrued Exp.</t>
  </si>
  <si>
    <t>Short-term Borrowings</t>
  </si>
  <si>
    <t>Curr. Income Taxes Payable</t>
  </si>
  <si>
    <t>Unearned Revenue, Current</t>
  </si>
  <si>
    <t>Other Current Liabilities</t>
  </si>
  <si>
    <t>Long-Term Debt</t>
  </si>
  <si>
    <t>Def. Tax Liability, Non-Curr.</t>
  </si>
  <si>
    <t>Options Exercised During the Year</t>
  </si>
  <si>
    <t>Options Cancelled During the Year</t>
  </si>
  <si>
    <t>Options Out. at the End of the Year</t>
  </si>
  <si>
    <t>Options W/Avg. Strike Price of Out.</t>
  </si>
  <si>
    <t>Options W/Avg Strike Price of Granted</t>
  </si>
  <si>
    <t>Options Out. at the Beginning of Year - Class A</t>
  </si>
  <si>
    <t>Options Granted During the Year - Class A</t>
  </si>
  <si>
    <t>Options Exercised During the Year - Class A</t>
  </si>
  <si>
    <t>Options Cancelled During the Year - Class A</t>
  </si>
  <si>
    <t>Options Out. at the End of the Year - Class A</t>
  </si>
  <si>
    <t>Options W/Avg. Strike Price of Out. - Class A</t>
  </si>
  <si>
    <t>Options W/Avg Strike Price of Granted - Class A</t>
  </si>
  <si>
    <t>Options Out. at the Beginning of the Year - Other</t>
  </si>
  <si>
    <t>Options Granted During the Year - Other</t>
  </si>
  <si>
    <t>Options Exercised During the Year - Other</t>
  </si>
  <si>
    <t>Options Cancelled During the Year - Other</t>
  </si>
  <si>
    <t>Options Out. at the End of the Year - Other</t>
  </si>
  <si>
    <t>Options W/Avg. Strike Price of Out. - Other</t>
  </si>
  <si>
    <t>Amortization of Debt Issuance Costs</t>
  </si>
  <si>
    <t>Amortization of Software Assets</t>
  </si>
  <si>
    <t>Description</t>
  </si>
  <si>
    <t>Type</t>
  </si>
  <si>
    <t>Principal Due</t>
  </si>
  <si>
    <t>Coupon/Base Rate</t>
  </si>
  <si>
    <t>Maturity</t>
  </si>
  <si>
    <t>Seniority</t>
  </si>
  <si>
    <t>Repayment</t>
  </si>
  <si>
    <t>Deferred Tax Valuation Allowance</t>
  </si>
  <si>
    <t>Coupon Type</t>
  </si>
  <si>
    <t>Yes</t>
  </si>
  <si>
    <t>No</t>
  </si>
  <si>
    <t>Convertible</t>
  </si>
  <si>
    <t>Floating Rate</t>
  </si>
  <si>
    <t>Secured</t>
  </si>
  <si>
    <t>Interest Income</t>
  </si>
  <si>
    <t>Warranty Liabilities</t>
  </si>
  <si>
    <t>Investment Income</t>
  </si>
  <si>
    <t>Historical</t>
  </si>
  <si>
    <t>Present Value Adjustment on Operating Lease Liabilities</t>
  </si>
  <si>
    <t>Depreciation on Right of Use Assets</t>
  </si>
  <si>
    <t>Operating Lease Payments</t>
  </si>
  <si>
    <t>Change in Operating Lease Liabilities</t>
  </si>
  <si>
    <t>Change in Operating Lease Liabilities Non-Cash</t>
  </si>
  <si>
    <t>Right-of-Use Asset-Gross</t>
  </si>
  <si>
    <t>Right-of-Use Asset-Accumulated Depreciation</t>
  </si>
  <si>
    <t>Right-of-Use Asset-Net</t>
  </si>
  <si>
    <t>Right-of-Use Asset-Capital Lease-Gross</t>
  </si>
  <si>
    <t>Right-of-Use Asset-Capital Lease-Accumulated Depreciation</t>
  </si>
  <si>
    <t>Right-of-Use Asset-Capital Lease-Net</t>
  </si>
  <si>
    <t>Right-of-Use Asset-Operating Lease-Gross</t>
  </si>
  <si>
    <t>Right-of-Use Asset-Operating Lease-Accumulated Depreciation</t>
  </si>
  <si>
    <t>Right-of-Use Asset-Operating Lease-Net</t>
  </si>
  <si>
    <t>Non-Recurring Income Taxes</t>
  </si>
  <si>
    <t>Interest Expenses On Lease Liability/Debt</t>
  </si>
  <si>
    <t>Long Term Marketable Securities</t>
  </si>
  <si>
    <t>Gross PP&amp;E, Excl. Operating Leases</t>
  </si>
  <si>
    <t>Accumulated Depreciation, Excl. Operating Leases</t>
  </si>
  <si>
    <t>Net PP&amp;E, Excl. Operating Leases</t>
  </si>
  <si>
    <t>Finance Leases, Current</t>
  </si>
  <si>
    <t>Finance Leases, Long Term</t>
  </si>
  <si>
    <t>Total Finance Leases</t>
  </si>
  <si>
    <t>Total Operating Leases</t>
  </si>
  <si>
    <t>Total Leases</t>
  </si>
  <si>
    <t>Total Debt, Excl. Operating Leases</t>
  </si>
  <si>
    <t>Total Debt, Excl. Leases</t>
  </si>
  <si>
    <t>Depreciation &amp; Amortization - CF, Excl. Operating Leases</t>
  </si>
  <si>
    <t>Long-Term Debt Repaid, Excl. Leases</t>
  </si>
  <si>
    <t>Depreciation &amp; Amort., Total, Excl. Operating Leases</t>
  </si>
  <si>
    <t>Current Financing Obligations, Excl. Operating Leases</t>
  </si>
  <si>
    <t>Non-Current Financing Obligations Excl. Operating Leases</t>
  </si>
  <si>
    <t>Total Debt Repaid, Excl. Leases</t>
  </si>
  <si>
    <t>EBITDA, Lease Adjusted</t>
  </si>
  <si>
    <t>Lease Adjustment for EBITDA</t>
  </si>
  <si>
    <t>Gain on Bargain Acquisition</t>
  </si>
  <si>
    <t>Gain on Bargain Acquisition - (CF)</t>
  </si>
  <si>
    <t>As Reported Total Revenue</t>
  </si>
  <si>
    <t>As Reported EBITDA</t>
  </si>
  <si>
    <t>Advances for Supplies</t>
  </si>
  <si>
    <t>Goodwill and Intangibles (Net)</t>
  </si>
  <si>
    <t>Goodwill (Net)</t>
  </si>
  <si>
    <t>Intangibles (Net)</t>
  </si>
  <si>
    <t>Intercompany Non-Current Assets</t>
  </si>
  <si>
    <t>Intercompany Current Liabilities</t>
  </si>
  <si>
    <t>Intercompany Non-Current Liabilities</t>
  </si>
  <si>
    <t>Long-Term Leases</t>
  </si>
  <si>
    <t>Current Portion of Leases</t>
  </si>
  <si>
    <t>Total Lease Liabilities</t>
  </si>
  <si>
    <t>EBITDA (Incl. Equity Inc. from Affiliates, Excl. Op. Lease Adj.)</t>
  </si>
  <si>
    <t>Long-Term Portion of Operating Lease Liabilities</t>
  </si>
  <si>
    <t>Current Portion of Operating Lease Liabilities</t>
  </si>
  <si>
    <t>IFRS 16 / ASC 842 Items</t>
  </si>
  <si>
    <t>Net Debt/EBITDA, Excl. Operating Leases</t>
  </si>
  <si>
    <t>Total Debt / EBITDA, Excl. Operating Leases</t>
  </si>
  <si>
    <t>Senior Debt/EBITDA, Excl. Operating Leases</t>
  </si>
  <si>
    <t>Total Senior Secured/EBITDA, Excl. Operating Leases</t>
  </si>
  <si>
    <t>Net Debt/(EBITDA, Excl. Operating Leases - CAPEX)</t>
  </si>
  <si>
    <t>Total Debt/(EBITDA, Excl. Operating Leases - CAPEX)</t>
  </si>
  <si>
    <t>Senior Debt/(EBITDA, Excl. Operating Leases - CAPEX)</t>
  </si>
  <si>
    <t>Total Senior Secured/(EBITDA, Excl. Operating Leases-CAPEX)</t>
  </si>
  <si>
    <t>Total Sub. Debt/(EBITDA, Excl. Operating Leases-CAPEX)</t>
  </si>
  <si>
    <t>Sr. Sub. Debt/EBITDA, Excl. Operating Leases</t>
  </si>
  <si>
    <t>Sub. Debt/EBITDA, Excl. Operating Leases</t>
  </si>
  <si>
    <t>Jr. Sub Debt/EBITDA, Excl. Operating Leases</t>
  </si>
  <si>
    <t>Sr. Sub. Debt/(EBITDA, Excl. Operating Leases-CAPEX)</t>
  </si>
  <si>
    <t>Sub. Debt/(EBITDA, Excl. Operating Leases-CAPEX)</t>
  </si>
  <si>
    <t>Jr. Sub Debt/(EBITDA, Excl. Operating Leases-CAPEX)</t>
  </si>
  <si>
    <t>Total Sub. Debt/ EBITDA, Excl. Operating Leases</t>
  </si>
  <si>
    <t>(EBITDA, Excl. Operating Leases-CAPEX)/Interest Exp.</t>
  </si>
  <si>
    <t>EBITDA, Excl. Operating Leases / Interest Exp.</t>
  </si>
  <si>
    <t>English</t>
  </si>
  <si>
    <t>Chinese Simplified</t>
  </si>
  <si>
    <t>Chinese Traditional</t>
  </si>
  <si>
    <t>French</t>
  </si>
  <si>
    <t>German</t>
  </si>
  <si>
    <t>Italian</t>
  </si>
  <si>
    <t>Japanese</t>
  </si>
  <si>
    <t>Russian</t>
  </si>
  <si>
    <t>Spanish</t>
  </si>
  <si>
    <t>Korean</t>
  </si>
  <si>
    <t>in millions of</t>
  </si>
  <si>
    <t>Select Language</t>
  </si>
  <si>
    <t>Fiscal Year Ended,</t>
  </si>
  <si>
    <t>ID</t>
  </si>
  <si>
    <t>Shares Out.</t>
  </si>
  <si>
    <t>Margin %</t>
  </si>
  <si>
    <t>Pref. Equity</t>
  </si>
  <si>
    <t>Total Minority Interest</t>
  </si>
  <si>
    <t>Total Enterprise Value (TEV)</t>
  </si>
  <si>
    <t>Total Liabilities</t>
  </si>
  <si>
    <t>Total Pref. Equity</t>
  </si>
  <si>
    <t>Balance Sheet as of</t>
  </si>
  <si>
    <t>Pricing as of</t>
  </si>
  <si>
    <t>Shares Outstanding</t>
  </si>
  <si>
    <t>Gain on Bargain Acquisition - Supple</t>
  </si>
  <si>
    <t>Total Non-Current Debt</t>
  </si>
  <si>
    <t>Natural Resources, at Cost</t>
  </si>
  <si>
    <t>Level 1 Assets - Quoted Prices</t>
  </si>
  <si>
    <t>Level 3 Assets - Unobservable Prices</t>
  </si>
  <si>
    <t>Level 2 Liabilities - Observable Prices</t>
  </si>
  <si>
    <t>Level 3 Liabilities - Unobservable Prices</t>
  </si>
  <si>
    <t>Fair Value of Liabilities</t>
  </si>
  <si>
    <t>Number Of ADR Holders</t>
  </si>
  <si>
    <t>Debt Equiv. of Unfunded Proj. Benefit Obligation</t>
  </si>
  <si>
    <t>Debt Equivalent Oper. Leases</t>
  </si>
  <si>
    <t>Total Restricted Cash</t>
  </si>
  <si>
    <t>Intercompany Current Assets</t>
  </si>
  <si>
    <t>Pricing as of the filing date of the balance sheet period end date. For TEV calculation purposes on this page, S&amp;P Capital IQ only uses balance sheet components from the original filing that is publicly available as of a given pricing date and does not use restated balance sheet data from a later filing. In the cases where a company did not disclose balance sheet values for a particular period, TEV is calculated using balance sheet components from the last reported balance sheet as of this date. The table above is organized along period end dates.</t>
  </si>
  <si>
    <t>Prices shown on this page are the close price of the company’s primary stock class. Shares shown on this page are total company as-reported share values.</t>
  </si>
  <si>
    <t>Total Unamortized Premium</t>
  </si>
  <si>
    <t>Assets Under Management</t>
  </si>
  <si>
    <t>Trans. Impact of FIN 48 on Current Assets</t>
  </si>
  <si>
    <t>Trans. Impact of FIN 48 on Long Term Assets</t>
  </si>
  <si>
    <t>Trans. Impact of FIN 48 on Current Liabilities</t>
  </si>
  <si>
    <t>Trans. Impact of FIN 48 on Non-Current Liabilities</t>
  </si>
  <si>
    <t>Trans. Impact of FIN 48 on Retained Earnings</t>
  </si>
  <si>
    <t>Def. Benefits Paid</t>
  </si>
  <si>
    <t>Rate of Comp. Increase - Max</t>
  </si>
  <si>
    <t>Def. Benefit Return On Assets</t>
  </si>
  <si>
    <t>Discount Rate on Obligations</t>
  </si>
  <si>
    <t>All results taken from the most recently filed statement for each period as of the valuation date. When there has been more than one, earlier filings can be viewed on the individual statement pages.</t>
  </si>
  <si>
    <t>Growth rates for the LTM period are calculated against the LTM period ending 12 months before.</t>
  </si>
  <si>
    <t>EPS figures for forward periods are Reuters mean estimates.</t>
  </si>
  <si>
    <t>货币</t>
  </si>
  <si>
    <t>貨幣</t>
  </si>
  <si>
    <t>Devise</t>
  </si>
  <si>
    <t>Währung</t>
  </si>
  <si>
    <t>Valuta</t>
  </si>
  <si>
    <t>通貨</t>
  </si>
  <si>
    <t>Валюта</t>
  </si>
  <si>
    <t>Moneda</t>
  </si>
  <si>
    <t>통화</t>
  </si>
  <si>
    <t>日期</t>
  </si>
  <si>
    <t>Datum</t>
  </si>
  <si>
    <t>Data</t>
  </si>
  <si>
    <t>基準日</t>
  </si>
  <si>
    <t>Дата</t>
  </si>
  <si>
    <t>Fecha</t>
  </si>
  <si>
    <t xml:space="preserve">기준일 </t>
  </si>
  <si>
    <t>总收入</t>
  </si>
  <si>
    <t>總收入</t>
  </si>
  <si>
    <t>Total chiffre d'affaires</t>
  </si>
  <si>
    <t>Gesamtumsatz</t>
  </si>
  <si>
    <t>Ricavi totali</t>
  </si>
  <si>
    <t>売上高</t>
  </si>
  <si>
    <t xml:space="preserve">Общая выручка </t>
  </si>
  <si>
    <t>Total de ingresos</t>
  </si>
  <si>
    <t>총 매출</t>
  </si>
  <si>
    <t>毛利</t>
  </si>
  <si>
    <t>Bénéfice brut</t>
  </si>
  <si>
    <t>Bruttogewinn</t>
  </si>
  <si>
    <t>Utile lordo</t>
  </si>
  <si>
    <t>売上総利益</t>
  </si>
  <si>
    <t>Валовая прибыль</t>
  </si>
  <si>
    <t>Ganancia bruta</t>
  </si>
  <si>
    <t>매출총이익</t>
  </si>
  <si>
    <t>税息折旧及摊销前利润</t>
  </si>
  <si>
    <t>稅息折舊及攤銷前利潤</t>
  </si>
  <si>
    <t>息稅前利潤</t>
  </si>
  <si>
    <t>持续经营收入</t>
  </si>
  <si>
    <t>持續經營收入</t>
  </si>
  <si>
    <t>Bénéfice provenant des activités poursuivies</t>
  </si>
  <si>
    <t>Ergebnis aus fortgeführten Aktivitäten</t>
  </si>
  <si>
    <t>Risultato delle attività in funzionamento</t>
  </si>
  <si>
    <t>継続事業に掛かる当期純利益</t>
  </si>
  <si>
    <t>ПРИБЫЛЬ от продолжающейся деятельности</t>
  </si>
  <si>
    <t>Ingresos de operaciones continuadas</t>
  </si>
  <si>
    <t xml:space="preserve">계속사업이익 </t>
  </si>
  <si>
    <t xml:space="preserve">净收入 </t>
  </si>
  <si>
    <t xml:space="preserve">淨收入 </t>
  </si>
  <si>
    <t>Revenu net</t>
  </si>
  <si>
    <t>Nettogewinn</t>
  </si>
  <si>
    <t>Proventi netti</t>
  </si>
  <si>
    <t>当期純利益</t>
  </si>
  <si>
    <t>Чистый доход</t>
  </si>
  <si>
    <t>Ingreso Neto</t>
  </si>
  <si>
    <t>당기 순이익 (손실)</t>
  </si>
  <si>
    <t>大写</t>
  </si>
  <si>
    <t>大寫</t>
  </si>
  <si>
    <t>Capitalisation</t>
  </si>
  <si>
    <t>Kapitalisierung</t>
  </si>
  <si>
    <t>capitalizzazione</t>
  </si>
  <si>
    <t>大文字</t>
  </si>
  <si>
    <t>капитализация</t>
  </si>
  <si>
    <t>Capitalización</t>
  </si>
  <si>
    <t>자본화</t>
  </si>
  <si>
    <t>少数民族总利益</t>
  </si>
  <si>
    <t>少數民族總利益</t>
  </si>
  <si>
    <t>Total des intérêts minoritaires</t>
  </si>
  <si>
    <t>Total Minderheitsanteile</t>
  </si>
  <si>
    <t>Interesse di minoranza totale</t>
  </si>
  <si>
    <t>総少数株主持分</t>
  </si>
  <si>
    <t>Общая доля меньшинства</t>
  </si>
  <si>
    <t>Interés minoritario total</t>
  </si>
  <si>
    <t>총 소수자 이해</t>
  </si>
  <si>
    <t>市值</t>
  </si>
  <si>
    <t>Capitalisation boursière</t>
  </si>
  <si>
    <t>Marktkapitalisierung</t>
  </si>
  <si>
    <t>Capitalizzazione di mercato</t>
  </si>
  <si>
    <t>時価総額</t>
  </si>
  <si>
    <t>Рыночная капитализация</t>
  </si>
  <si>
    <t>Capitalización Bursátil</t>
  </si>
  <si>
    <t>시가총액</t>
  </si>
  <si>
    <t>普通股权益</t>
  </si>
  <si>
    <t xml:space="preserve">普通股權益 </t>
  </si>
  <si>
    <t>Capitaux propres ordinaires</t>
  </si>
  <si>
    <t>Stammkapital</t>
  </si>
  <si>
    <t>Common equity</t>
  </si>
  <si>
    <t xml:space="preserve">普通株式 </t>
  </si>
  <si>
    <t>Общий капитал</t>
  </si>
  <si>
    <t>Capital Ordinario</t>
  </si>
  <si>
    <t xml:space="preserve">보통주 자본 </t>
  </si>
  <si>
    <t>Cap. Marché</t>
  </si>
  <si>
    <t>Capitalización de Mercado</t>
  </si>
  <si>
    <t>总企业价值</t>
  </si>
  <si>
    <t>總企業價值</t>
  </si>
  <si>
    <t>Valeur d'entreprise</t>
  </si>
  <si>
    <t>Gesamtunternehmenswert</t>
  </si>
  <si>
    <t>Valore aziendale totale</t>
  </si>
  <si>
    <t>企業価値</t>
  </si>
  <si>
    <t>Общая стоимость предприятия</t>
  </si>
  <si>
    <t>Valor total de la Empresa</t>
  </si>
  <si>
    <t>기업가치 (TEV)</t>
  </si>
  <si>
    <t>总资本</t>
  </si>
  <si>
    <t>總資本</t>
  </si>
  <si>
    <t>Total du capital</t>
  </si>
  <si>
    <t>Kapital gesamt</t>
  </si>
  <si>
    <t>Totale capitale</t>
  </si>
  <si>
    <t xml:space="preserve">総資本 </t>
  </si>
  <si>
    <t>Всего капитала</t>
  </si>
  <si>
    <t>Capital total</t>
  </si>
  <si>
    <t>총 자금</t>
  </si>
  <si>
    <t>估值倍数</t>
  </si>
  <si>
    <t>估值倍數</t>
  </si>
  <si>
    <t>MULTIPLES DE VALUATION</t>
  </si>
  <si>
    <t>BEWERTUNGSMULTIPLIKATOREN</t>
  </si>
  <si>
    <t>MULTIPLI DI VALUTAZIONE</t>
  </si>
  <si>
    <t>各種マルチプル倍率</t>
  </si>
  <si>
    <t>Оценочные мультипликаторы</t>
  </si>
  <si>
    <t>VALUATION MULTIPLES</t>
  </si>
  <si>
    <t>밸류에이션 멀티플</t>
  </si>
  <si>
    <t>总企业价值/总收入</t>
  </si>
  <si>
    <t>總企業價值/總收入</t>
  </si>
  <si>
    <t>Valeur de l'entreprise / Total des revenus</t>
  </si>
  <si>
    <t>Unternehmenswert/Gesamtumsatz</t>
  </si>
  <si>
    <t>Valore aziendale totale/Ricavi totali</t>
  </si>
  <si>
    <t>企業価値/売上高</t>
  </si>
  <si>
    <t xml:space="preserve">Общая стоимость предприятия (TEV) /Общая выручка </t>
  </si>
  <si>
    <t>Valor de la empresa total/ Ingresos totales</t>
  </si>
  <si>
    <t>TEV/총 수익</t>
  </si>
  <si>
    <t>总企业价值/税息折旧及摊销前利润</t>
  </si>
  <si>
    <t>總企業價值/稅息折舊及攤銷前利潤</t>
  </si>
  <si>
    <t>Total valeur de l'entreprise / EBITDA</t>
  </si>
  <si>
    <t>Unternehmenswert/EBITDA</t>
  </si>
  <si>
    <t>Valore aziendale totale/EBITDA</t>
  </si>
  <si>
    <t>企業価値/EBITDA</t>
  </si>
  <si>
    <t>Общая стоимость предприятия (TEV) / EBITDA</t>
  </si>
  <si>
    <t>Valor de la empresa total/ EBITDA</t>
  </si>
  <si>
    <t>기업 가치 (TEV) / EBITDA</t>
  </si>
  <si>
    <t>总企业价值/息稅前利潤</t>
  </si>
  <si>
    <t>總企業價值/息稅前利潤</t>
  </si>
  <si>
    <t>Total valeur de l'entreprise / EBIT</t>
  </si>
  <si>
    <t>Unternehmenswert/EBIT</t>
  </si>
  <si>
    <t>Valore aziendale totale/EBIT</t>
  </si>
  <si>
    <t>企業価値/EBIT</t>
  </si>
  <si>
    <t>Общая стоимость предприятия (TEV) / EBIT</t>
  </si>
  <si>
    <t>Valor de la empresa total / EBIT</t>
  </si>
  <si>
    <t>기업 가치 (TEV) / EBIT</t>
  </si>
  <si>
    <t>股价/摊薄每股盈利(不包括非经常性项目)</t>
  </si>
  <si>
    <t>股價/攤薄每股盈利(不包括非經常性項目)</t>
  </si>
  <si>
    <t>Prix /bénéfices dilués par action avant extra</t>
  </si>
  <si>
    <t>Preis/Verwässertes EPS vor Extrakosten</t>
  </si>
  <si>
    <t>Prezzo/EPS diluito prima di extra</t>
  </si>
  <si>
    <t>株価/発行済株式数(潜在株式調整後)(特別損益調整前)</t>
  </si>
  <si>
    <t>Цена / Разводненная прибыль на одну акцию (EPS) до вычета чрезвычайных статей</t>
  </si>
  <si>
    <t>Ratio precio-ganancia por accion diluida antes de partidas extraordinarias</t>
  </si>
  <si>
    <t>주가 / 희석 주당이익 (추가 항목 이전)</t>
  </si>
  <si>
    <t>市净率(股价/账面价值)</t>
  </si>
  <si>
    <t>市淨率(股價/賬面價值)</t>
  </si>
  <si>
    <t>Price / Valeur comptable</t>
  </si>
  <si>
    <t>Preis/Buchwert</t>
  </si>
  <si>
    <t>Prezzo/Valore contabile</t>
  </si>
  <si>
    <t>株価/一株当たり純資産</t>
  </si>
  <si>
    <t>Цена / Балансовая стоимость</t>
  </si>
  <si>
    <t>Ratio Precio-Valor Contable</t>
  </si>
  <si>
    <t>주가 / 장부가</t>
  </si>
  <si>
    <t>代码</t>
  </si>
  <si>
    <t>代碼</t>
  </si>
  <si>
    <t>Ticker [code mnémonique]:</t>
  </si>
  <si>
    <t>ティッカー</t>
  </si>
  <si>
    <t xml:space="preserve">Тикер </t>
  </si>
  <si>
    <t>Clave de pizarra</t>
  </si>
  <si>
    <t>종목코드</t>
  </si>
  <si>
    <t>收入</t>
  </si>
  <si>
    <t>Revenus</t>
  </si>
  <si>
    <t>Einnahmen</t>
  </si>
  <si>
    <t>Ricavi</t>
  </si>
  <si>
    <t>Доходы</t>
  </si>
  <si>
    <t>Ingresos</t>
  </si>
  <si>
    <t>수입</t>
  </si>
  <si>
    <t>财务部收入</t>
  </si>
  <si>
    <t>財務部收入</t>
  </si>
  <si>
    <t>Revenus de la division financière</t>
  </si>
  <si>
    <t>Finanzen, div. Erlöse</t>
  </si>
  <si>
    <t>Ricavi divisione finanza</t>
  </si>
  <si>
    <t>金融部門に帰属する売上高</t>
  </si>
  <si>
    <t>Финансовый отдел -- Выручка</t>
  </si>
  <si>
    <t>Ingresos de la División de Finanzas</t>
  </si>
  <si>
    <t>금융분과 수입</t>
  </si>
  <si>
    <t>保险部收入</t>
  </si>
  <si>
    <t>保險部收入</t>
  </si>
  <si>
    <t>Revenus de la division assurance</t>
  </si>
  <si>
    <t>Versicherung, div. Erlöse</t>
  </si>
  <si>
    <t>Ricavi divisione assicurativa</t>
  </si>
  <si>
    <t>保険部門に帰属する売上高</t>
  </si>
  <si>
    <t>Страховой отдел -- Выручка</t>
  </si>
  <si>
    <t>Ingresos de la División de Seguros</t>
  </si>
  <si>
    <t>보험분과 수입</t>
  </si>
  <si>
    <t>出售资产损益（收入）</t>
  </si>
  <si>
    <t>出售資產損益（收入）</t>
  </si>
  <si>
    <t>Gain/(perte) sur la vente d'actifs (Rev)</t>
  </si>
  <si>
    <t>Gewinn(Verlust) aus dem Verkauf von Vermögenswerten (Erlös)</t>
  </si>
  <si>
    <t>Utile/(perdita) su vendita di attività (riv.)</t>
  </si>
  <si>
    <t>資産売却損益 (収益)</t>
  </si>
  <si>
    <t>Прибыль/(Убыток) от продажи активов (Прибыль)</t>
  </si>
  <si>
    <t>Ganancia/(Pérdida) en la venta de activos (Ganancias)</t>
  </si>
  <si>
    <t>자산 매각의 이익(손실) (수입)</t>
  </si>
  <si>
    <t>处分投资损益（收入）</t>
  </si>
  <si>
    <t>處分投資損益（收入）</t>
  </si>
  <si>
    <t>Gain/(Perte) sur la vente de l'investissement (Rev)</t>
  </si>
  <si>
    <t>Gewinn(Verlust) aus dem Verkauf von Investments (Erlös)</t>
  </si>
  <si>
    <t>Utile/(perdita) su vendita di invest. (riv.)</t>
  </si>
  <si>
    <t>投資売却損益 (収益)</t>
  </si>
  <si>
    <t>Прибыль/(убыток) от продажи инвестиций (Прибыль)</t>
  </si>
  <si>
    <t>Ganancia/(Pérdida) en la venta de la inversión (Ganancia)</t>
  </si>
  <si>
    <t>투자 매각의 이익/(손실) (수입)</t>
  </si>
  <si>
    <t>利息及投资收益（收入）</t>
  </si>
  <si>
    <t>利息及投資收益（收入）</t>
  </si>
  <si>
    <t>Intérêts et revenus d'investissement ( produits)</t>
  </si>
  <si>
    <t>Zins- und Investmenterträge (Erlös)</t>
  </si>
  <si>
    <t>Interessi attivi e reddito da investim. (riv.)</t>
  </si>
  <si>
    <t>営業内- 受取利息配当金</t>
  </si>
  <si>
    <t>Процентный и инвестиционный доход (Выручка)</t>
  </si>
  <si>
    <t xml:space="preserve"> Ingresos de Intereses e inversiones</t>
  </si>
  <si>
    <t>이자 및 투자 수익(수입)</t>
  </si>
  <si>
    <t>其他收入</t>
  </si>
  <si>
    <t>Autres revenus</t>
  </si>
  <si>
    <t>Sonstige Einnahmen</t>
  </si>
  <si>
    <t>Altri ricavi</t>
  </si>
  <si>
    <t>その他売上高</t>
  </si>
  <si>
    <t>Прочие доходы</t>
  </si>
  <si>
    <t>Otros ingresos</t>
  </si>
  <si>
    <t>기타 수입</t>
  </si>
  <si>
    <t>Total revenu</t>
  </si>
  <si>
    <t>Gesamtumsätze</t>
  </si>
  <si>
    <t>総売上高</t>
  </si>
  <si>
    <t>Общая выручка</t>
  </si>
  <si>
    <t>Ingresos totales</t>
  </si>
  <si>
    <t xml:space="preserve">매출 총액 </t>
  </si>
  <si>
    <t>销货成本</t>
  </si>
  <si>
    <t>銷貨成本</t>
  </si>
  <si>
    <t>Coût des marchandises vendues</t>
  </si>
  <si>
    <t>Verkaufskosten</t>
  </si>
  <si>
    <t>Costo del venduto</t>
  </si>
  <si>
    <t>売上原価</t>
  </si>
  <si>
    <t>Стоимость проданных товаров</t>
  </si>
  <si>
    <t>Costo de las mercancías vendidas</t>
  </si>
  <si>
    <t>상품 판매 비용</t>
  </si>
  <si>
    <t>财务部营业费用</t>
  </si>
  <si>
    <t>財務部營業費用</t>
  </si>
  <si>
    <t>Dépenses d'exploitation de la division financière</t>
  </si>
  <si>
    <t>Finanzen, div. Betriebsaufwendungen</t>
  </si>
  <si>
    <t>Spese operative divisione finanza</t>
  </si>
  <si>
    <t>金融部門に帰属する営業費用</t>
  </si>
  <si>
    <t>Финансовый отдел -- Операционные расходы</t>
  </si>
  <si>
    <t>Gastos Operativos de la División de Finanzas</t>
  </si>
  <si>
    <t>금융분과 운영비</t>
  </si>
  <si>
    <t>保险部营业费用</t>
  </si>
  <si>
    <t>保險部營業費用</t>
  </si>
  <si>
    <t>Dépenses d'exploitation de la division assurance</t>
  </si>
  <si>
    <t>Versicherung, div. Betriebsaufwendungen</t>
  </si>
  <si>
    <t>Spese operative divisione assicurativa</t>
  </si>
  <si>
    <t>保険部門に帰属する営業費用</t>
  </si>
  <si>
    <t>Страховой отдел -- Операционные расходы</t>
  </si>
  <si>
    <t>Gastos Operativos de la División de Seguros</t>
  </si>
  <si>
    <t>보험분과 운영비</t>
  </si>
  <si>
    <t>利息费用-财务部</t>
  </si>
  <si>
    <t>利息費用-財務部</t>
  </si>
  <si>
    <t>Frais d'intérêt - Division financière</t>
  </si>
  <si>
    <t>Zinsaufwand – Finanzabteilung</t>
  </si>
  <si>
    <t>Interessi passivi - Divisione finanza</t>
  </si>
  <si>
    <t>金融部門に帰属する支払利息</t>
  </si>
  <si>
    <t>Процентные расходы - Финансовый отдел</t>
  </si>
  <si>
    <t>Gastos por intereses - División de Finanzas</t>
  </si>
  <si>
    <t>이자 비용 - 금융분과</t>
  </si>
  <si>
    <t>销售及一般行政费用</t>
  </si>
  <si>
    <t>銷售及一般行政費用</t>
  </si>
  <si>
    <t>Vente Frais généraux et administratifs</t>
  </si>
  <si>
    <t>Vertriebs-, Verwaltungs- und allgemeine Kosten</t>
  </si>
  <si>
    <t>Vendita generale e spese di amministrazione</t>
  </si>
  <si>
    <t>販売費及び一般管理費</t>
  </si>
  <si>
    <t xml:space="preserve">Коммерческие, общие и административные расходы </t>
  </si>
  <si>
    <t>Gastos generales de ventas y administrativos</t>
  </si>
  <si>
    <t xml:space="preserve">판매비와 관리비 </t>
  </si>
  <si>
    <t>勘探/钻探费用</t>
  </si>
  <si>
    <t>勘探/鑽探費用</t>
  </si>
  <si>
    <t>Coûts d'exploration et de forage</t>
  </si>
  <si>
    <t>Explorations-/Bohrkosten</t>
  </si>
  <si>
    <t>Costi di esplorazione/trivellazione</t>
  </si>
  <si>
    <t>踏査/掘削費</t>
  </si>
  <si>
    <t>Затраты на разведку / бурение</t>
  </si>
  <si>
    <t>Costos de exploración y perforación</t>
  </si>
  <si>
    <t>탐사/시추 비용</t>
  </si>
  <si>
    <t>备抵坏账</t>
  </si>
  <si>
    <t>備抵壞賬</t>
  </si>
  <si>
    <t>Provision pour créances douteuses</t>
  </si>
  <si>
    <t>Rückstellung für uneinbringliche Forderungen</t>
  </si>
  <si>
    <t>Accantonamento per debiti insoluti</t>
  </si>
  <si>
    <t>貸倒引当金繰入額</t>
  </si>
  <si>
    <t>Резерв по безнадежным долгам</t>
  </si>
  <si>
    <t>Provisión para deudas incobrables</t>
  </si>
  <si>
    <t>대손충당금</t>
  </si>
  <si>
    <t>基于股票补偿</t>
  </si>
  <si>
    <t>基於股票補償</t>
  </si>
  <si>
    <t>Rémunération à base d'actions</t>
  </si>
  <si>
    <t>Aktienbasierte Vergütung</t>
  </si>
  <si>
    <t>Retribuzione basata su azioni</t>
  </si>
  <si>
    <t>株式報酬費用</t>
  </si>
  <si>
    <t>Вознаграждение сотрудников компании акциями или опционами на приобретение акций</t>
  </si>
  <si>
    <t>Compensación basada en acciones</t>
  </si>
  <si>
    <t>배당금수익</t>
  </si>
  <si>
    <t>开市前费用</t>
  </si>
  <si>
    <t>開市前費用</t>
  </si>
  <si>
    <t>Coûts de préouverture</t>
  </si>
  <si>
    <t>Vorlaufkosten der Eröffnung</t>
  </si>
  <si>
    <t>Costi pre-apertura</t>
  </si>
  <si>
    <t>創立準備費</t>
  </si>
  <si>
    <t>Предварительные расходы</t>
  </si>
  <si>
    <t>Costos de preapertura</t>
  </si>
  <si>
    <t>개업비</t>
  </si>
  <si>
    <t>研究与开发费用</t>
  </si>
  <si>
    <t>研究與開發費用</t>
  </si>
  <si>
    <t>Dépenses de R &amp; D</t>
  </si>
  <si>
    <t>F&amp;E-Aufwendungen</t>
  </si>
  <si>
    <t>Spese ricerca e sviluppo</t>
  </si>
  <si>
    <t>研究開発費</t>
  </si>
  <si>
    <t>Расходы по Научно-исследовательским и опытно-конструкторским работам  (НИОКР)</t>
  </si>
  <si>
    <t>Gastos de investigación y desarrollo</t>
  </si>
  <si>
    <t>연구개발비</t>
  </si>
  <si>
    <t>折旧及摊销</t>
  </si>
  <si>
    <t>折舊及攤銷</t>
  </si>
  <si>
    <t>Amortissements et dépréciations</t>
  </si>
  <si>
    <t>Abschreibungen</t>
  </si>
  <si>
    <t>Ammortamenti e accantonamenti</t>
  </si>
  <si>
    <t>減価償却費</t>
  </si>
  <si>
    <t>Износ и амортизация</t>
  </si>
  <si>
    <t>Depreciación y amortización</t>
  </si>
  <si>
    <t>감가상각 및 상환</t>
  </si>
  <si>
    <t>商誉和无形资产的摊销</t>
  </si>
  <si>
    <t>商譽和無形資產的攤銷</t>
  </si>
  <si>
    <t>Amort. de fonds de commerce et d'actifs incorporels</t>
  </si>
  <si>
    <t>Abschreibung auf ideellen Unternehmenswert und Immaterialvermögen</t>
  </si>
  <si>
    <t>Ammort. avviamento e beni immateriali</t>
  </si>
  <si>
    <t>のれん償却費及び無形固定資産償却費</t>
  </si>
  <si>
    <t>Амортизация гудвилла и нематериальных активов</t>
  </si>
  <si>
    <t>Amortización de Bienes de uso e Intangibles</t>
  </si>
  <si>
    <t>영업권 및 무형 자산 상각</t>
  </si>
  <si>
    <t>石油，天然气和矿产属性的损害</t>
  </si>
  <si>
    <t>石油，天然氣和礦產屬性的損害</t>
  </si>
  <si>
    <t>Dépréciation des biens pétroliers, gaziers et minéraux</t>
  </si>
  <si>
    <t>Wertminderung von Öl-, Gas- und Mineralieneigentum</t>
  </si>
  <si>
    <t>Rettif. di valore di proprietà del settore petrolio, gas e minerario</t>
  </si>
  <si>
    <t>石油/ガス/鉱業権に掛かる減損費用</t>
  </si>
  <si>
    <t>Обесценение нефтяных, газовых и минеральных активов</t>
  </si>
  <si>
    <t>Deterioro de la Propiedad de Petróleo, Gas y Minerales.</t>
  </si>
  <si>
    <t>오일, 가스 및 광물권 손실</t>
  </si>
  <si>
    <t>其他经营费用/(收入)</t>
  </si>
  <si>
    <t>其他經營費用/(收入)</t>
  </si>
  <si>
    <t>Autres dépenses/(revenus) d'exploitation</t>
  </si>
  <si>
    <t>Sonstige Betriebskosten/(Gewinn)</t>
  </si>
  <si>
    <t>Altri oneri/(proventi) operativi</t>
  </si>
  <si>
    <t>その他販売費及び一般管理費</t>
  </si>
  <si>
    <t>Прочие операционные расходы/(доходы)</t>
  </si>
  <si>
    <t>Otros gastos/(ingresos) operativos</t>
  </si>
  <si>
    <t>기타 영업 이익/(소득)</t>
  </si>
  <si>
    <t>其他经营费用 - 总计</t>
  </si>
  <si>
    <t>其他經營費用 - 總計</t>
  </si>
  <si>
    <t>Autres dépenses opérationnelles, total</t>
  </si>
  <si>
    <t>Sonstige betriebliche Aufwendungen, Summe</t>
  </si>
  <si>
    <t>Altre spese operative, totale</t>
  </si>
  <si>
    <t>Прочие операционные расходы, всего</t>
  </si>
  <si>
    <t>Otros gastos operativos, total</t>
  </si>
  <si>
    <t>기타 운영 지출, 총계</t>
  </si>
  <si>
    <t>营业收入</t>
  </si>
  <si>
    <t xml:space="preserve">營業收入 </t>
  </si>
  <si>
    <t>Bénéfice d'exploitation</t>
  </si>
  <si>
    <t>Operatives Ergebnis</t>
  </si>
  <si>
    <t>Proventi operativi</t>
  </si>
  <si>
    <t xml:space="preserve">営業収益 </t>
  </si>
  <si>
    <t>Операционный доход</t>
  </si>
  <si>
    <t>Ingresos Operativos</t>
  </si>
  <si>
    <t xml:space="preserve">영업이익 </t>
  </si>
  <si>
    <t>利息费用</t>
  </si>
  <si>
    <t>利息費用</t>
  </si>
  <si>
    <t>Charge d'intérêts</t>
  </si>
  <si>
    <t>Zinsaufwand</t>
  </si>
  <si>
    <t>Interessi passivi</t>
  </si>
  <si>
    <t>支払利息</t>
  </si>
  <si>
    <t>Процентные расходы</t>
  </si>
  <si>
    <t>Gastos por intereses</t>
  </si>
  <si>
    <t>이자비용</t>
  </si>
  <si>
    <t>利息及投资收入</t>
  </si>
  <si>
    <t>利息及投資收入</t>
  </si>
  <si>
    <t>Intérêts et revenus d'investissement</t>
  </si>
  <si>
    <t>Zins- und Kapitalerträge</t>
  </si>
  <si>
    <t>Interessi attivi e reddito da investim.</t>
  </si>
  <si>
    <t>受取利息配当金</t>
  </si>
  <si>
    <t>Проценты и инвестиционный доход</t>
  </si>
  <si>
    <t>Intereses e ingresos por inversiones</t>
  </si>
  <si>
    <t>이자 및 투자 수익</t>
  </si>
  <si>
    <t>净利息费用</t>
  </si>
  <si>
    <t>淨利息費用</t>
  </si>
  <si>
    <t>Frais d'intérêts nets</t>
  </si>
  <si>
    <t>Nettozinsaufwendungen</t>
  </si>
  <si>
    <t>Interessi passivi netti</t>
  </si>
  <si>
    <t>純支払利息</t>
  </si>
  <si>
    <t>Чистые процентные расходы</t>
  </si>
  <si>
    <t>Gastos de intereses netos</t>
  </si>
  <si>
    <t>순이자비용</t>
  </si>
  <si>
    <t>附属企业损益</t>
  </si>
  <si>
    <t>附屬企業損益</t>
  </si>
  <si>
    <t>Revenus / (Pertes) des affiliés</t>
  </si>
  <si>
    <t>Gewinn/(Verlust) aus verbundenen Unternehmen</t>
  </si>
  <si>
    <t>Utile/ (perdita) da affiliate</t>
  </si>
  <si>
    <t>持分法による投資利益</t>
  </si>
  <si>
    <t>Доходы / (Убытки) от филиалов</t>
  </si>
  <si>
    <t>Ingresos / ( Pérdidas) de los afiliados</t>
  </si>
  <si>
    <t>계열사 소득 / (손실)</t>
  </si>
  <si>
    <t>外汇兑换损益</t>
  </si>
  <si>
    <t>外匯兌換損益</t>
  </si>
  <si>
    <t>Bénéfices (pertes) de change</t>
  </si>
  <si>
    <t>Gewinn (Verlust) aus Währungsumrechnung</t>
  </si>
  <si>
    <t>Utili/(perdita) su cambio</t>
  </si>
  <si>
    <t>為替差損益</t>
  </si>
  <si>
    <t>Прибыль (Убыток) от операций обмена иностранной валюты</t>
  </si>
  <si>
    <t>Ganancias (pérdidas) de cambio de divisas</t>
  </si>
  <si>
    <t>환율 이익(손실)</t>
  </si>
  <si>
    <t>其他非经营收入/(费用)</t>
  </si>
  <si>
    <t>其他非經營收入/(費用)</t>
  </si>
  <si>
    <t>Autres revenus (dépenses) hors exploitation</t>
  </si>
  <si>
    <t>Sonstige nicht betriebliche Erträge (Kosten)</t>
  </si>
  <si>
    <t>Altri proventi (oneri) non operativi</t>
  </si>
  <si>
    <t>その他営業外収益(費用)</t>
  </si>
  <si>
    <t>Прочие неоперационные доходы (расходы)</t>
  </si>
  <si>
    <t>Otros ingresos (gastos) no operacionales</t>
  </si>
  <si>
    <t>기타 비영업 이익(경비)</t>
  </si>
  <si>
    <t xml:space="preserve">税前收益(扣除非经常性项目) </t>
  </si>
  <si>
    <t xml:space="preserve">稅前收益(扣除非經常性項目) </t>
  </si>
  <si>
    <t>EBT Hors élément exceptionnel</t>
  </si>
  <si>
    <t>EBT Exklusive Sonderposten</t>
  </si>
  <si>
    <t>EBT (al netto delle voci non ricorrenti)</t>
  </si>
  <si>
    <t>税引前当期純利益（特別損益調整前）</t>
  </si>
  <si>
    <t>EBT за вычетом чрезвычайных статей</t>
  </si>
  <si>
    <t>Ganancias antes de impuestos, excluyendo partidas no recurrentes</t>
  </si>
  <si>
    <t>비정상적 항목을 제외한 EBT</t>
  </si>
  <si>
    <t>重组费用</t>
  </si>
  <si>
    <t>重組費用</t>
  </si>
  <si>
    <t>Frais de restructuration</t>
  </si>
  <si>
    <t>Sanierungskosten</t>
  </si>
  <si>
    <t>Costi di ristrutturazione</t>
  </si>
  <si>
    <t>構造改革費用</t>
  </si>
  <si>
    <t>Расходы по реструктуризации</t>
  </si>
  <si>
    <t>Cargos de reestructuración</t>
  </si>
  <si>
    <t>구조조정 비용</t>
  </si>
  <si>
    <t>合并及相关重组费用</t>
  </si>
  <si>
    <t>合併及相關重組費用</t>
  </si>
  <si>
    <t>Frais de fusion et de restructuration connexes</t>
  </si>
  <si>
    <t>Fusions- und damit verbundene Sanierungskosten</t>
  </si>
  <si>
    <t>Costi di fusione e relative ristrutturazioni</t>
  </si>
  <si>
    <t>組織再編費用</t>
  </si>
  <si>
    <t>Расходы по слиянию и связанные расходы по реструктуризации</t>
  </si>
  <si>
    <t>Fusión y Cargos de reestructuración relacionada</t>
  </si>
  <si>
    <t>합병 및 관련 구조조정 비용</t>
  </si>
  <si>
    <t>商誉减损</t>
  </si>
  <si>
    <t>商譽減損</t>
  </si>
  <si>
    <t>Dépréciation du fonds de commerce</t>
  </si>
  <si>
    <t>Minderung des ideellen Unternehmenswerts</t>
  </si>
  <si>
    <t>Rettif. di valore dell'avviamento</t>
  </si>
  <si>
    <t>のれんの減損損失(注記)</t>
  </si>
  <si>
    <t>Обесценение гудвилла</t>
  </si>
  <si>
    <t>Deterioro de Bienes de Uso</t>
  </si>
  <si>
    <t>영업권 손실</t>
  </si>
  <si>
    <t xml:space="preserve">处分投资损益 </t>
  </si>
  <si>
    <t>處分投資損益</t>
  </si>
  <si>
    <t>Bénéfice (perte) sur la vente de l'investissement</t>
  </si>
  <si>
    <t>Gewinn (Verlust) aus dem Verkauf von Investments</t>
  </si>
  <si>
    <t>Utile (perdita) su vendita di investim.</t>
  </si>
  <si>
    <t>有価証券運用損益</t>
  </si>
  <si>
    <t xml:space="preserve">Прибыль (Убыток) от продажи инвестиций </t>
  </si>
  <si>
    <t>Ganancia (pérdida) en la venta de inversiones</t>
  </si>
  <si>
    <t>투자 매각의 이익(손실)</t>
  </si>
  <si>
    <t>出售资产损益</t>
  </si>
  <si>
    <t>出售資產損益</t>
  </si>
  <si>
    <t>Bénéfice (perte) sur la vente d'actifs</t>
  </si>
  <si>
    <t>Gewinn (Verlust) aus dem Verkauf von Vermögenswerten</t>
  </si>
  <si>
    <t>Utile (perdita) su vendita di attività</t>
  </si>
  <si>
    <t>固定資産の売却による収入（損失）</t>
  </si>
  <si>
    <t>Прибыль (Убыток) от продажи активов</t>
  </si>
  <si>
    <t>Ganancia (pérdida) en la venta de activos</t>
  </si>
  <si>
    <t>자산 매각의 이익(손실)</t>
  </si>
  <si>
    <t>资产减值</t>
  </si>
  <si>
    <t>資產減值</t>
  </si>
  <si>
    <t>Dépréciation d'actifs</t>
  </si>
  <si>
    <t>Abschreibungen auf Vermögensgegenstände</t>
  </si>
  <si>
    <t>Svalutazione delle immobilizzazioni</t>
  </si>
  <si>
    <t>資産評価損</t>
  </si>
  <si>
    <t>Списание активов</t>
  </si>
  <si>
    <t>Reducción de activos</t>
  </si>
  <si>
    <t>자산 상계액</t>
  </si>
  <si>
    <t>进行中的研发费用</t>
  </si>
  <si>
    <t>進行中的研發費用</t>
  </si>
  <si>
    <t>Dépenses de R &amp; D en cours</t>
  </si>
  <si>
    <t>Laufender F&amp;E-Aufwand</t>
  </si>
  <si>
    <t>Spese per ricerca e sviluppo in corso</t>
  </si>
  <si>
    <t>営業外- 研究開発費</t>
  </si>
  <si>
    <t>Расходы по незавершенным научно-исследовательским и опытно-конструкторским работам (НИОКР)</t>
  </si>
  <si>
    <t>Investigación y Desarrollo en proceso</t>
  </si>
  <si>
    <t>진행 중인 연구개발비</t>
  </si>
  <si>
    <t>保险结算</t>
  </si>
  <si>
    <t>保險結算</t>
  </si>
  <si>
    <t>Règlements d'assurance</t>
  </si>
  <si>
    <t>Versicherungsabrechnungen</t>
  </si>
  <si>
    <t>Indennizzi assicurativi</t>
  </si>
  <si>
    <t>保険差損益</t>
  </si>
  <si>
    <t xml:space="preserve">Страховые урегулирования </t>
  </si>
  <si>
    <t>Liquidaciones de seguros</t>
  </si>
  <si>
    <t>보험 결산</t>
  </si>
  <si>
    <t>法律和解</t>
  </si>
  <si>
    <t>Règlements juridiques</t>
  </si>
  <si>
    <t>Vergleiche</t>
  </si>
  <si>
    <t>Indennizzi legali</t>
  </si>
  <si>
    <t>法務費用</t>
  </si>
  <si>
    <t xml:space="preserve">Мировые соглашения </t>
  </si>
  <si>
    <t>Liquidaciones legales</t>
  </si>
  <si>
    <t>법적 결산</t>
  </si>
  <si>
    <t>其他非经常性项目</t>
  </si>
  <si>
    <t>其他非經常性項目</t>
  </si>
  <si>
    <t>Autres éléments inhabituels</t>
  </si>
  <si>
    <t>Sonstige ungewöhnliche Posten</t>
  </si>
  <si>
    <t>Altre componenti non usuali</t>
  </si>
  <si>
    <t>その他営業外費用/特別損失</t>
  </si>
  <si>
    <t>Другие неординарные статьиДоля миноритариев в прибыли</t>
  </si>
  <si>
    <t>Otros artículos no habituales</t>
  </si>
  <si>
    <t>기타 특이 항목</t>
  </si>
  <si>
    <t xml:space="preserve">税前收益(包括非经常性项目) </t>
  </si>
  <si>
    <t xml:space="preserve">稅前收益(包括非經常性項目) </t>
  </si>
  <si>
    <t>EBT y compris élément exceptionnel</t>
  </si>
  <si>
    <t>EBT inklusive Ungewöhnliche Posten</t>
  </si>
  <si>
    <t>EBT (al lordo delle voci non ricorrenti)</t>
  </si>
  <si>
    <t>税引前当期純利益（特別損益調整後）</t>
  </si>
  <si>
    <t>EBT до вычета чрезвычайных статей</t>
  </si>
  <si>
    <t>Ganancias antes de impuestos, incluyendo partidas no recurrentes</t>
  </si>
  <si>
    <t>비정상적 항목을 포함한 EBT</t>
  </si>
  <si>
    <t>税项拨备</t>
  </si>
  <si>
    <t xml:space="preserve">稅項撥備 </t>
  </si>
  <si>
    <t>Provision pour impôts</t>
  </si>
  <si>
    <t>Einkommensteueraufwand</t>
  </si>
  <si>
    <t>Fondo per imposte</t>
  </si>
  <si>
    <t xml:space="preserve">收入利息支出 </t>
  </si>
  <si>
    <t>Резерв на налоги</t>
  </si>
  <si>
    <t>Gasto de Impuesto a las Ganancias</t>
  </si>
  <si>
    <t xml:space="preserve">법인세 비용 충당금 </t>
  </si>
  <si>
    <t>终止业务收益</t>
  </si>
  <si>
    <t>終止業務收益</t>
  </si>
  <si>
    <t>Résultat des activités abandonnées</t>
  </si>
  <si>
    <t>Gewinn aus aufgegebenen Geschäftsbereichen</t>
  </si>
  <si>
    <t>Utili da attività operative cessate</t>
  </si>
  <si>
    <t>非継続事業からの損益（税効果控除後）</t>
  </si>
  <si>
    <t xml:space="preserve">Прибыль от прекращенной деятельности </t>
  </si>
  <si>
    <t>Ganancias de operaciones discontinuadas</t>
  </si>
  <si>
    <t>중단 영업 이익</t>
  </si>
  <si>
    <t>非经常项目和会计政策变更</t>
  </si>
  <si>
    <t>非經常項目和會計政策變化</t>
  </si>
  <si>
    <t>Postes extraordinaires et changement de comptabilité</t>
  </si>
  <si>
    <t>Außerordentliche Posten &amp; Buchführungsänderung</t>
  </si>
  <si>
    <t>Variazione componenti straordin. e conti</t>
  </si>
  <si>
    <t>その他異常損益項目</t>
  </si>
  <si>
    <t>Прочие расходы, включая налоги</t>
  </si>
  <si>
    <t>Artículos Extraordinarios y Modificaciones Contables</t>
  </si>
  <si>
    <t>특별 항목 및 계정 변경</t>
  </si>
  <si>
    <t>公司净收入</t>
  </si>
  <si>
    <t>公司淨收入</t>
  </si>
  <si>
    <t>Bénéfice net de l'entreprise</t>
  </si>
  <si>
    <t>Nettogewinn für das Unternehmen</t>
  </si>
  <si>
    <t>Risultato netto della Società</t>
  </si>
  <si>
    <t>少数株主利益控除前　当期純利益</t>
  </si>
  <si>
    <t>Чистый доход компании</t>
  </si>
  <si>
    <t>Ingresos netos de la empresa</t>
  </si>
  <si>
    <t>회사의 순이익</t>
  </si>
  <si>
    <t>少数股东权益利润</t>
  </si>
  <si>
    <t>少數股東權益利潤</t>
  </si>
  <si>
    <t>Intérêts minoritaires dans les revenus</t>
  </si>
  <si>
    <t>Minderheitsanteile in Gewinnen</t>
  </si>
  <si>
    <t>Partecip. di minor. negli utili</t>
  </si>
  <si>
    <t>少数株主利益</t>
  </si>
  <si>
    <t>Чрезвычайные статьи и изменения в бухгалтерском учете</t>
  </si>
  <si>
    <t>Interés minoritario en las ganancias</t>
  </si>
  <si>
    <t>소득 소수주주 지분</t>
  </si>
  <si>
    <t>母公司净收入</t>
  </si>
  <si>
    <t>母公司淨收入</t>
  </si>
  <si>
    <t>Bénéfice net aux parents</t>
  </si>
  <si>
    <t>Der Muttergesellschaft zuzurechnendes Nettoergebnis</t>
  </si>
  <si>
    <t>Risultato netto alla Capogruppo</t>
  </si>
  <si>
    <t xml:space="preserve"> 当期純利益 </t>
  </si>
  <si>
    <t>Чистый доход для материнской компании</t>
  </si>
  <si>
    <t>Ingresos netos para empresa matriz</t>
  </si>
  <si>
    <t>모회사 순 이익</t>
  </si>
  <si>
    <t>优先股股利及其他调整</t>
  </si>
  <si>
    <t>優先股股利及其他調整</t>
  </si>
  <si>
    <t>Dividendes préférentiels et autres ajustements</t>
  </si>
  <si>
    <t>Vorzugsdividenden und sonstige Bereinigungen</t>
  </si>
  <si>
    <t>Dividendi privil. e altre rettif.</t>
  </si>
  <si>
    <t>優先株式に対して支払う配当金額</t>
  </si>
  <si>
    <t xml:space="preserve">ОТЧЁТ О ДОХОДАХ </t>
  </si>
  <si>
    <t>Dividendos preferentes y otros ajustes</t>
  </si>
  <si>
    <t>우선 배당금 및 기타 조정</t>
  </si>
  <si>
    <t>普通股本净收入(包括非经常性项目)  </t>
  </si>
  <si>
    <t>普通股本淨收入(包括非經常性項目)  </t>
  </si>
  <si>
    <t>Bénéfice net pour les actions ordinaires y compris éléments supplémentaires</t>
  </si>
  <si>
    <t>Stammaktionären zur Verfügung stehendes Jahresergebnis Inklusive Sonderposten</t>
  </si>
  <si>
    <t>NI a ordinarie (al lordo delle voci non ricorrenti)</t>
  </si>
  <si>
    <t>当期純利益 (非継続事業からの損益等の異常項目を含む)</t>
  </si>
  <si>
    <t>Чистый доход к обыкновенным акциям, до вычета чрезвычайных статей</t>
  </si>
  <si>
    <t>Ingresos netos disponibles para los accionistas comunes incluyendo partidas extraordinarias</t>
  </si>
  <si>
    <t xml:space="preserve">보통주 귀속 당기순이익 (특별손익 포함) </t>
  </si>
  <si>
    <t>普通股本净收入(不包括非经常性项目) </t>
  </si>
  <si>
    <t>普通股本淨收入(不包括非經常性項目) </t>
  </si>
  <si>
    <t>Bénéfice net pour les actions ordinaires hors éléments supplémentaires</t>
  </si>
  <si>
    <t>Stammaktionären zur Verfügung stehendes Jahresergebnis ohne Sonderposten</t>
  </si>
  <si>
    <t>NI a ordinarie (al netto delle voci non ricorrenti)</t>
  </si>
  <si>
    <t>当期純利益 (非継続事業からの損益等の異常項目を除く)</t>
  </si>
  <si>
    <t>Чистый доход к обыкновенным акциям, за вычетом чрезвычайных статей</t>
  </si>
  <si>
    <t>Ingresos netos disponibles para los accionistas comunes excluyendo partidas extraordinarias</t>
  </si>
  <si>
    <t>보통주 귀속 당기순이익 (특별손익 제외)</t>
  </si>
  <si>
    <t>每股项目</t>
  </si>
  <si>
    <t>每股項目</t>
  </si>
  <si>
    <t>Éléments par action</t>
  </si>
  <si>
    <t>Aktienbezogene Positionen</t>
  </si>
  <si>
    <t>Voci per azione</t>
  </si>
  <si>
    <t>1株あたりの項目</t>
  </si>
  <si>
    <t>Позиции на акцию</t>
  </si>
  <si>
    <t>Artículos por acción</t>
  </si>
  <si>
    <t>주당 항목</t>
  </si>
  <si>
    <t>基本每股盈利</t>
  </si>
  <si>
    <t>résultat de base par action</t>
  </si>
  <si>
    <t>EPS, unverwässert</t>
  </si>
  <si>
    <t>EPS di base</t>
  </si>
  <si>
    <t>一株当たり当期純利益</t>
  </si>
  <si>
    <t>Базовая Прибыль на одну акцию (EPS)</t>
  </si>
  <si>
    <t>Ganancias por acción básicas</t>
  </si>
  <si>
    <t>기본주당이익</t>
  </si>
  <si>
    <t>基本每股盈利(不包括非经常性项目)</t>
  </si>
  <si>
    <t>基本每股盈利(不包括非經常性項目)</t>
  </si>
  <si>
    <t>Résultat de base par action hors éléments supplémentaires</t>
  </si>
  <si>
    <t>EPS, unverwässert ohne Sonderposten</t>
  </si>
  <si>
    <t>EPS di base (al netto delle voci non ricorrenti)</t>
  </si>
  <si>
    <t>一株当たり当期純利益 (非継続事業からの損益等の異常項目を除く)</t>
  </si>
  <si>
    <t>Базовая Прибыль на одну акцию (EPS) за вычетом чрезвычайных статей</t>
  </si>
  <si>
    <t>Ganancias por acción básicas, excluyendo partidas extraordinarias</t>
  </si>
  <si>
    <t>기본주당이익 (특별손익 제외)</t>
  </si>
  <si>
    <t>加权平均基本流通股数</t>
  </si>
  <si>
    <t>加權平均基本流通股數</t>
  </si>
  <si>
    <t>Nombre moyen pondéré d'actions de base en circulation</t>
  </si>
  <si>
    <t>Gewichteter Durchschnitt umlaufender Basisaktien</t>
  </si>
  <si>
    <t>Media ponderata azioni di base in circolaz.</t>
  </si>
  <si>
    <t>加重平均発行済み株式</t>
  </si>
  <si>
    <t xml:space="preserve">Средневзвешенные основные акции </t>
  </si>
  <si>
    <t>Promedio ponderado de acciones basicas en circulación</t>
  </si>
  <si>
    <t>가중평균 기본유통주식</t>
  </si>
  <si>
    <t>摊薄每股盈利</t>
  </si>
  <si>
    <t>攤薄每股盈利</t>
  </si>
  <si>
    <t>RPA dilué</t>
  </si>
  <si>
    <t>Verwässerte EPS</t>
  </si>
  <si>
    <t>Utile diluito per azione</t>
  </si>
  <si>
    <t>潜在株式調整後　一株当たり当期純利益</t>
  </si>
  <si>
    <t xml:space="preserve">Разводненная прибыль на одну акцию (EPS) </t>
  </si>
  <si>
    <t>Ganancia por acción diluida</t>
  </si>
  <si>
    <t>희석주당이익 (손실)</t>
  </si>
  <si>
    <t>加权平均稀释流通股数</t>
  </si>
  <si>
    <t>加權平均稀釋流通股數</t>
  </si>
  <si>
    <t>Nombre moyen pondéré d'actions diluées en circulation</t>
  </si>
  <si>
    <t>Gewichteter Durchschnitt verwässerter umlaufender Basisaktien</t>
  </si>
  <si>
    <t>Media ponderata azioni diluite in circolaz.</t>
  </si>
  <si>
    <t>加重平均潜在発行済み株式</t>
  </si>
  <si>
    <t xml:space="preserve">Средневзвешенные разводненные акции </t>
  </si>
  <si>
    <t>Promedio ponderado de acciones diluidas en circulación</t>
  </si>
  <si>
    <t>가중평균 희석유통주식</t>
  </si>
  <si>
    <t>正常化基本每股盈利</t>
  </si>
  <si>
    <t>BPA de base normalisé</t>
  </si>
  <si>
    <t>Normalisierter einfacher Gewinn pro Aktie</t>
  </si>
  <si>
    <t>EPS di base normalizzato</t>
  </si>
  <si>
    <t>（標準化後）一株当たり当期純利益</t>
  </si>
  <si>
    <t>Базовая стандартизированная прибыль на акцию</t>
  </si>
  <si>
    <t>Ganancia por Acción básico normalizado</t>
  </si>
  <si>
    <t>정상화된 기본 EPS</t>
  </si>
  <si>
    <t>正常化摊薄每股盈利</t>
  </si>
  <si>
    <t>正常化攤薄每股盈利</t>
  </si>
  <si>
    <t>BPA dilué normalisé</t>
  </si>
  <si>
    <t>Normalisierter verwässerter Gewinn pro Aktie</t>
  </si>
  <si>
    <t>EPS diluito normalizzato</t>
  </si>
  <si>
    <t>（標準化後）潜在株式調整後一株当たり当期純利益</t>
  </si>
  <si>
    <t>Разводненная стандартизированная прибыль на акцию</t>
  </si>
  <si>
    <t>Ganancia por Acción diluido normalizado</t>
  </si>
  <si>
    <t>정상화된 희석 EPS</t>
  </si>
  <si>
    <t>每股股息</t>
  </si>
  <si>
    <t>Dividendes par action</t>
  </si>
  <si>
    <t>Dividende pro Aktie</t>
  </si>
  <si>
    <t>Dividendi per Azione</t>
  </si>
  <si>
    <t>一株当たり配当金</t>
  </si>
  <si>
    <t>Дивиденды на акцию</t>
  </si>
  <si>
    <t>Dividendos por acción</t>
  </si>
  <si>
    <t>주당 배당금</t>
  </si>
  <si>
    <t>每个存托凭证的股份</t>
  </si>
  <si>
    <t>每個存託憑證的股份</t>
  </si>
  <si>
    <t>Actions par certificat de dépôt</t>
  </si>
  <si>
    <t>Aktien pro Hinterlegungsschein</t>
  </si>
  <si>
    <t>Azioni in base a ricevuta di deposito</t>
  </si>
  <si>
    <t>預託証券あたり株式数</t>
  </si>
  <si>
    <t>Акции посредством депозитной расписки</t>
  </si>
  <si>
    <t>Acciones por recibo de depósito</t>
  </si>
  <si>
    <t>주식 예탁 증권 당 주식</t>
  </si>
  <si>
    <t>每股收益</t>
  </si>
  <si>
    <t>Revenus par action</t>
  </si>
  <si>
    <t>Erlöse pro Aktie</t>
  </si>
  <si>
    <t>Ricavi per azione</t>
  </si>
  <si>
    <t>一株当たり売上高</t>
  </si>
  <si>
    <t>Доход на акцию</t>
  </si>
  <si>
    <t>Ingresos por acción</t>
  </si>
  <si>
    <t>주당 수익</t>
  </si>
  <si>
    <t>每股可分配现金</t>
  </si>
  <si>
    <t>每股可分配現金</t>
  </si>
  <si>
    <t>Espèces distribuables par action</t>
  </si>
  <si>
    <t>Ausschüttungsfähige Barmittel pro Aktie</t>
  </si>
  <si>
    <t>Contanti per azione distribuibili</t>
  </si>
  <si>
    <t>一株当たり分配可能額</t>
  </si>
  <si>
    <t>Распределяемые денежные средства на акцию</t>
  </si>
  <si>
    <t>Efectivo distribuible por acción</t>
  </si>
  <si>
    <t>주당 배당가능 현금</t>
  </si>
  <si>
    <t>每股可分配现金（稀释）</t>
  </si>
  <si>
    <t>每股可分配現金（稀釋）</t>
  </si>
  <si>
    <t>Espèces distribuables par action (diluées)</t>
  </si>
  <si>
    <t>Ausschüttungsfähige Barmittel pro Aktie (verwässert)</t>
  </si>
  <si>
    <t>Contanti per azione distribuibili (diluito)</t>
  </si>
  <si>
    <t>一株当たり分配可能額(潜在株式調整後)</t>
  </si>
  <si>
    <t>Распределяемые денежные средства на акцию (разводненные)</t>
  </si>
  <si>
    <t>Efectivo distribuible por acción (diluidas)</t>
  </si>
  <si>
    <t>주당 배당가능 현금(희석)</t>
  </si>
  <si>
    <t>每股特别股息</t>
  </si>
  <si>
    <t>每股特別股息</t>
  </si>
  <si>
    <t>Dividende spécial par action</t>
  </si>
  <si>
    <t>Sonderdividende pro Aktie</t>
  </si>
  <si>
    <t>Dividendi straordinari per azione</t>
  </si>
  <si>
    <t>一株当たり特別配当金(分配金)</t>
  </si>
  <si>
    <t>Специальный дивиденд на акцию</t>
  </si>
  <si>
    <t>Dividendo especial por acción</t>
  </si>
  <si>
    <t>주당 특별 배당금</t>
  </si>
  <si>
    <t>补充项目</t>
  </si>
  <si>
    <t>補充項目</t>
  </si>
  <si>
    <t>Points supplémentaires</t>
  </si>
  <si>
    <t>Zusätzliche Abrechnungsposten</t>
  </si>
  <si>
    <t>Componenti integrative</t>
  </si>
  <si>
    <t>注記項目</t>
  </si>
  <si>
    <t>Дополнительные статьи</t>
  </si>
  <si>
    <t>Artículos suplementarios</t>
  </si>
  <si>
    <t>보충 항목</t>
  </si>
  <si>
    <t>息税折旧摊销前利润 (包括附属企业股权收益)</t>
  </si>
  <si>
    <t>息稅折舊攤銷前利潤  (包括附屬企業股權收益)</t>
  </si>
  <si>
    <t>EBITDA (y compris la quote-part des affiliés)</t>
  </si>
  <si>
    <t>EBITDA (inkl. Beteiligungserträge aus verbundenen Unternehmen)</t>
  </si>
  <si>
    <t>EBITDA (incl. equity inc. da consociate)</t>
  </si>
  <si>
    <t>EBITDA(持分法投資損益を含む)</t>
  </si>
  <si>
    <t>EBITDA (включая доход от долевого участия аффилированных лиц)</t>
  </si>
  <si>
    <t>EBITDA (Incluyendo Ingresos de capital de las filiales)</t>
  </si>
  <si>
    <t>EBITDA(계열사의 투자수익 포함)</t>
  </si>
  <si>
    <t>息税折旧摊销前利润 (除股票补偿,包括附属企业股权收益)</t>
  </si>
  <si>
    <t>息稅折舊攤銷前利潤  (除股票補償,包括附屬企業股權收益)</t>
  </si>
  <si>
    <t>EBITDA (à l'exclusion de la rémunération à base d'actions et y compris la quote-part des affiliés)</t>
  </si>
  <si>
    <t>EBITDA (ohne SBC und inkl. Beteiligungserträge aus verbundenen Unternehmen)</t>
  </si>
  <si>
    <t>EBITDA (escl. SBC e incl. equity inc. da consociate)</t>
  </si>
  <si>
    <t>EBITDA(持分法投資損益を含み、株式報酬費用除く)</t>
  </si>
  <si>
    <t>EBITDA (без учета компенсаций на основе акций и доходов от долевого участия от аффилированных компаний)</t>
  </si>
  <si>
    <t>EBITDA (Excluyendo compensación basada en acciones e incluyendo Ingresos de Capital de las filiales)</t>
  </si>
  <si>
    <t>EBITDA(SBC 제외, 계열사의 투자수익 포함)</t>
  </si>
  <si>
    <t>息税折旧摊销前利润 (除股票补偿)</t>
  </si>
  <si>
    <t>息稅折舊攤銷前利潤  (除股票補償)</t>
  </si>
  <si>
    <t>EBITDA (à l'exclusion de la rémunération à base d'actions)</t>
  </si>
  <si>
    <t>EBITDA (ohne SBC)</t>
  </si>
  <si>
    <t>EBITDA (escl. SBC)</t>
  </si>
  <si>
    <t>EBITDA(株式報酬費用除く)</t>
  </si>
  <si>
    <t>EBITDA (без учета компенсаций на основе акций)</t>
  </si>
  <si>
    <t>EBITDA (Excluyendo compensación basada en acciones)</t>
  </si>
  <si>
    <t>EBITDA(SBC 제외)</t>
  </si>
  <si>
    <t>息税折旧摊销前利润,已调整租赁</t>
  </si>
  <si>
    <t>息稅折舊攤銷前利潤 ,已調整租賃</t>
  </si>
  <si>
    <t>EBITDA, ajusté au bail</t>
  </si>
  <si>
    <t>EBITDA, mietbereinigt</t>
  </si>
  <si>
    <t>EBITDA, rettificato per locazioni</t>
  </si>
  <si>
    <t>EBITDA(リース調整後)</t>
  </si>
  <si>
    <t>EBITDA, Скорректированная на лизинг</t>
  </si>
  <si>
    <t>EBITDA, Ajustado por el arrendamiento</t>
  </si>
  <si>
    <t>EBITDA, 리스 조정</t>
  </si>
  <si>
    <t>息税折旧摊销前利润的租赁调整</t>
  </si>
  <si>
    <t>息稅折舊攤銷前利潤 的租賃調整</t>
  </si>
  <si>
    <t>Ajustement du bail pour l'EBITDA</t>
  </si>
  <si>
    <t>Mietanpassung für EBITDA</t>
  </si>
  <si>
    <t>Rettifica locazioni per EBITDA</t>
  </si>
  <si>
    <t>EBITDAのリース調整額</t>
  </si>
  <si>
    <t>Корректировка на лизинг для EBITDA</t>
  </si>
  <si>
    <t>Ajuste del arrendamiento para el EBITDA</t>
  </si>
  <si>
    <t>EBITDA를 위한 리스 조정</t>
  </si>
  <si>
    <t>息税折旧摊销前利润(包括附属企业股权收益,不包括经调整的经营租赁)</t>
  </si>
  <si>
    <t>息稅折舊攤銷前利潤 (包括附屬企業股權收益,不包括經調整的經營租賃)</t>
  </si>
  <si>
    <t>EBITDA (y compris les revenus des participations des filiales, à l'exclusion de l'ajustement des contrats de location-exploitation)</t>
  </si>
  <si>
    <t>EBITDA (inkl. Beteiligungserträge aus verbundenen Unternehmen, ohne Anpassungen für Operating Leasing)</t>
  </si>
  <si>
    <t>EBITDA (incl. equity inc. da consociate, escl. rettifica per locazioni op.)</t>
  </si>
  <si>
    <t>EBITDA(持分法投資損益を含み、オペレーティング・リース除く)</t>
  </si>
  <si>
    <t>EBITDA (включая прибыль от долевого участия аффилированных компаний, без учета корректировки по операционной аренде)</t>
  </si>
  <si>
    <t>EBITDA (Incluyendo Ingresos de Capital de las filiales, excluido el ajuste del arrendamiento operativo)</t>
  </si>
  <si>
    <t>EBITDA(계열사의 투자수익 포함, 운용리스 조정 제외)</t>
  </si>
  <si>
    <t>息税前利润 (包括附属企业股权收益)</t>
  </si>
  <si>
    <t>息稅前利潤 (包括附屬企業股權收益)</t>
  </si>
  <si>
    <t>EBIT (y compris les revenus des sociétés affiliées)</t>
  </si>
  <si>
    <t>EBIT (inkl. Beteiligungserträge aus verbundenen Unternehmen)</t>
  </si>
  <si>
    <t>EBIT (incl. equity inc. da consociate)</t>
  </si>
  <si>
    <t>EBIT(持分法投資損益を含む)</t>
  </si>
  <si>
    <t>EBIT (в том числе доход от долевого участия аффилированных лиц)</t>
  </si>
  <si>
    <t>EBIT (Incluyendo Ingresos de Capital de las filiales)</t>
  </si>
  <si>
    <t>EBIT(계열사의 투자수익 포함)</t>
  </si>
  <si>
    <t>息税前利润 (不包括股票补偿和包括附属企业股权收益)</t>
  </si>
  <si>
    <t>息稅前利潤 (不包括股票補償和包括附屬企業股權收益)</t>
  </si>
  <si>
    <t>EBIT (à l'exclusion de la rémunération à base d'actions et y compris les revenus en actions des sociétés affiliées)</t>
  </si>
  <si>
    <t>EBIT (ohne SBC und inkl. Beteiligungserträge aus verbundenen Unternehmen)</t>
  </si>
  <si>
    <t>EBIT (escl. SBC e incl. equity inc. da consociate)</t>
  </si>
  <si>
    <t>EBIT(持分法投資損益を含み、株式報酬費用除く)</t>
  </si>
  <si>
    <t>EBIT (без учета компенсаций на основе акций и доходов от долевого участия от аффилированных компаний)</t>
  </si>
  <si>
    <t>EBIT (Excluyendo compensación basada en acciones e incluyendo Ingresos de Capital de las filiales)</t>
  </si>
  <si>
    <t>EBIT(SBC 제외, 계열사의 투자수익 포함)</t>
  </si>
  <si>
    <t>息税前利润 (不包括股票补偿)</t>
  </si>
  <si>
    <t>息稅前利潤 (不包括股票補償)</t>
  </si>
  <si>
    <t>EBIT (à l'exclusion de la rémunération à base d'actions)</t>
  </si>
  <si>
    <t>EBIT (ohne SBC)</t>
  </si>
  <si>
    <t>EBIT (escl. SBC)</t>
  </si>
  <si>
    <t>EBIT(株式報酬費用除く)</t>
  </si>
  <si>
    <t>EBIT (без учета компенсаций на основе акций)</t>
  </si>
  <si>
    <t>EBIT (Excluyendo compensación basada en acciones)</t>
  </si>
  <si>
    <t>EBIT(SBC 제외)</t>
  </si>
  <si>
    <t>税息及摊销前利润</t>
  </si>
  <si>
    <t xml:space="preserve">稅息及攤銷前利潤 </t>
  </si>
  <si>
    <t>税息及摊销前利润 (包括附属企业股权收益)</t>
  </si>
  <si>
    <t>稅息及攤銷前利潤 (包括附屬企業股權收益)</t>
  </si>
  <si>
    <t>EBITA (y compris les revenus des sociétés affiliées)</t>
  </si>
  <si>
    <t>EBITA (inkl. Beteiligungserträge aus verbundenen Unternehmen)</t>
  </si>
  <si>
    <t>EBITA (incl. equity inc. da consociate)</t>
  </si>
  <si>
    <t>EBITA(持分法投資損益を含む)</t>
  </si>
  <si>
    <t>EBITA (в том числе доходы от долевого участия в аффилированных компаниях)</t>
  </si>
  <si>
    <t>EBITA (Incluyendo Ingresos de Capital de las filiales)</t>
  </si>
  <si>
    <t>EBITA(계열사의 투자수익 포함)</t>
  </si>
  <si>
    <t>税息及摊销前利润 (不包括股票补偿和包括附属企业股权收益)</t>
  </si>
  <si>
    <t>稅息及攤銷前利潤 (不包括股票補償和包括附屬企業股權收益)</t>
  </si>
  <si>
    <t>EBITA (à l'exclusion des rémunérations à base d'actions et y compris les revenus en actions des sociétés affiliées)</t>
  </si>
  <si>
    <t>EBITA (ohne SBC und inkl. Beteiligungserträge aus verbundenen Unternehmen)</t>
  </si>
  <si>
    <t>EBITA (escl. SBC e incl. equity inc. da consociate)</t>
  </si>
  <si>
    <t>EBITA(持分法投資損益を含み、株式報酬費用除く)</t>
  </si>
  <si>
    <t>EBITA (без учета компенсаций на основе акций и доходов от долевого участия в аффилированных компаниях)</t>
  </si>
  <si>
    <t>EBITA (Excluyendo compensación basada en acciones e incluyendo Ingresos de Capital de las filiales)</t>
  </si>
  <si>
    <t>EBITA(SBC 제외, 계열사의 투자수익 포함)</t>
  </si>
  <si>
    <t>税息及摊销前利润 (不包括股票补偿)</t>
  </si>
  <si>
    <t>稅息及攤銷前利潤 (不包括股票補償)</t>
  </si>
  <si>
    <t>EBITA (à l'exclusion de la rémunération à base d'actions)</t>
  </si>
  <si>
    <t>EBITA (ohne SBC)</t>
  </si>
  <si>
    <t>EBITA (escl. SBC)</t>
  </si>
  <si>
    <t>EBITA(株式報酬費用除く)</t>
  </si>
  <si>
    <t>EBITA (без учета компенсаций на основе акций)</t>
  </si>
  <si>
    <t>EBITA (Excluyendo compensación basada en acciones)</t>
  </si>
  <si>
    <t>EBITA(SBC 제외)</t>
  </si>
  <si>
    <t>利息、税项、折旧、摊销及重组租金成本前利润</t>
  </si>
  <si>
    <t>利息、稅項、折舊、攤銷及重組租金成本前利潤</t>
  </si>
  <si>
    <t>息税折旧摊销重组费用前利润 (包括附属企业股权收益)</t>
  </si>
  <si>
    <t>息稅折舊攤銷重組費用前利潤 (包括附屬企業股權收益)</t>
  </si>
  <si>
    <t>EBITDAR (y compris les revenus des sociétés affiliées)</t>
  </si>
  <si>
    <t>EBITDAR (inkl. Beteiligungserträge aus verbundenen Unternehmen)</t>
  </si>
  <si>
    <t>EBITDAR (incl. equity inc. da consociate)</t>
  </si>
  <si>
    <t>EBITDAR(持分法投資損益を含む)</t>
  </si>
  <si>
    <t>EBITDAR (включая доход от долевого участия в аффилированных компаниях)</t>
  </si>
  <si>
    <t>EBITDAR (Incluyendo Ingresos de Capital de las filiales)</t>
  </si>
  <si>
    <t>EBITDAR(계열사의 투자수익 포함)</t>
  </si>
  <si>
    <t>息税折旧摊销重组费用前利润 (不包括股票补偿和包括附属企业股权收益)</t>
  </si>
  <si>
    <t>息稅折舊攤銷重組費用前利潤 (不包括股票補償和包括附屬企業股權收益)</t>
  </si>
  <si>
    <t>EBITDAR (à l'exclusion des rémunérations à base d'actions et y compris les revenus en actions des sociétés affiliées)</t>
  </si>
  <si>
    <t>EBITDAR (ohne SBC und inkl. Beteiligungserträge aus verbundenen Unternehmen)</t>
  </si>
  <si>
    <t>EBITDAR (escl. SBC e incl. equity inc. da consociate)</t>
  </si>
  <si>
    <t>EBITDAR(持分法投資損益を含み、株式報酬費用除く)</t>
  </si>
  <si>
    <t>EBITDAR (без учета компенсаций на основе акций и доходов от долевого участия в аффилированных компаниях)</t>
  </si>
  <si>
    <t>EBITDAR (Excluyendo compensación basada en acciones e incluyendo Ingresos de Capital de las filiales)</t>
  </si>
  <si>
    <t>EBITDAR(SBC 제외, 계열사의 투자수익 포함)</t>
  </si>
  <si>
    <t>息税折旧摊销重组费用前利润 (不包括股票补偿)</t>
  </si>
  <si>
    <t>息稅折舊攤銷重組費用前利潤 (不包括股票補償)</t>
  </si>
  <si>
    <t>EBITDAR (hors rémunération à base d'actions)</t>
  </si>
  <si>
    <t>EBITDAR (ohne SBC)</t>
  </si>
  <si>
    <t>EBITDAR (escl. SBC)</t>
  </si>
  <si>
    <t>EBITDAR(株式報酬費用除く)</t>
  </si>
  <si>
    <t>EBITDAR (без учета компенсаций по акциям)</t>
  </si>
  <si>
    <t>EBITDAR (Excluyendo compensación basada en acciones)</t>
  </si>
  <si>
    <t>EBITDAR(SBC 제외)</t>
  </si>
  <si>
    <t>息税折旧摊销前利润 - 资本支出</t>
  </si>
  <si>
    <t>息稅折舊攤銷前利潤  - 資本支出</t>
  </si>
  <si>
    <t>EBITDA – ANLAGEINVESTITIONEN</t>
  </si>
  <si>
    <t>EBITDA - 設備投資</t>
  </si>
  <si>
    <t>费用及其他收入</t>
  </si>
  <si>
    <t>費用及其他收入</t>
  </si>
  <si>
    <t>Honoraires et autres revenus</t>
  </si>
  <si>
    <t>Gebühren und sonstige Erträge</t>
  </si>
  <si>
    <t>Tariffe e altre entrate</t>
  </si>
  <si>
    <t>手数料・その他の利益</t>
  </si>
  <si>
    <t>Комиссионные и другие доходы</t>
  </si>
  <si>
    <t>Honorarios y otros ingresos</t>
  </si>
  <si>
    <t>수수료 및 기타 수익</t>
  </si>
  <si>
    <t>同店销售增长</t>
  </si>
  <si>
    <t>同店銷售增長</t>
  </si>
  <si>
    <t>Croissance des ventes dans les mêmes magasins</t>
  </si>
  <si>
    <t>Wachstum des flächenbereinigten Umsatzes</t>
  </si>
  <si>
    <t>Same Store Sales Growth (crescita vendite al dettaglio in periodi di tempo paragonabili)</t>
  </si>
  <si>
    <t>小売既存店売上成長率</t>
  </si>
  <si>
    <t>Рост продаж одних и тех же магазинов</t>
  </si>
  <si>
    <t>Crecimiento de las ventas en la misma tienda</t>
  </si>
  <si>
    <t>동일 매장 매출 성장</t>
  </si>
  <si>
    <t>据公司呈报的息税折旧摊销前利润</t>
  </si>
  <si>
    <t xml:space="preserve">據公司呈報的息稅折舊攤銷前利潤 </t>
  </si>
  <si>
    <t>Tel que rapporté EBITDA</t>
  </si>
  <si>
    <t>Gemeldete EBITDA</t>
  </si>
  <si>
    <t>EBITDA come riportato</t>
  </si>
  <si>
    <t>EBITDA (開示ベース)</t>
  </si>
  <si>
    <t>EBITDA согласно отчёту</t>
  </si>
  <si>
    <t>EBITDA reportado</t>
  </si>
  <si>
    <t>보고된 EBITDA</t>
  </si>
  <si>
    <t>备抵坏账-患者服务收入</t>
  </si>
  <si>
    <t>備抵壞賬-患者服務收入</t>
  </si>
  <si>
    <t>Provision pour créances douteuses - Revenus des services aux patients</t>
  </si>
  <si>
    <t>Rückstellungen für zweifelhafte Forderungen – Erlöse aus Patientenversorgung</t>
  </si>
  <si>
    <t>Fondo accumulato per svalutazione crediti - Patient Service Revenue (ricavi assistenza pazienti meno crediti inesigibili)</t>
  </si>
  <si>
    <t>貸倒引当金繰入額(医療機関の患者に対する金額)</t>
  </si>
  <si>
    <t>Резерв по сомнительным счетам - Доходы от обслуживания пациентов</t>
  </si>
  <si>
    <t>Provisión para cuentas dudosas - Ingresos del servicio al paciente</t>
  </si>
  <si>
    <t>대손충당금 - 환자 서비스 수익</t>
  </si>
  <si>
    <t>母公司盈利(不包括非经常性项目)</t>
  </si>
  <si>
    <t>母公司盈利(不包括非經常性項目)</t>
  </si>
  <si>
    <t>Bénéfices aux parents avant éléments extraordinaires</t>
  </si>
  <si>
    <t>Gewinnausschüttung an Muttergesellschaft vor außerordentlichen Posten</t>
  </si>
  <si>
    <t>Utili per la controllante prima delle componenti straordinarie</t>
  </si>
  <si>
    <t>Заработок родительской компании до вычета чрезвычайных статей</t>
  </si>
  <si>
    <t>Ganancias para la casa matriz antes de los artículos extraordinarios</t>
  </si>
  <si>
    <t>특별 손익 항목 전 모회사 수익</t>
  </si>
  <si>
    <t>每个SFAS 123的净收入（期权后）</t>
  </si>
  <si>
    <t>每個SFAS 123的淨收入（期權後）</t>
  </si>
  <si>
    <t>Bénéfice net selon la norme SFAS 123 (après options)</t>
  </si>
  <si>
    <t>Reingewinn nach SFAS 123 (nach Optionen)</t>
  </si>
  <si>
    <t>Risultato netto in base a SFAS 123 (dopo le Opzioni)</t>
  </si>
  <si>
    <t>SFASに基づく当期純利益(オプション除き)</t>
  </si>
  <si>
    <t>Чистая прибыль на SFAS 123 (после опционов)</t>
  </si>
  <si>
    <t>Ingreso neto por SFAS 123 (después de las opciones)</t>
  </si>
  <si>
    <t>SFAS 123 당 순이익(옵션 후)</t>
  </si>
  <si>
    <t>利息收入</t>
  </si>
  <si>
    <t xml:space="preserve">利息收入 </t>
  </si>
  <si>
    <t>Revenu d'intérêts</t>
  </si>
  <si>
    <t>Zinsergebnis</t>
  </si>
  <si>
    <t>Interessi attivi</t>
  </si>
  <si>
    <t xml:space="preserve">資金運用収益 </t>
  </si>
  <si>
    <t>Процентный доход</t>
  </si>
  <si>
    <t>Ingresos por Intereses</t>
  </si>
  <si>
    <t xml:space="preserve">이자 수익 </t>
  </si>
  <si>
    <t>投资收益</t>
  </si>
  <si>
    <t>投資收益</t>
  </si>
  <si>
    <t>Revenus des investissements</t>
  </si>
  <si>
    <t>Investmenterträge</t>
  </si>
  <si>
    <t>Reddito da investimenti</t>
  </si>
  <si>
    <t>投資収益</t>
  </si>
  <si>
    <t>Доход от инвестиций</t>
  </si>
  <si>
    <t>Ingresos por inversiones</t>
  </si>
  <si>
    <t>투자 수익</t>
  </si>
  <si>
    <t>销售中不包括消费税</t>
  </si>
  <si>
    <t>銷售中不包括消費稅</t>
  </si>
  <si>
    <t>Taxes d'accises exclues des ventes</t>
  </si>
  <si>
    <t>Umsatz ohne Verbrauchssteuern</t>
  </si>
  <si>
    <t>Accise escluse dalle vendite</t>
  </si>
  <si>
    <t>消費税額(税抜処理された金額)</t>
  </si>
  <si>
    <t>Акцизные налоги, исключенные из выручки от продажи</t>
  </si>
  <si>
    <t>Impuestos especiales excluidos de las ventas</t>
  </si>
  <si>
    <t>매출에서 제외된 특별소비세</t>
  </si>
  <si>
    <t>销售中包含消费税</t>
  </si>
  <si>
    <t>銷售中包含消費稅</t>
  </si>
  <si>
    <t>Taxes d'accises incluses dans les ventes</t>
  </si>
  <si>
    <t>Umsatz inklusive Verbrauchssteuern</t>
  </si>
  <si>
    <t>Accise incluse nelle vendite</t>
  </si>
  <si>
    <t>消費税額(税込処理により売上に含まれる金額)</t>
  </si>
  <si>
    <t>Акцизные налоги, включенные в выручку от продажи</t>
  </si>
  <si>
    <t>Los impuestos especiales incluidos en las ventas</t>
  </si>
  <si>
    <t>매출에 포함된 특별소비세</t>
  </si>
  <si>
    <t>当期国内税</t>
  </si>
  <si>
    <t>當期國內稅</t>
  </si>
  <si>
    <t>Impôts intérieurs actuels</t>
  </si>
  <si>
    <t>Kurzfristige inländische Steuern</t>
  </si>
  <si>
    <t>Imposte nazionali correnti</t>
  </si>
  <si>
    <t>法人税等(当年度分/国内)</t>
  </si>
  <si>
    <t>Текущие национальные налоги</t>
  </si>
  <si>
    <t>Impuestos internos corrientes</t>
  </si>
  <si>
    <t>당기 내국세</t>
  </si>
  <si>
    <t>当期外国税</t>
  </si>
  <si>
    <t>當期外國稅</t>
  </si>
  <si>
    <t>Impôts étrangers actuels</t>
  </si>
  <si>
    <t>Kurzfristige ausländische Steuern</t>
  </si>
  <si>
    <t>Imposte estere correnti</t>
  </si>
  <si>
    <t>法人税等(当年度分/海外)</t>
  </si>
  <si>
    <t>Текущие иностранные налоги</t>
  </si>
  <si>
    <t>Impuestos extranjeros corrientes</t>
  </si>
  <si>
    <t>당기 외국세</t>
  </si>
  <si>
    <t>当期税款总额</t>
  </si>
  <si>
    <t>當期稅款總額</t>
  </si>
  <si>
    <t>Total des impôts courants</t>
  </si>
  <si>
    <t>Summe der kurzfristigen Steuern</t>
  </si>
  <si>
    <t>Totale imposte correnti</t>
  </si>
  <si>
    <t>法人税等(当年度分合計)</t>
  </si>
  <si>
    <t>Итого текущие налоги</t>
  </si>
  <si>
    <t>Total de impuestos corrientes</t>
  </si>
  <si>
    <t>총 당기 세금</t>
  </si>
  <si>
    <t>递延国内税</t>
  </si>
  <si>
    <t>遞延國內稅</t>
  </si>
  <si>
    <t>Impôts intérieurs différés</t>
  </si>
  <si>
    <t>Latente inländische Steuern</t>
  </si>
  <si>
    <t>Imposte nazionali differite</t>
  </si>
  <si>
    <t>法人税等(繰延税額分/国内)</t>
  </si>
  <si>
    <t>Отложенные национальные налоги</t>
  </si>
  <si>
    <t>Impuestos internos diferidos</t>
  </si>
  <si>
    <t>이연내국세</t>
  </si>
  <si>
    <t>递延外国税</t>
  </si>
  <si>
    <t>遞延外國稅</t>
  </si>
  <si>
    <t>Impôts étrangers différés</t>
  </si>
  <si>
    <t>Latente ausländische Steuern</t>
  </si>
  <si>
    <t>Imposte estere differite</t>
  </si>
  <si>
    <t>法人税等(繰延税額分/海外)</t>
  </si>
  <si>
    <t>Отложенные иностранные налоги</t>
  </si>
  <si>
    <t>Impuestos extranjeros diferidos</t>
  </si>
  <si>
    <t>이연외국세</t>
  </si>
  <si>
    <t>递延税款总额</t>
  </si>
  <si>
    <t>遞延稅款總額</t>
  </si>
  <si>
    <t>Total des impôts différés</t>
  </si>
  <si>
    <t>Summe der latenten Steuern</t>
  </si>
  <si>
    <t>Totale imposte differite</t>
  </si>
  <si>
    <t>法人税等(繰延税額分合計)</t>
  </si>
  <si>
    <t>Итого Отложенные налоги</t>
  </si>
  <si>
    <t>Total de impuestos diferidos</t>
  </si>
  <si>
    <t>총 이연법인세</t>
  </si>
  <si>
    <t>非经常性所得税</t>
  </si>
  <si>
    <t>非經常性所得稅</t>
  </si>
  <si>
    <t>Impôts sur les revenus non récurrents</t>
  </si>
  <si>
    <t>Einmalige Einkommenssteuern</t>
  </si>
  <si>
    <t>Imposte sul reddito non ricorrenti</t>
  </si>
  <si>
    <t>非経常的法人税</t>
  </si>
  <si>
    <t>Вторичные подоходные налоги</t>
  </si>
  <si>
    <t>Impuestos sobre la renta no recurrentes</t>
  </si>
  <si>
    <t>비경상 소득세</t>
  </si>
  <si>
    <t>正常化净收入</t>
  </si>
  <si>
    <t>正常化淨收入</t>
  </si>
  <si>
    <t>Revenu net normalisé</t>
  </si>
  <si>
    <t>Normalisierter Reingewinn</t>
  </si>
  <si>
    <t>Risultato netto normalizzato</t>
  </si>
  <si>
    <t>標準化後当期純利益</t>
  </si>
  <si>
    <t>Нормализованная чистая прибыль</t>
  </si>
  <si>
    <t>Ingresos netos normalizados</t>
  </si>
  <si>
    <t>정규화된 순이익</t>
  </si>
  <si>
    <t xml:space="preserve">稀释净收入 </t>
  </si>
  <si>
    <t>稀釋淨收入</t>
  </si>
  <si>
    <t>Revenu net dilué</t>
  </si>
  <si>
    <t>Verwässerter Reingewinn</t>
  </si>
  <si>
    <t>Risultato netto diluito</t>
  </si>
  <si>
    <t>希薄化考慮後当期純利益</t>
  </si>
  <si>
    <t>Разводненная чистая прибыль</t>
  </si>
  <si>
    <t>Ingresos netos diluidos</t>
  </si>
  <si>
    <t>희석 순이익</t>
  </si>
  <si>
    <t>利息资本化</t>
  </si>
  <si>
    <t>利息資本化</t>
  </si>
  <si>
    <t>Intérêts capitalisés</t>
  </si>
  <si>
    <t>Kapitalisierte Zinsen</t>
  </si>
  <si>
    <t>Interesse capitalizzato</t>
  </si>
  <si>
    <t>原価算入分の借入資本利子</t>
  </si>
  <si>
    <t>Капитализированные проценты</t>
  </si>
  <si>
    <t>Interés capitalizado</t>
  </si>
  <si>
    <t>원금 가산 이자</t>
  </si>
  <si>
    <t>长期债务利息</t>
  </si>
  <si>
    <t>長期債務利息</t>
  </si>
  <si>
    <t>Intérêts sur la dette à long terme</t>
  </si>
  <si>
    <t>Zinsen auf langfristige Anleihen</t>
  </si>
  <si>
    <t>Interessi sul debito a lungo termine</t>
  </si>
  <si>
    <t>支払利息(長期有利子負債に対応分)</t>
  </si>
  <si>
    <t>Проценты по долгосрочному долгу</t>
  </si>
  <si>
    <t>Intereses de la deuda a largo plazo</t>
  </si>
  <si>
    <t>장기부채 이자</t>
  </si>
  <si>
    <t>租赁负债/债务利 息支出</t>
  </si>
  <si>
    <t>租賃負債/債務 利息支出</t>
  </si>
  <si>
    <t>Frais d'intérêt sur les dettes de location</t>
  </si>
  <si>
    <t>Zinsaufwendungen für Leasingverbindlichkeiten/-schulden</t>
  </si>
  <si>
    <t>Interessi passivi su passività da locazioni/debito</t>
  </si>
  <si>
    <t>リース負債/負債に対する利息費用</t>
  </si>
  <si>
    <t>Процентные расходы по лизинговым обязательствам/долг</t>
  </si>
  <si>
    <t>Gastos de intereses en la responsabilidad de arrendamiento/deuda</t>
  </si>
  <si>
    <t>리스 부채 이자비용</t>
  </si>
  <si>
    <t>利息费用（包括资本利息）</t>
  </si>
  <si>
    <t>利息費用（包括資本利息）</t>
  </si>
  <si>
    <t>Frais d'intérêt (y compris les intérêts sur le capital)</t>
  </si>
  <si>
    <t>Zinsaufwendungen (inkl. Kap.-Zinsen)</t>
  </si>
  <si>
    <t>Interessi passivi (incl. interesse cap.)</t>
  </si>
  <si>
    <t>支払利息(キャピタル・リース取引から発生した分を含む)</t>
  </si>
  <si>
    <t>Процентные расходы (вкл. "Процентные расходы")</t>
  </si>
  <si>
    <t>Gastos de intereses (incluido el interés de capital)</t>
  </si>
  <si>
    <t>이자비용(원금 가산 이자 포함)</t>
  </si>
  <si>
    <t>非现金养老金费用</t>
  </si>
  <si>
    <t>非現金養老金費用</t>
  </si>
  <si>
    <t>Frais de pension non monétaires</t>
  </si>
  <si>
    <t>Unbarer Pensionsaufwand</t>
  </si>
  <si>
    <t>Spesa pensioni non in contanti</t>
  </si>
  <si>
    <t>退職給付費用(現金非支出額)</t>
  </si>
  <si>
    <t>Расходы по безналичному пенсионному обеспечению</t>
  </si>
  <si>
    <t>Gastos de pensión en No-efectivo</t>
  </si>
  <si>
    <t>비현금 연금 비용</t>
  </si>
  <si>
    <t>息税折旧摊销前利润的折旧和摊销</t>
  </si>
  <si>
    <t>息稅折舊攤銷前利潤 的折舊和攤銷</t>
  </si>
  <si>
    <t>Amortissement et dépréciation pour l'EBITDA</t>
  </si>
  <si>
    <t>Abschreibungen für EBITDA</t>
  </si>
  <si>
    <t>D&amp;A per EBITDA</t>
  </si>
  <si>
    <t>EBITDA計算過程に使用する減価償却費</t>
  </si>
  <si>
    <t>Износ и амортизация для EBITDA</t>
  </si>
  <si>
    <t>Depreciación y amortización para EBITDA</t>
  </si>
  <si>
    <t>EBITDA의 D&amp;A</t>
  </si>
  <si>
    <t>可分配现金</t>
  </si>
  <si>
    <t>可分配現金</t>
  </si>
  <si>
    <t>Liquidités distribuables</t>
  </si>
  <si>
    <t>Ausschüttungsfähige Barmittel</t>
  </si>
  <si>
    <t>Contanti distribuibili</t>
  </si>
  <si>
    <t>分配可能現金額</t>
  </si>
  <si>
    <t>Распределяемые денежные средства</t>
  </si>
  <si>
    <t>Caja distribuible</t>
  </si>
  <si>
    <t>배당가능 현금</t>
  </si>
  <si>
    <t>正常化可分配现金</t>
  </si>
  <si>
    <t>正常化可分配現金</t>
  </si>
  <si>
    <t>Liquidités distribuables normalisées</t>
  </si>
  <si>
    <t>Standardisiertes ausschüttungsfähige Barmittel</t>
  </si>
  <si>
    <t>Contanti distribuibili standardizzati</t>
  </si>
  <si>
    <t>標準化後分配可能現金額</t>
  </si>
  <si>
    <t>Стандартизированные распределяемые денежные средства</t>
  </si>
  <si>
    <t>Caja distribuible estandarizado</t>
  </si>
  <si>
    <t>표준화된 배당가능 현금</t>
  </si>
  <si>
    <t>可分配现金股数（基本）</t>
  </si>
  <si>
    <t>可分配現金股數（基本）</t>
  </si>
  <si>
    <t>Actions en espèces distribuables (de base)</t>
  </si>
  <si>
    <t>Ausschüttungsfähige Barmittel aus Aktien (Basis)</t>
  </si>
  <si>
    <t>Azioni in contanti distribuibili (base)</t>
  </si>
  <si>
    <t>分配可能な発行済み現金株</t>
  </si>
  <si>
    <t>Акции, подлежащие распределению в денежной форме (базовые)</t>
  </si>
  <si>
    <t>Acciones distribuibles en efectivo (Básicas)</t>
  </si>
  <si>
    <t>주당 배당가능 현금(기본)</t>
  </si>
  <si>
    <t>可分配现金股（稀释）</t>
  </si>
  <si>
    <t>可分配現金股（稀釋）</t>
  </si>
  <si>
    <t>Actions en espèces distribuables (diluées)</t>
  </si>
  <si>
    <t>Ausschüttungsfähige Barmittel aus Aktien (verwässert)</t>
  </si>
  <si>
    <t>Azioni in contanti distribuibili (diluito)</t>
  </si>
  <si>
    <t>分配可能な潜在株式調整後現金株</t>
  </si>
  <si>
    <t>Акции, подлежащие распределению в денежной форме (разводненные)</t>
  </si>
  <si>
    <t>Acciones distribuibles en efectivo (diluidas)</t>
  </si>
  <si>
    <t>배당가능 현금(희석)</t>
  </si>
  <si>
    <t>每单位年度化分派</t>
  </si>
  <si>
    <t>每單位年度化分派</t>
  </si>
  <si>
    <t>Distributions annualisées par unité</t>
  </si>
  <si>
    <t>Annualisierte Ausschüttungen pro Stück</t>
  </si>
  <si>
    <t>Distribuzioni annuali per unità</t>
  </si>
  <si>
    <t>一株当たり配当金(年換算後)</t>
  </si>
  <si>
    <t>Годовые распределения на единицу</t>
  </si>
  <si>
    <t>Distribuciones anualizadas por unidad</t>
  </si>
  <si>
    <t>단위 당 연간 계산된 배당금</t>
  </si>
  <si>
    <t>可分配现金股息支付比率（收入信托）</t>
  </si>
  <si>
    <t>可分配現金股息支付比率（收入信託）</t>
  </si>
  <si>
    <t>Ratio de distribution des liquidités distribuables (fiducies de revenu)</t>
  </si>
  <si>
    <t>Auszahlungsquote für ausschüttungsfähige Barmittel (Income Trusts)</t>
  </si>
  <si>
    <t>Rapporto di pagamento contanti distribuibili (income trust)</t>
  </si>
  <si>
    <t>分配可能額に対する配当金支払額の割合</t>
  </si>
  <si>
    <t>Коэффициент распределения денежных выплат (трасты по доходам)</t>
  </si>
  <si>
    <t>Ratio de pago de caja distribuible (fideicomisos de ingresos)</t>
  </si>
  <si>
    <t>배당가능 현금 배당성향(수익신탁)</t>
  </si>
  <si>
    <t>宣布的普通股股利</t>
  </si>
  <si>
    <t>Déclaration de dividende sur les actions ordinaires</t>
  </si>
  <si>
    <t>Angekündigte Dividende auf Stammaktien</t>
  </si>
  <si>
    <t>Dividendi ordinari dichiarati</t>
  </si>
  <si>
    <t>公表された配当金支払額</t>
  </si>
  <si>
    <t>Объявленные дивиденды по обыкновенным акциям</t>
  </si>
  <si>
    <t>Dividendos de las acciones comunes declaradas</t>
  </si>
  <si>
    <t>보통주 배당 고시</t>
  </si>
  <si>
    <t>有效税率 (%)</t>
  </si>
  <si>
    <t>有效稅率 (%)</t>
  </si>
  <si>
    <t>Taux d'imposition effectif (%)</t>
  </si>
  <si>
    <t>Effektivsteuersatz (%)</t>
  </si>
  <si>
    <t>Aliquota fiscale effettiva (%)</t>
  </si>
  <si>
    <t>実効税率 (%)</t>
  </si>
  <si>
    <t>Эффективная налоговая ставка (%)</t>
  </si>
  <si>
    <t>Tasa Efectiva de Impuestos (%)</t>
  </si>
  <si>
    <t>실효세율(%)</t>
  </si>
  <si>
    <t>派息率（％）</t>
  </si>
  <si>
    <t>Ratio de distribution (%)</t>
  </si>
  <si>
    <t>Ausschüttungsquote (%)</t>
  </si>
  <si>
    <t>Rapporto di pagamento (%)</t>
  </si>
  <si>
    <t>配当性向</t>
  </si>
  <si>
    <t>Коэффициент покрытия (%)</t>
  </si>
  <si>
    <t>Ratio de pago de dividendos (%)</t>
  </si>
  <si>
    <t>배당성향(%)</t>
  </si>
  <si>
    <t>债务发行成本</t>
  </si>
  <si>
    <t>債務發行成本</t>
  </si>
  <si>
    <t>Frais d'émission de la dette</t>
  </si>
  <si>
    <t>Kosten für die Ausgabe von Anleihen</t>
  </si>
  <si>
    <t>Costi emissione debito</t>
  </si>
  <si>
    <t>債券発行費用</t>
  </si>
  <si>
    <t>Затраты на выпуск долговых обязательств</t>
  </si>
  <si>
    <t>Costos de emisión de deuda</t>
  </si>
  <si>
    <t>부채 발행 비용</t>
  </si>
  <si>
    <t>据呈报的货币</t>
  </si>
  <si>
    <t>據呈報的貨幣</t>
  </si>
  <si>
    <t>Monnaie de dépôt</t>
  </si>
  <si>
    <t>Währung der Erklärung</t>
  </si>
  <si>
    <t>Valuta di inserimento</t>
  </si>
  <si>
    <t>開示通貨</t>
  </si>
  <si>
    <t>Валюта отчетности</t>
  </si>
  <si>
    <t>Presentación de la moneda</t>
  </si>
  <si>
    <t>고시 통화</t>
  </si>
  <si>
    <t>周期长度（月）</t>
  </si>
  <si>
    <t>週期長度（月）</t>
  </si>
  <si>
    <t>Durée de la période en mois</t>
  </si>
  <si>
    <t>Periodenlänge in Monaten</t>
  </si>
  <si>
    <t>Durata del periodo in mesi</t>
  </si>
  <si>
    <t>会計期間（月数）</t>
  </si>
  <si>
    <t>Продолжительность периода в месяцах</t>
  </si>
  <si>
    <t>Duración del período en meses</t>
  </si>
  <si>
    <t>기간(개월)</t>
  </si>
  <si>
    <t>报告日期</t>
  </si>
  <si>
    <t>報告日期</t>
  </si>
  <si>
    <t>Date de dépôt</t>
  </si>
  <si>
    <t>Einreichungsdatum</t>
  </si>
  <si>
    <t>Data di presentazione</t>
  </si>
  <si>
    <t>決算開示日</t>
  </si>
  <si>
    <t>Дата презентации</t>
  </si>
  <si>
    <t>Fecha de presentación</t>
  </si>
  <si>
    <t>제출 날짜</t>
  </si>
  <si>
    <t>期间日期</t>
  </si>
  <si>
    <t>期間日期</t>
  </si>
  <si>
    <t>Date de la période</t>
  </si>
  <si>
    <t>Periodendatum</t>
  </si>
  <si>
    <t>Data periodo</t>
  </si>
  <si>
    <t>決算期末日</t>
  </si>
  <si>
    <t>Дата периода</t>
  </si>
  <si>
    <t>Período</t>
  </si>
  <si>
    <t>기간 날짜</t>
  </si>
  <si>
    <t>重述类型</t>
  </si>
  <si>
    <t>重述類型</t>
  </si>
  <si>
    <t>Type de retraitement</t>
  </si>
  <si>
    <t>Art der Neuformulierung</t>
  </si>
  <si>
    <t>Tipo di rideterminazione</t>
  </si>
  <si>
    <t>リステートメント・タイプ</t>
  </si>
  <si>
    <t>Тип отчетности</t>
  </si>
  <si>
    <t>Tipo de restauración</t>
  </si>
  <si>
    <t>수정 재무제표 유형</t>
  </si>
  <si>
    <t>计算类型</t>
  </si>
  <si>
    <t>計算類型</t>
  </si>
  <si>
    <t>Type de calcul</t>
  </si>
  <si>
    <t>Berechnungstyp</t>
  </si>
  <si>
    <t>Tipo di calcolo</t>
  </si>
  <si>
    <t>計算・タイプ</t>
  </si>
  <si>
    <t>Вычислительный метод</t>
  </si>
  <si>
    <t>Tipo de cálculo</t>
  </si>
  <si>
    <t>계산 유형</t>
  </si>
  <si>
    <t>财务会计准则</t>
  </si>
  <si>
    <t>財務會計準則</t>
  </si>
  <si>
    <t>Norme de comptabilité financière</t>
  </si>
  <si>
    <t>Finanzbuchhaltungstandard</t>
  </si>
  <si>
    <t>Standard di contabilità finanziaria</t>
  </si>
  <si>
    <t>開示会計基準</t>
  </si>
  <si>
    <t>Стандарт финансовой отчетности</t>
  </si>
  <si>
    <t>Estándar de contabilidad financiera</t>
  </si>
  <si>
    <t>재무회계 표준</t>
  </si>
  <si>
    <t>补充营业费用项目</t>
  </si>
  <si>
    <t>補充營業費用項目</t>
  </si>
  <si>
    <t>Postes supplémentaires de dépenses de fonctionnement</t>
  </si>
  <si>
    <t>Posten für zusätzliche Betriebsaufwendungen</t>
  </si>
  <si>
    <t>Elementi di spesa operativa supplementari</t>
  </si>
  <si>
    <t>補足営業費用項目</t>
  </si>
  <si>
    <t>Дополнительные эксплуатационные расходы</t>
  </si>
  <si>
    <t>Artículos de gastos de operación suplementarios</t>
  </si>
  <si>
    <t>부가 운영비 항목</t>
  </si>
  <si>
    <t>广告</t>
  </si>
  <si>
    <t>廣告</t>
  </si>
  <si>
    <t>La publicité</t>
  </si>
  <si>
    <t>Werbung</t>
  </si>
  <si>
    <t>Pubblicità</t>
  </si>
  <si>
    <t>広告</t>
  </si>
  <si>
    <t>Реклама</t>
  </si>
  <si>
    <t>Publicidad</t>
  </si>
  <si>
    <t>광고</t>
  </si>
  <si>
    <t>营销费用</t>
  </si>
  <si>
    <t>營銷費用</t>
  </si>
  <si>
    <t>Frais de marketing</t>
  </si>
  <si>
    <t>Marketingaufwendungen</t>
  </si>
  <si>
    <t>Spese di marketing</t>
  </si>
  <si>
    <t>マーケティング費用</t>
  </si>
  <si>
    <t>Маркетинговые расходы</t>
  </si>
  <si>
    <t>Gastos de marketing</t>
  </si>
  <si>
    <t>마케팅 비용</t>
  </si>
  <si>
    <t>销售与营销费用</t>
  </si>
  <si>
    <t>銷售與營銷費用</t>
  </si>
  <si>
    <t>Frais de vente et de marketing</t>
  </si>
  <si>
    <t>Verkaufs- und Marketingaufwendungen</t>
  </si>
  <si>
    <t>Spese di vendita e marketing</t>
  </si>
  <si>
    <t>販売・マーケティング費用</t>
  </si>
  <si>
    <t>Расходы на продажу и маркетинг</t>
  </si>
  <si>
    <t>Gastos de venta y marketing</t>
  </si>
  <si>
    <t>판매 및 마케팅 비용</t>
  </si>
  <si>
    <t>一般及行政费用</t>
  </si>
  <si>
    <t>一般及行政費用</t>
  </si>
  <si>
    <t>Frais généraux et administratifs</t>
  </si>
  <si>
    <t>Gemeinkosten</t>
  </si>
  <si>
    <t>Spese generali e amministrative</t>
  </si>
  <si>
    <t>一般管理費</t>
  </si>
  <si>
    <t>Общие и административные расходы</t>
  </si>
  <si>
    <t>Gastos generales y administrativos</t>
  </si>
  <si>
    <t>일반 관리비</t>
  </si>
  <si>
    <t>净租金支出，总计</t>
  </si>
  <si>
    <t>淨租金支出，總計</t>
  </si>
  <si>
    <t>Frais de location nets, total</t>
  </si>
  <si>
    <t>Nettomietaufwendungen, Summe</t>
  </si>
  <si>
    <t>Spese noleggio nette, totale</t>
  </si>
  <si>
    <t>リース料(合計)</t>
  </si>
  <si>
    <t>Чистые расходы на аренду, всего</t>
  </si>
  <si>
    <t>Gastos netos de alquiler, total</t>
  </si>
  <si>
    <t>순 임대 비용, 총계</t>
  </si>
  <si>
    <t>净租金支出</t>
  </si>
  <si>
    <t>淨租金支出</t>
  </si>
  <si>
    <t>Frais de location nets</t>
  </si>
  <si>
    <t>Nettomietaufwendungen</t>
  </si>
  <si>
    <t>Spese noleggio nette</t>
  </si>
  <si>
    <t>リース料</t>
  </si>
  <si>
    <t>Чистые расходы на аренду</t>
  </si>
  <si>
    <t>Gastos netos de alquiler</t>
  </si>
  <si>
    <t>순 임대 비용</t>
  </si>
  <si>
    <t>净租金支出(补充)</t>
  </si>
  <si>
    <t>淨租金支出(補充)</t>
  </si>
  <si>
    <t>Frais de location nets (Supplément)</t>
  </si>
  <si>
    <t>Nettomietaufwendungen (Zus.)</t>
  </si>
  <si>
    <t>Spese noleggio nette (flessibile)</t>
  </si>
  <si>
    <t>リース料(注記)</t>
  </si>
  <si>
    <t>Чистые расходы на аренду (Дополнительно)</t>
  </si>
  <si>
    <t>Gasto neto de alquiler (Suplemento)</t>
  </si>
  <si>
    <t>순 임대 비용(부가)</t>
  </si>
  <si>
    <t>或有租金费用</t>
  </si>
  <si>
    <t>或有租金費用</t>
  </si>
  <si>
    <t>Frais de location éventuels</t>
  </si>
  <si>
    <t>Bedingte Mietaufwendungen</t>
  </si>
  <si>
    <t>Spese noleggio potenziali</t>
  </si>
  <si>
    <t>変動リース料</t>
  </si>
  <si>
    <t>Условные расходы на аренду</t>
  </si>
  <si>
    <t>Gastos de alquiler contingentes</t>
  </si>
  <si>
    <t>조건부 임대 비용</t>
  </si>
  <si>
    <t>最低租金费用</t>
  </si>
  <si>
    <t>最低租金費用</t>
  </si>
  <si>
    <t>Frais de location minimum</t>
  </si>
  <si>
    <t>Mindestmietaufwendungen</t>
  </si>
  <si>
    <t>Spese noleggio minime</t>
  </si>
  <si>
    <t>最低リース料</t>
  </si>
  <si>
    <t>Минимальные расходы на аренду</t>
  </si>
  <si>
    <t>Gastos mínimos de alquiler</t>
  </si>
  <si>
    <t>최소 임대 비용</t>
  </si>
  <si>
    <t>其他租金费用</t>
  </si>
  <si>
    <t>其他租金費用</t>
  </si>
  <si>
    <t>Autres frais de location</t>
  </si>
  <si>
    <t>Andere Mietaufwendungen</t>
  </si>
  <si>
    <t>Altre spese noleggio</t>
  </si>
  <si>
    <t>その他リース料</t>
  </si>
  <si>
    <t>Другие расходы на аренду</t>
  </si>
  <si>
    <t>Otros gastos de alquiler</t>
  </si>
  <si>
    <t>기타 임대 비용</t>
  </si>
  <si>
    <t>飞机租赁费用</t>
  </si>
  <si>
    <t>飛機租賃費用</t>
  </si>
  <si>
    <t>Frais de location des aéronefs</t>
  </si>
  <si>
    <t>Mietaufwendungen für Flugzeuge</t>
  </si>
  <si>
    <t>Spese noleggio velivoli</t>
  </si>
  <si>
    <t>航空機のリース料</t>
  </si>
  <si>
    <t>Расходы на аренду воздушного судна</t>
  </si>
  <si>
    <t>Gastos de alquiler de aviones</t>
  </si>
  <si>
    <t>항공기 임대 비용</t>
  </si>
  <si>
    <t>租赁资产折旧</t>
  </si>
  <si>
    <t>租賃資產折舊</t>
  </si>
  <si>
    <t>Amortissement des biens locatifs</t>
  </si>
  <si>
    <t>Abschreibung von Mietvermögen</t>
  </si>
  <si>
    <t>Ammortamento attività di noleggio</t>
  </si>
  <si>
    <t>リース資産にかかる減価償却費</t>
  </si>
  <si>
    <t>Амортизация арендных активов</t>
  </si>
  <si>
    <t>Depreciación de los activos de alquiler</t>
  </si>
  <si>
    <t>임대 자산 감가상각</t>
  </si>
  <si>
    <t>Frais d'exploration/forage</t>
  </si>
  <si>
    <t>Explorations-/Bohraufwand</t>
  </si>
  <si>
    <t>Spese di esplorazione/trivellazione</t>
  </si>
  <si>
    <t>Расходы на разведку/бурение</t>
  </si>
  <si>
    <t>Gastos de exploración y perforación</t>
  </si>
  <si>
    <t>保养和维修费用</t>
  </si>
  <si>
    <t>保養和維修費用</t>
  </si>
  <si>
    <t>Frais de maintenance et de réparation</t>
  </si>
  <si>
    <t>Kosten für Wartung und Reparatur</t>
  </si>
  <si>
    <t>Spese di riparazione e manutenzione</t>
  </si>
  <si>
    <t>修繕費</t>
  </si>
  <si>
    <t>Расходы на техническое обслуживание и ремонт</t>
  </si>
  <si>
    <t>Gastos de mantenimiento y reparación</t>
  </si>
  <si>
    <t>유지보수 및 수리 비용</t>
  </si>
  <si>
    <t>估算的经营租赁利息费用</t>
  </si>
  <si>
    <t>估算的經營租賃利息費用</t>
  </si>
  <si>
    <t>Frais d'intérêt sur les contrats de leasing opérationnel imputés</t>
  </si>
  <si>
    <t>Annahmen zum betrieblichen Mietaufwand</t>
  </si>
  <si>
    <t>Interesse passivo locazioni oper. contabile</t>
  </si>
  <si>
    <t>賃貸借リース取引にかかる支払利息</t>
  </si>
  <si>
    <t>Вмененные процентные расходы по операционной аренде</t>
  </si>
  <si>
    <t xml:space="preserve">Operaciones imputadas. Gastos de Interés de arrendamiento </t>
  </si>
  <si>
    <t>귀속 운영 리스 이자 비용</t>
  </si>
  <si>
    <t>估算的经营租赁折旧</t>
  </si>
  <si>
    <t>估算的經營租賃折舊</t>
  </si>
  <si>
    <t>Amortissement des contrats de leasing opérationnel imputé</t>
  </si>
  <si>
    <t>Annahmen zu betrieblichen Mietabschreibungen</t>
  </si>
  <si>
    <t>Ammortamento locazioni oper. contabile</t>
  </si>
  <si>
    <t>賃貸借リース取引にかかる減価償却費</t>
  </si>
  <si>
    <t>Амортизация по операционной аренде</t>
  </si>
  <si>
    <t>Operaciones imputadas. Depreciación de Arrendamiento</t>
  </si>
  <si>
    <t>귀속 운영 리스 감가상각</t>
  </si>
  <si>
    <t>重组费用（补充）</t>
  </si>
  <si>
    <t>重組費用（補充）</t>
  </si>
  <si>
    <t>Frais de restructuration (Supplément)</t>
  </si>
  <si>
    <t>Umstrukturierungskosten (Zus.)</t>
  </si>
  <si>
    <t>Costi di ristrutturazione (flessibili)</t>
  </si>
  <si>
    <t>構造改革費用(注記)</t>
  </si>
  <si>
    <t>Реструктуризация расходов (Дополнение)</t>
  </si>
  <si>
    <t>Cargos por reestructuración (Suplemento)</t>
  </si>
  <si>
    <t>구조조정 비용(부가)</t>
  </si>
  <si>
    <t>廉价购买利益</t>
  </si>
  <si>
    <t>廉價購買利益</t>
  </si>
  <si>
    <t>Gain sur l'Acquisition de bonnes affaires</t>
  </si>
  <si>
    <t>Gewinn aus dem Erwerb von Schnäppchen</t>
  </si>
  <si>
    <t>Utile per acquisto a prezzi favorevoli</t>
  </si>
  <si>
    <t>廉価買収益</t>
  </si>
  <si>
    <t>Прибыль от приобретения</t>
  </si>
  <si>
    <t>Ganancia en la adquisición de la negociación</t>
  </si>
  <si>
    <t>계약 인수 이익</t>
  </si>
  <si>
    <t>其他异常项目（补充）</t>
  </si>
  <si>
    <t>其他異常項目（補充）</t>
  </si>
  <si>
    <t>Autres éléments inhabituels (Supplément)</t>
  </si>
  <si>
    <t>Sonstige außerordentliche Positionen (Zus.)</t>
  </si>
  <si>
    <t>Altre componenti non usuali (flessibile)</t>
  </si>
  <si>
    <t>その他特別損益項目合計(注記)</t>
  </si>
  <si>
    <t>Прочие необычные предметы (Дополнение)</t>
  </si>
  <si>
    <t>Otros artículos inusuales (Suplemento)</t>
  </si>
  <si>
    <t>기타 비일반적 항목(부가)</t>
  </si>
  <si>
    <t>异常项目，总计（补充）</t>
  </si>
  <si>
    <t>異常項目，總計（補充）</t>
  </si>
  <si>
    <t>Éléments inhabituels, total (Supplément)</t>
  </si>
  <si>
    <t>Außerordentliche Positionen, Summe (Zus.)</t>
  </si>
  <si>
    <t>Componenti non usuali, totale (flessibile)</t>
  </si>
  <si>
    <t>特別損益項目合計(注記)</t>
  </si>
  <si>
    <t>Необычные статьи, Всего (Дополнение)</t>
  </si>
  <si>
    <t>Artículos inusuales, Total (Suplemento)</t>
  </si>
  <si>
    <t>비일반적 항목, 총계(부가)</t>
  </si>
  <si>
    <t>负商誉摊销</t>
  </si>
  <si>
    <t>負商譽攤銷</t>
  </si>
  <si>
    <t>Amortissement du fonds de commerce négatif</t>
  </si>
  <si>
    <t>Abschreibung von negativem ideellen Unternehmenswert</t>
  </si>
  <si>
    <t>Ammortamento avviamento negativo</t>
  </si>
  <si>
    <t>負ののれんの償却額</t>
  </si>
  <si>
    <t>Амортизация отрицательного гудвила</t>
  </si>
  <si>
    <t>Amortización de bienes de uso negativo</t>
  </si>
  <si>
    <t>부의 영업권 상각</t>
  </si>
  <si>
    <t>负商誉的摊销-税后</t>
  </si>
  <si>
    <t>負商譽的攤銷-稅後</t>
  </si>
  <si>
    <t>Amortissement du fonds de commerce négatif - après impôt</t>
  </si>
  <si>
    <t>Abschreibung von negativem ideellen Unternehmenswert – nach Steuern</t>
  </si>
  <si>
    <t>Ammortamento avviamento negativo - Al netto delle imposte</t>
  </si>
  <si>
    <t>負ののれんの償却額(税引後)</t>
  </si>
  <si>
    <t>Амортизация отрицательного гудвила - после налогообложения</t>
  </si>
  <si>
    <t>Amortización de bienes de uso negativo - Después de impuestos</t>
  </si>
  <si>
    <t>부의 영업권 상각 - 세후</t>
  </si>
  <si>
    <t>股票补偿, 销货成本</t>
  </si>
  <si>
    <t>股票補償, 銷貨成本</t>
  </si>
  <si>
    <t>Rémunération à base d'actions, coûts de production (COGS)</t>
  </si>
  <si>
    <t>Aktienvergütungen, Gestehungskosten</t>
  </si>
  <si>
    <t>Comp. basata su azioni, COGS (costo del venduto)</t>
  </si>
  <si>
    <t>株式報酬費用(売上原価に帰属)</t>
  </si>
  <si>
    <t>Компенсация на основе акций, COGS</t>
  </si>
  <si>
    <t>Compensación basada en acciones, Costo de Mercadería Vendida</t>
  </si>
  <si>
    <t>배당금수익, COGS</t>
  </si>
  <si>
    <t>股票补偿, 研发费用</t>
  </si>
  <si>
    <t>股票補償, 研發費用</t>
  </si>
  <si>
    <t>Rémunération à base d'actions, dépenses de R&amp;D</t>
  </si>
  <si>
    <t>Aktienvergütungen, F&amp;E-Aufwendungen</t>
  </si>
  <si>
    <t>Comp. basata su azioni, spese ricerca e sviluppo</t>
  </si>
  <si>
    <t>株式報酬費用(研究開発費に帰属)</t>
  </si>
  <si>
    <t>Компенсация на основе акций, расходы на НИОКР</t>
  </si>
  <si>
    <t>Compensación basada en acciones, Gastos de I+D</t>
  </si>
  <si>
    <t>배당금수익, R&amp;D 비용</t>
  </si>
  <si>
    <t>股票补偿, 销售与营销费用</t>
  </si>
  <si>
    <t>股票補償, 銷售與營銷費用</t>
  </si>
  <si>
    <t>Rémunération à base d'actions, frais de vente et de marketing</t>
  </si>
  <si>
    <t>Aktienvergütungen, S&amp;M-Aufwendungen</t>
  </si>
  <si>
    <t>Comp. basata su azioni, spese vendite e marketing</t>
  </si>
  <si>
    <t>株式報酬費用(販売費及びマーケティング費用に帰属)</t>
  </si>
  <si>
    <t>Компенсации на основе акций, расходы на продажи и маркетинг</t>
  </si>
  <si>
    <t xml:space="preserve">Compensación basada en acciones, Gastos de Ventas y Marketing </t>
  </si>
  <si>
    <t>배당금수익, S&amp;M 비용</t>
  </si>
  <si>
    <t>股票补偿, 一般行政费用</t>
  </si>
  <si>
    <t>股票補償, 一般行政費用</t>
  </si>
  <si>
    <t>Rémunération à base d'actions, frais généraux et administratifs</t>
  </si>
  <si>
    <t>Aktienvergütungen, G&amp;A-Aufwendungen</t>
  </si>
  <si>
    <t>Comp. basata su azioni, spese generali e amministrative</t>
  </si>
  <si>
    <t>株式報酬費用(一般管理費に帰属)</t>
  </si>
  <si>
    <t>Компенсация на основе акций, общие и административные расходы</t>
  </si>
  <si>
    <t xml:space="preserve">Compensación basada en acciones, Gastos Generales y Administrativos </t>
  </si>
  <si>
    <t>배당금수익, G&amp;A 비용</t>
  </si>
  <si>
    <t>股票补偿, 销售及一般行政费用</t>
  </si>
  <si>
    <t>股票補償, 銷售及一般行政費用</t>
  </si>
  <si>
    <t>Rémunération à base d'actions, frais de vente, frais généraux et administratifs</t>
  </si>
  <si>
    <t>Aktienvergütungen, SG&amp;A-Aufwendungen</t>
  </si>
  <si>
    <t>Comp. basata su azioni, spese generali, vendite e marketing</t>
  </si>
  <si>
    <t>株式報酬費用(販売費及び一般管理費に帰属)</t>
  </si>
  <si>
    <t>Компенсация на основе акций, Продажа, Общие и административные расходы</t>
  </si>
  <si>
    <t xml:space="preserve">Compensación basada en acciones, Gastos de Ventas, generales y adminsitrativos </t>
  </si>
  <si>
    <t>배당금수익, SG&amp;A 비용</t>
  </si>
  <si>
    <t>股票补偿，未分配</t>
  </si>
  <si>
    <t>股票補償，未分配</t>
  </si>
  <si>
    <t>Rémunération à base d'actions, non allouée</t>
  </si>
  <si>
    <t>Aktienvergütungen, nicht zugeordnet</t>
  </si>
  <si>
    <t>Comp. basata su azioni, non allocato</t>
  </si>
  <si>
    <t>株式報酬費用(その他)</t>
  </si>
  <si>
    <t>Компенсация на основе акций, нераспределенная</t>
  </si>
  <si>
    <t>Compensación basada en stock, no asignada</t>
  </si>
  <si>
    <t>배당금수익, 할당되지 않음</t>
  </si>
  <si>
    <t>股票补偿，税后</t>
  </si>
  <si>
    <t>股票補償，稅後</t>
  </si>
  <si>
    <t>Rémunération à base d'actions, après impôt</t>
  </si>
  <si>
    <t>Aktienvergütungen, nach Steuern</t>
  </si>
  <si>
    <t>Comp. basata su azioni, al netto delle imposte</t>
  </si>
  <si>
    <t>株式報酬費用(税引後)</t>
  </si>
  <si>
    <t>Компенсация на основе акций, после уплаты налогов</t>
  </si>
  <si>
    <t>Compensación basada en acciones después de impuestos</t>
  </si>
  <si>
    <t>배당금수익, 세후</t>
  </si>
  <si>
    <t>股票补偿，总计</t>
  </si>
  <si>
    <t>股票補償，總計</t>
  </si>
  <si>
    <t>Rémunération à base d'actions, Total</t>
  </si>
  <si>
    <t>Aktienvergütungen, Summe</t>
  </si>
  <si>
    <t>Comp. basata su azioni, totale</t>
  </si>
  <si>
    <t>株式報酬費用(総額)</t>
  </si>
  <si>
    <t>Компенсация на основе акций, Всего</t>
  </si>
  <si>
    <t>Compensación basada en acciones Total</t>
  </si>
  <si>
    <t>배당금수익, 총계</t>
  </si>
  <si>
    <t>薪金及其他员工福利</t>
  </si>
  <si>
    <t>薪金及其他員工福利</t>
  </si>
  <si>
    <t>Salaires et autres avantages sociaux</t>
  </si>
  <si>
    <t>Gehälter und andere Leistungen für Mitarbeiter</t>
  </si>
  <si>
    <t>Stipendi e altri benefici dei dipendenti</t>
  </si>
  <si>
    <t>従業員に対する給与・福利厚生費用</t>
  </si>
  <si>
    <t>Зарплаты и другие льготы</t>
  </si>
  <si>
    <t>Sueldos y otras prestaciones para los empleados</t>
  </si>
  <si>
    <t>급여 및 기타 직원 수당</t>
  </si>
  <si>
    <t>资产</t>
  </si>
  <si>
    <t>資產</t>
  </si>
  <si>
    <t>Actifs</t>
  </si>
  <si>
    <t>Aktiva</t>
  </si>
  <si>
    <t>Attività</t>
  </si>
  <si>
    <t>資産</t>
  </si>
  <si>
    <t>Активы</t>
  </si>
  <si>
    <t>Activos</t>
  </si>
  <si>
    <t>자산</t>
  </si>
  <si>
    <t>现金及约当现金</t>
  </si>
  <si>
    <t>現金及約當現金</t>
  </si>
  <si>
    <t>Trésorerie et équivalents de trésorerie</t>
  </si>
  <si>
    <t>Bargelt und Zahlungsmitteläquivalente</t>
  </si>
  <si>
    <t>Disponibilità liquide e mezzi equivalenti</t>
  </si>
  <si>
    <t>現金同等物</t>
  </si>
  <si>
    <t>Денежные средства и их эквиваленты</t>
  </si>
  <si>
    <t>Efectivo y equivalentes al efectivo</t>
  </si>
  <si>
    <t>현금 및 현금성자산</t>
  </si>
  <si>
    <t>短期投资</t>
  </si>
  <si>
    <t>短期投資</t>
  </si>
  <si>
    <t>Investissements à court terme</t>
  </si>
  <si>
    <t>Kurzfristige Investitionen</t>
  </si>
  <si>
    <t>Investimenti a breve termine</t>
  </si>
  <si>
    <t>有価証券</t>
  </si>
  <si>
    <t>Краткосрочные инвестиции</t>
  </si>
  <si>
    <t>Inversiones a corto plazo</t>
  </si>
  <si>
    <t>단기 투자</t>
  </si>
  <si>
    <t>交易资产证券</t>
  </si>
  <si>
    <t>交易資產證券</t>
  </si>
  <si>
    <t>Titres d'actifs négociables</t>
  </si>
  <si>
    <t>Handel mit Wertpapieren</t>
  </si>
  <si>
    <t>Titoli di negoziazione</t>
  </si>
  <si>
    <t>売買目的有価証券</t>
  </si>
  <si>
    <t>Спекулятивные ценные бумаги</t>
  </si>
  <si>
    <t>Negociación de valores de activos</t>
  </si>
  <si>
    <t>거래 자산 증권</t>
  </si>
  <si>
    <t>总现金及短期投资</t>
  </si>
  <si>
    <t>總現金及短期投資</t>
  </si>
  <si>
    <t>Total Cash &amp; ST Investissements</t>
  </si>
  <si>
    <t>Bargeld &amp; ST-Investitionen insgesamt</t>
  </si>
  <si>
    <t>Totale cassa ed investimenti a breve termine</t>
  </si>
  <si>
    <t>現金及び短期投資</t>
  </si>
  <si>
    <t>Всего Денежных средств и краткосрочных вложений</t>
  </si>
  <si>
    <t>Total efectivo e inversiones a corto plazo</t>
  </si>
  <si>
    <t>총 현금 및 단기 금융상품</t>
  </si>
  <si>
    <t>应收账款</t>
  </si>
  <si>
    <t>應收賬款</t>
  </si>
  <si>
    <t>Comptes d'encaissement créditeurs</t>
  </si>
  <si>
    <t>Forderungen</t>
  </si>
  <si>
    <t>Crediti verso clienti</t>
  </si>
  <si>
    <t>売掛金</t>
  </si>
  <si>
    <t>Дебиторская задолженность</t>
  </si>
  <si>
    <t>Cuentas por cobrar</t>
  </si>
  <si>
    <t>매출채권</t>
  </si>
  <si>
    <t>其他应收账款</t>
  </si>
  <si>
    <t>其他應收款</t>
  </si>
  <si>
    <t>Autres créances</t>
  </si>
  <si>
    <t>Sonstige Forderungen</t>
  </si>
  <si>
    <t>Altri crediti</t>
  </si>
  <si>
    <t>その他手形</t>
  </si>
  <si>
    <t>Прочая дебиторская задолженность</t>
  </si>
  <si>
    <t>Otras cuentas por cobrar</t>
  </si>
  <si>
    <t>기타 미수금</t>
  </si>
  <si>
    <t>应收票据</t>
  </si>
  <si>
    <t>應收票據</t>
  </si>
  <si>
    <t>Effets à recevoir</t>
  </si>
  <si>
    <t>Wechselforderungen</t>
  </si>
  <si>
    <t>Titoli da ricevere</t>
  </si>
  <si>
    <t>受取手形</t>
  </si>
  <si>
    <t>Дебиторские векселя</t>
  </si>
  <si>
    <t>Notas por cobrar</t>
  </si>
  <si>
    <t>수취어음</t>
  </si>
  <si>
    <t>应收账款总额 </t>
  </si>
  <si>
    <t>應收賬款總額 </t>
  </si>
  <si>
    <t>Total Créances</t>
  </si>
  <si>
    <t>Forderungen insgesamt</t>
  </si>
  <si>
    <t>Totale crediti</t>
  </si>
  <si>
    <t>未収金合計</t>
  </si>
  <si>
    <t>Всего дебиторской задолженности</t>
  </si>
  <si>
    <t>Total de cuentas por cobrar</t>
  </si>
  <si>
    <t>미수금합계</t>
  </si>
  <si>
    <t>存货</t>
  </si>
  <si>
    <t>存貨</t>
  </si>
  <si>
    <t>État des stocks</t>
  </si>
  <si>
    <t>Lagerbestand</t>
  </si>
  <si>
    <t>Inventario</t>
  </si>
  <si>
    <t>棚卸資産</t>
  </si>
  <si>
    <t>Запасы</t>
  </si>
  <si>
    <t>재고자산</t>
  </si>
  <si>
    <t>预付费用</t>
  </si>
  <si>
    <t>預付費用</t>
  </si>
  <si>
    <t>Frais payés d'avance</t>
  </si>
  <si>
    <t>Rechnungsabgrenzungsposten</t>
  </si>
  <si>
    <t>Risconti attivi</t>
  </si>
  <si>
    <t>前払費用</t>
  </si>
  <si>
    <t>Предоплаченные расходы</t>
  </si>
  <si>
    <t>Gastos prepagados</t>
  </si>
  <si>
    <t>선불 비용</t>
  </si>
  <si>
    <t>财务部贷款和租赁，短期</t>
  </si>
  <si>
    <t>財務部貸款和租賃，短期</t>
  </si>
  <si>
    <t>Division des finances : Prêts et crédits-bails à court terme</t>
  </si>
  <si>
    <t>Finanzabteilung, Darlehen und Mietverträge, kurzfristig</t>
  </si>
  <si>
    <t>Crediti e locazioni divisione finanza, breve termine</t>
  </si>
  <si>
    <t>財務部短期ローン・リース</t>
  </si>
  <si>
    <t>Финансовый отдел: Кредиты и аренда, краткосрочные</t>
  </si>
  <si>
    <t xml:space="preserve">División de Finanzas, Préstamos y Arrendamientos, Corto plazo </t>
  </si>
  <si>
    <t>금융분과 대출 및 리스, ST</t>
  </si>
  <si>
    <t>财务部其他流动资产</t>
  </si>
  <si>
    <t>財務部其他流動資產</t>
  </si>
  <si>
    <t>Division des finances : Autres actifs courants</t>
  </si>
  <si>
    <t>Finanzabteilung, kurzfristiges Vermögen</t>
  </si>
  <si>
    <t>Altre attività corr. divisione finanza</t>
  </si>
  <si>
    <t>財務部短期その他の流動資産</t>
  </si>
  <si>
    <t>Финансовый отдел: Прочие текущие активы</t>
  </si>
  <si>
    <t>División de Finanzas, Otros Activos Corrientes</t>
  </si>
  <si>
    <t>금융분과 기타 유동자산</t>
  </si>
  <si>
    <t>待售贷款</t>
  </si>
  <si>
    <t>待售貸款</t>
  </si>
  <si>
    <t>Prêts à la vente</t>
  </si>
  <si>
    <t>Zum Verkauf gehaltene Darlehen</t>
  </si>
  <si>
    <t>Crediti detenuti a scopo di vendita</t>
  </si>
  <si>
    <t>売却予定の営業貸付金</t>
  </si>
  <si>
    <t>Займы, предназначенные для продажи</t>
  </si>
  <si>
    <t>Préstamos retenidos para la venta</t>
  </si>
  <si>
    <t>매도 대상 보유 대출</t>
  </si>
  <si>
    <t>递延所得税资产(当期)</t>
  </si>
  <si>
    <t>遞延所得稅資產(當期)</t>
  </si>
  <si>
    <t>Actifs d'impôts différés, courants</t>
  </si>
  <si>
    <t>Latente Steuerforderungen, kurzfristig</t>
  </si>
  <si>
    <t>Imposte differite attive, corr.</t>
  </si>
  <si>
    <t>繰延税金資産（短期）</t>
  </si>
  <si>
    <t>Отложенные налоговые активы, текущие</t>
  </si>
  <si>
    <t>Activos de impuestos diferidos, corrientes</t>
  </si>
  <si>
    <t>이연세금 자산, 현재</t>
  </si>
  <si>
    <t>限定用途的现金</t>
  </si>
  <si>
    <t>限定用途的現金</t>
  </si>
  <si>
    <t>Argent liquide restreint</t>
  </si>
  <si>
    <t>Gebundene Barmittel</t>
  </si>
  <si>
    <t>Liquidità vincolata</t>
  </si>
  <si>
    <t>拘束預金</t>
  </si>
  <si>
    <t>Денежные средства, ограниченные в использовании</t>
  </si>
  <si>
    <t>Efectivo restringido</t>
  </si>
  <si>
    <t>특정 현금</t>
  </si>
  <si>
    <t>其他流动资产</t>
  </si>
  <si>
    <t>其他流動資産</t>
  </si>
  <si>
    <t>Autres actifs courants</t>
  </si>
  <si>
    <t>Sonstige kurzfristige Vermögenswerte</t>
  </si>
  <si>
    <t>Altre attività correnti</t>
  </si>
  <si>
    <t>その他流動資産</t>
  </si>
  <si>
    <t>Прочие текущие активы</t>
  </si>
  <si>
    <t>Otros activos corrientes</t>
  </si>
  <si>
    <t>기타유동자산</t>
  </si>
  <si>
    <t>流动资产总额</t>
  </si>
  <si>
    <t>流動資産總額</t>
  </si>
  <si>
    <t>TOTAL DE L’ACTIF COURANT</t>
  </si>
  <si>
    <t>Kurzfristige Vermögenswerte insgesamt</t>
  </si>
  <si>
    <t>Totale attività correnti</t>
  </si>
  <si>
    <t>流動資産合計</t>
  </si>
  <si>
    <t>Всего текущих активов</t>
  </si>
  <si>
    <t>Total de activos corrientes</t>
  </si>
  <si>
    <t>총 유동자산</t>
  </si>
  <si>
    <t>房地产, 厂房及设备总值</t>
  </si>
  <si>
    <t>總地產,工廠及設備</t>
  </si>
  <si>
    <t>Immobilisations corporelles brutes</t>
  </si>
  <si>
    <t>Anlagevermögen</t>
  </si>
  <si>
    <t>Immobili, impianti e macchinari, lordi</t>
  </si>
  <si>
    <t>有形固定資産（総額）</t>
  </si>
  <si>
    <t>Валовые основные средства</t>
  </si>
  <si>
    <t>Propiedad, planta y equipo brutos</t>
  </si>
  <si>
    <t>총 부동산, 플랜트 및 장비</t>
  </si>
  <si>
    <t>累积折旧</t>
  </si>
  <si>
    <t>累積折舊</t>
  </si>
  <si>
    <t>Amortissement cumulé</t>
  </si>
  <si>
    <t>Aufgelaufene Abschreibungen</t>
  </si>
  <si>
    <t>Fondo ammortamenti</t>
  </si>
  <si>
    <t>減価償却費累計額</t>
  </si>
  <si>
    <t>Накопленная амортизация</t>
  </si>
  <si>
    <t>Depreciación acumulada</t>
  </si>
  <si>
    <t>감가상각누계</t>
  </si>
  <si>
    <t xml:space="preserve"> 房产, 厂房及设备净值</t>
  </si>
  <si>
    <t xml:space="preserve"> 房産, 廠房及設備淨值</t>
  </si>
  <si>
    <t>Immobilisations corporelles nettes</t>
  </si>
  <si>
    <t>Netto Sachanlagen</t>
  </si>
  <si>
    <t>Immobili, impianti e attrezzature netti</t>
  </si>
  <si>
    <t>純有形固定資産</t>
  </si>
  <si>
    <t>Чистые основные средства</t>
  </si>
  <si>
    <t>Propiedad, Planta y Equipo, neto</t>
  </si>
  <si>
    <t>순 고정자산</t>
  </si>
  <si>
    <t>长期投资</t>
  </si>
  <si>
    <t>長期投資</t>
  </si>
  <si>
    <t>Investissement à long terme</t>
  </si>
  <si>
    <t>Langfristige Beteiligungen</t>
  </si>
  <si>
    <t>Investimenti a lungo termine</t>
  </si>
  <si>
    <t xml:space="preserve">Долгосрочные вложения </t>
  </si>
  <si>
    <t>Inversiones a largo plazo</t>
  </si>
  <si>
    <t xml:space="preserve">장기 금융상품 </t>
  </si>
  <si>
    <t>商誉</t>
  </si>
  <si>
    <t>商譽</t>
  </si>
  <si>
    <t>Fonds de commerce</t>
  </si>
  <si>
    <t>Avviamento</t>
  </si>
  <si>
    <t>のれん</t>
  </si>
  <si>
    <t xml:space="preserve">Гудвилл </t>
  </si>
  <si>
    <t>Fondo de Comercio</t>
  </si>
  <si>
    <t>영업권</t>
  </si>
  <si>
    <t>其他无形资产</t>
  </si>
  <si>
    <t>其他無形資產</t>
  </si>
  <si>
    <t>Autres actifs incorporels</t>
  </si>
  <si>
    <t>Sonstige Immaterielle Anlagewerte</t>
  </si>
  <si>
    <t>Altre attività immateriali</t>
  </si>
  <si>
    <t>その他無形固定資産</t>
  </si>
  <si>
    <t>Другие нематериальные активы</t>
  </si>
  <si>
    <t>Otros intangibles</t>
  </si>
  <si>
    <t>기타 무형자산</t>
  </si>
  <si>
    <t>财务部贷款和租赁，长期</t>
  </si>
  <si>
    <t>財務部貸款和租賃，長期</t>
  </si>
  <si>
    <t>Division des finances : Prêts et crédits-bails à long terme</t>
  </si>
  <si>
    <t>Finanzabteilung, Darlehen und Mietverträge, langfristig</t>
  </si>
  <si>
    <t>Crediti e locazioni divisione finanza, lungo termine</t>
  </si>
  <si>
    <t>財務部長期ローン・リース</t>
  </si>
  <si>
    <t>Финансовый отдел: Кредиты и аренда, долгосрочные</t>
  </si>
  <si>
    <t>División de Finanzas, Préstamos y Arrendamientos, Largo Plazo</t>
  </si>
  <si>
    <t>금융분과 대출 및 리스, LT</t>
  </si>
  <si>
    <t>财务部其他长期资产</t>
  </si>
  <si>
    <t>財務部其他長期資產</t>
  </si>
  <si>
    <t>Division des finances : Autres actifs à long terme</t>
  </si>
  <si>
    <t>Finanzabteilung, langfristiges Vermögen</t>
  </si>
  <si>
    <t>Altre attività lungo termine divisione finanza</t>
  </si>
  <si>
    <t>財務部長期その他の流動資産</t>
  </si>
  <si>
    <t>Финансовый отдел: Прочие долгосрочные активы</t>
  </si>
  <si>
    <t>División de Finanzas Otros activos de la LT</t>
  </si>
  <si>
    <t>금융분과 기타 LT 자산</t>
  </si>
  <si>
    <t>长期应收帐款</t>
  </si>
  <si>
    <t>長期應收帳款</t>
  </si>
  <si>
    <t>Comptes à recevoir à long terme</t>
  </si>
  <si>
    <t>Langfristige LL-Forderungen</t>
  </si>
  <si>
    <t>Crediti a lungo termine</t>
  </si>
  <si>
    <t>長期間売掛金</t>
  </si>
  <si>
    <t>Дебиторская задолженность на долгосрочную перспективу</t>
  </si>
  <si>
    <t>Cuentas por cobrar a largo plazo</t>
  </si>
  <si>
    <t>장기 외상매출금</t>
  </si>
  <si>
    <t>长期应收贷款</t>
  </si>
  <si>
    <t>長期應收貸款</t>
  </si>
  <si>
    <t>Prêts à long terme</t>
  </si>
  <si>
    <t>Langfristige Darlehensforderungen</t>
  </si>
  <si>
    <t>長期間貸付金</t>
  </si>
  <si>
    <t>Дебиторская задолженность по кредитам на длительный срок</t>
  </si>
  <si>
    <t>Préstamos por cobrar a largo plazo</t>
  </si>
  <si>
    <t>장기 대여금</t>
  </si>
  <si>
    <t>长期递延所得税资产</t>
  </si>
  <si>
    <t>長期遞延所得稅資產</t>
  </si>
  <si>
    <t>Actifs d'impôt différé, à long terme</t>
  </si>
  <si>
    <t>Latente Steuerforderungen, langfristig</t>
  </si>
  <si>
    <t>Imposte differite attive, lungo termine</t>
  </si>
  <si>
    <t>繰延税金資産（長期）</t>
  </si>
  <si>
    <t>Отложенные налоговые активы, долгосрочные</t>
  </si>
  <si>
    <t>Activos de impuestos diferidos, a largo plazo</t>
  </si>
  <si>
    <t>이연세금 자산, LT</t>
  </si>
  <si>
    <t>长期递延费用</t>
  </si>
  <si>
    <t>長期遞延費用</t>
  </si>
  <si>
    <t>Charges différées, à long terme</t>
  </si>
  <si>
    <t>Abgrenzungsposten, langfristig</t>
  </si>
  <si>
    <t>Costi differiti, lungo termine</t>
  </si>
  <si>
    <t>繰延資産</t>
  </si>
  <si>
    <t>Отложенные платежи, долгосрочные</t>
  </si>
  <si>
    <t>Cargos diferidos, a largo plazo</t>
  </si>
  <si>
    <t>거치비용, LT</t>
  </si>
  <si>
    <t>其他长期资产</t>
  </si>
  <si>
    <t>其他長期資産</t>
  </si>
  <si>
    <t>Autres actifs à long terme</t>
  </si>
  <si>
    <t>Sonstige Langfristige Beteiligungen</t>
  </si>
  <si>
    <t>Altre attività a lungo termine</t>
  </si>
  <si>
    <t>その他固定資産</t>
  </si>
  <si>
    <t>Прочие долгосрочные активы</t>
  </si>
  <si>
    <t>Otros activos a largo plazo</t>
  </si>
  <si>
    <t>기타장기자산</t>
  </si>
  <si>
    <t>负债</t>
  </si>
  <si>
    <t>負債</t>
  </si>
  <si>
    <t>Passifs</t>
  </si>
  <si>
    <t>Passiva</t>
  </si>
  <si>
    <t>Passività</t>
  </si>
  <si>
    <t>Обязательства</t>
  </si>
  <si>
    <t>Pasivos</t>
  </si>
  <si>
    <t>부채</t>
  </si>
  <si>
    <t>应付账款</t>
  </si>
  <si>
    <t>應付賬款</t>
  </si>
  <si>
    <t>Comptes fournisseurs</t>
  </si>
  <si>
    <t>Verbindlichkeiten aus Lieferungen und Leistungen</t>
  </si>
  <si>
    <t>Conti debitori</t>
  </si>
  <si>
    <t>仕入債務</t>
  </si>
  <si>
    <t xml:space="preserve">Кредиторская задолженность </t>
  </si>
  <si>
    <t>Cuentas por pagar</t>
  </si>
  <si>
    <t>매입채무</t>
  </si>
  <si>
    <t>应计费用</t>
  </si>
  <si>
    <t>應計費用</t>
  </si>
  <si>
    <t>Frais courus</t>
  </si>
  <si>
    <t>Angefallene Kosten</t>
  </si>
  <si>
    <t>Ratei passivi</t>
  </si>
  <si>
    <t>未払費用</t>
  </si>
  <si>
    <t>Начисленные расходы</t>
  </si>
  <si>
    <t>Gastos acumulados</t>
  </si>
  <si>
    <t>누적 비용</t>
  </si>
  <si>
    <t>短期借贷</t>
  </si>
  <si>
    <t>短期借貸</t>
  </si>
  <si>
    <t>Emprunts à court terme</t>
  </si>
  <si>
    <t>Kurzfristige Darlehen</t>
  </si>
  <si>
    <t>Finanziamenti a breve termine</t>
  </si>
  <si>
    <t>短期借入金</t>
  </si>
  <si>
    <t>Краткосрочные кредиты</t>
  </si>
  <si>
    <t>Préstamos a corto plazo</t>
  </si>
  <si>
    <t>단기차입금</t>
  </si>
  <si>
    <t>长期债务(当期)</t>
  </si>
  <si>
    <t>長期債務(當期)</t>
  </si>
  <si>
    <t>Tranche à court terme de la dette à long terme</t>
  </si>
  <si>
    <t>Derzeitiger Teil der langfristigen Schulden</t>
  </si>
  <si>
    <t>Parte corrente del debito a lungo termine</t>
  </si>
  <si>
    <t>一年内償還予定の長期有利子負債</t>
  </si>
  <si>
    <t>Текущая часть долгосрочной задолженности</t>
  </si>
  <si>
    <t>Porción corriente de la deuda a largo plazo</t>
  </si>
  <si>
    <t>유동 장기부채</t>
  </si>
  <si>
    <t>当前租赁部分</t>
  </si>
  <si>
    <t>當前租賃部分</t>
  </si>
  <si>
    <t>Portion actuelle des contrats de location</t>
  </si>
  <si>
    <t>Kurzfristiger Anteil von Leasingvereinbarungen</t>
  </si>
  <si>
    <t>Porzione di locazioni corrente</t>
  </si>
  <si>
    <t>1年以内返済予定のレース</t>
  </si>
  <si>
    <t>Текущая часть договоров аренды</t>
  </si>
  <si>
    <t>Porción actual de los contratos de arrendamiento</t>
  </si>
  <si>
    <t>유동성 리스</t>
  </si>
  <si>
    <t>财务部流动债务</t>
  </si>
  <si>
    <t>財務部流動債務</t>
  </si>
  <si>
    <t>Division des finances : Courant de la dette</t>
  </si>
  <si>
    <t>Finanzabteilung, kurzfristige Anleihen</t>
  </si>
  <si>
    <t>Debito corrente div. finanza</t>
  </si>
  <si>
    <t>財務部有利子負債(短期)</t>
  </si>
  <si>
    <t>Финансовый отдел: Текущий долг</t>
  </si>
  <si>
    <t>Deuda actual de la División de Finanzas</t>
  </si>
  <si>
    <t>금융분과 유동성 부채</t>
  </si>
  <si>
    <t>财务部其他流动负债</t>
  </si>
  <si>
    <t>財務部其他流動負債</t>
  </si>
  <si>
    <t>Division des finances : Autres passifs à court terme</t>
  </si>
  <si>
    <t>Finanzabteilung, kurzfristige Verbindlichkeiten</t>
  </si>
  <si>
    <t>Altre passività corr. divisione finanza</t>
  </si>
  <si>
    <t>財務部その他の有利子負債(短期)</t>
  </si>
  <si>
    <t>Финансовый отдел: Прочие текущие обязательства</t>
  </si>
  <si>
    <t>División de Finanzas Otros pasivos corrientes</t>
  </si>
  <si>
    <t>금융분과 기타 유동성 부채</t>
  </si>
  <si>
    <t>应付所得税(当期)</t>
  </si>
  <si>
    <t>應付所得稅(當期)</t>
  </si>
  <si>
    <t>Impôts courants sur le revenu à payer</t>
  </si>
  <si>
    <t>Kurzfristige Ertragssteuerverbindlichkeiten</t>
  </si>
  <si>
    <t>Imposte sul reddito corr. dovute</t>
  </si>
  <si>
    <t>短期未払法人税・住民税・事業税等</t>
  </si>
  <si>
    <t>Текущий подоходный налог подлежащий уплате</t>
  </si>
  <si>
    <t>Impuestos actuales sobre la renta a pagar</t>
  </si>
  <si>
    <t>LT 채무/리스의 미지급소득세</t>
  </si>
  <si>
    <t>预收收入(当期)</t>
  </si>
  <si>
    <t>預收收入(當期)</t>
  </si>
  <si>
    <t>Recettes non acquises, courant</t>
  </si>
  <si>
    <t>Nicht geleisteter Umsatz, kurzfristig</t>
  </si>
  <si>
    <t>Ricavi non acquisti, correnti</t>
  </si>
  <si>
    <t>短期前受収益</t>
  </si>
  <si>
    <t>Незаработанный доход, текущий</t>
  </si>
  <si>
    <t>Ingresos no devengados, actuales</t>
  </si>
  <si>
    <t>선수수익, 현재</t>
  </si>
  <si>
    <t>递延所得税负债，当前</t>
  </si>
  <si>
    <t>遞延所得稅負債，當前</t>
  </si>
  <si>
    <t>Obligation fiscale définie, actuelle</t>
  </si>
  <si>
    <t>Latente Steuerverbindlichkeiten, kurzfristig</t>
  </si>
  <si>
    <t>Passiv. fiscali differite, corr.</t>
  </si>
  <si>
    <t>一年以内償還予定繰延税金負債</t>
  </si>
  <si>
    <t>Установленные налоговые обязательства, текущие</t>
  </si>
  <si>
    <t>Pasivo por impuestos diferidos, corriente</t>
  </si>
  <si>
    <t>당기 이연 법인세</t>
  </si>
  <si>
    <t>其他流动负债</t>
  </si>
  <si>
    <t>其他流動負債</t>
  </si>
  <si>
    <t>Autres passifs à court terme</t>
  </si>
  <si>
    <t>Sonstige kurzfristige Verbindlichkeiten</t>
  </si>
  <si>
    <t>Altre passività correnti</t>
  </si>
  <si>
    <t>その他流動負債</t>
  </si>
  <si>
    <t>Прочие текущие обязательства</t>
  </si>
  <si>
    <t>Otros pasivos corrientes</t>
  </si>
  <si>
    <t>기타유동부채</t>
  </si>
  <si>
    <t> 流动负债总额 </t>
  </si>
  <si>
    <t> 流動負債總額 </t>
  </si>
  <si>
    <t>Total des passifs à court terme</t>
  </si>
  <si>
    <t>Kurzfristige Verbindlichkeiten insgesamt</t>
  </si>
  <si>
    <t>Totale passività correnti</t>
  </si>
  <si>
    <t>流動負債合計</t>
  </si>
  <si>
    <t>Всего текущих обязательств</t>
  </si>
  <si>
    <t>Total pasivos corrientes</t>
  </si>
  <si>
    <t>총 유동 부채</t>
  </si>
  <si>
    <t>长期债务</t>
  </si>
  <si>
    <t>長期債務</t>
  </si>
  <si>
    <t>Dette à long terme</t>
  </si>
  <si>
    <t>Langfristige Schulden</t>
  </si>
  <si>
    <t>Debito a lungo termine</t>
  </si>
  <si>
    <t>長期有利子負債</t>
  </si>
  <si>
    <t>Долгосрочные обязательств</t>
  </si>
  <si>
    <t>Deuda a largo plazo</t>
  </si>
  <si>
    <t>장기부채</t>
  </si>
  <si>
    <t>长期租赁</t>
  </si>
  <si>
    <t>長期租賃</t>
  </si>
  <si>
    <t>Baux à long terme</t>
  </si>
  <si>
    <t>Langfristige Mietverträge</t>
  </si>
  <si>
    <t>Locazioni a lungo termine</t>
  </si>
  <si>
    <t>長期リース</t>
  </si>
  <si>
    <t>Долгосрочный лизинг</t>
  </si>
  <si>
    <t>Arrendamientos a largo plazo</t>
  </si>
  <si>
    <t>장기 리스</t>
  </si>
  <si>
    <t>财务部非流动债务</t>
  </si>
  <si>
    <t>財務部非流動債務</t>
  </si>
  <si>
    <t>Division des finances : Dette non courante</t>
  </si>
  <si>
    <t>Finanzabteilung, nicht kurzfristige Anleihen</t>
  </si>
  <si>
    <t>Debito non corr. div. finanza</t>
  </si>
  <si>
    <t>財務部有利子負債(長期)</t>
  </si>
  <si>
    <t>Финансовый отдел: Долг долгосрочный</t>
  </si>
  <si>
    <t>Deuda de la División Financiera No Corriente</t>
  </si>
  <si>
    <t>금융분과 비유동성 부채</t>
  </si>
  <si>
    <t>财务部其他非流动负债</t>
  </si>
  <si>
    <t>財務部其他非流動負債</t>
  </si>
  <si>
    <t>Division des finances : Autres passifs non courants</t>
  </si>
  <si>
    <t>Finanzabteilung, nicht kurzfristige Verbindlichkeiten</t>
  </si>
  <si>
    <t>Altre passività non corr. divisione finanza</t>
  </si>
  <si>
    <t>財務部その他の有利子負債(長期)</t>
  </si>
  <si>
    <t>Финансовый отдел: Прочие долгосрочные обязательства</t>
  </si>
  <si>
    <t xml:space="preserve">División Finanzas, Otros Pasivo No Corrientes </t>
  </si>
  <si>
    <t>금융분과 기타 비유동성 부채</t>
  </si>
  <si>
    <t>非流动预收收入</t>
  </si>
  <si>
    <t>非流動預收收入</t>
  </si>
  <si>
    <t>Revenus non acquis, non courants</t>
  </si>
  <si>
    <t>Prämienbestandteile für zukünftige Perioden, nicht kurzfristig</t>
  </si>
  <si>
    <t>Ricavi non acquisti, non correnti</t>
  </si>
  <si>
    <t>前受収益(長期)</t>
  </si>
  <si>
    <t>Незаработанная выручка, долгосрочная</t>
  </si>
  <si>
    <t>Ingresos no devengados, no corrientes</t>
  </si>
  <si>
    <t>비당기 선수수익</t>
  </si>
  <si>
    <t>退休金及其他退休后利益</t>
  </si>
  <si>
    <t>退休金及其他退休後利益</t>
  </si>
  <si>
    <t>Pensions et autres bénéfices post-retraite</t>
  </si>
  <si>
    <t>Pensionen und sonstige Ruhestandsvereinbarungen</t>
  </si>
  <si>
    <t>Benefici pensionistici e altri benefici post-pensionamento</t>
  </si>
  <si>
    <t>退職給付引当金</t>
  </si>
  <si>
    <t>Пенсионные и другие послепенсионные пособия</t>
  </si>
  <si>
    <t>Pensión y otras prestaciones posteriores a la jubilación</t>
  </si>
  <si>
    <t>연금 및 기타 퇴직후 혜택</t>
  </si>
  <si>
    <t>非短期递延所得税负债</t>
  </si>
  <si>
    <t>非短期遞延所得稅負債</t>
  </si>
  <si>
    <t>Obligation fiscale différée, non courante.</t>
  </si>
  <si>
    <t>Latente Steuerverpflichtung, langfristig</t>
  </si>
  <si>
    <t>Passiv. fiscali differite, non corr.</t>
  </si>
  <si>
    <t>繰延税金負債（長期）</t>
  </si>
  <si>
    <t>Обязательства по отсроченному налогообложению, долгосрочные.</t>
  </si>
  <si>
    <t>Responsabilidad fiscal diferida, no corriente.</t>
  </si>
  <si>
    <t>이연세금 책임, 비유동</t>
  </si>
  <si>
    <t>其他非流动负债</t>
  </si>
  <si>
    <t>其他非流動負債</t>
  </si>
  <si>
    <t>AUTRES PASSIFS NON COURANTS</t>
  </si>
  <si>
    <t>Andere langfristige Verbindlichkeiten</t>
  </si>
  <si>
    <t>Altre passività non correnti</t>
  </si>
  <si>
    <t>その他固定負債</t>
  </si>
  <si>
    <t>Прочие внеоборотные обязательства</t>
  </si>
  <si>
    <t>Otros pasivos no corrientes</t>
  </si>
  <si>
    <t>기타 비유동부채</t>
  </si>
  <si>
    <t>总负债 </t>
  </si>
  <si>
    <t>總負債 </t>
  </si>
  <si>
    <t>Total du passif</t>
  </si>
  <si>
    <t>Gesamtverbindlichkeiten</t>
  </si>
  <si>
    <t>Totale passività</t>
  </si>
  <si>
    <t>総負債</t>
  </si>
  <si>
    <t>Всего обязательств</t>
  </si>
  <si>
    <t>Total de pasivos</t>
  </si>
  <si>
    <t>부채총계</t>
  </si>
  <si>
    <t>优先股，可赎回</t>
  </si>
  <si>
    <t>優先股，可贖回</t>
  </si>
  <si>
    <t>Actions privilégiées, remboursables</t>
  </si>
  <si>
    <t>Vorzugsaktien, rückkaufbar</t>
  </si>
  <si>
    <t>Azioni privileg., riscattabili</t>
  </si>
  <si>
    <t>優先株,償還可能</t>
  </si>
  <si>
    <t>привилегированные акции, выкупаемые</t>
  </si>
  <si>
    <t>Acciones preferidas, Canjeables</t>
  </si>
  <si>
    <t>상환우선주</t>
  </si>
  <si>
    <t>优先股，不可赎回</t>
  </si>
  <si>
    <t>優先股，不可贖回</t>
  </si>
  <si>
    <t>Actions privilégiées, non remboursables</t>
  </si>
  <si>
    <t>Vorzugsaktien, nicht rückkaufbar</t>
  </si>
  <si>
    <t>Azioni privileg., non riscattabili</t>
  </si>
  <si>
    <t>優先株,償還可能なし</t>
  </si>
  <si>
    <t>привилегированные акции, не подлежащие выкупу.</t>
  </si>
  <si>
    <t>Acciones preferidas, No Canjeables</t>
  </si>
  <si>
    <t>비상환우선주</t>
  </si>
  <si>
    <t>优先股，可转换</t>
  </si>
  <si>
    <t>優先股，可轉換</t>
  </si>
  <si>
    <t>actions privilégiées, convertibles</t>
  </si>
  <si>
    <t>Vorzugsaktien, wandelbar</t>
  </si>
  <si>
    <t>Azioni privileg. convertibili</t>
  </si>
  <si>
    <t>優先株,転換可能</t>
  </si>
  <si>
    <t>привилегированные акции, конвертируемые</t>
  </si>
  <si>
    <t>Acciones preferidas, Convertibles</t>
  </si>
  <si>
    <t>전환우선주</t>
  </si>
  <si>
    <t>其他优先股</t>
  </si>
  <si>
    <t>其他優先股</t>
  </si>
  <si>
    <t>Actions privilégiées, autres</t>
  </si>
  <si>
    <t>Pref. lager, andere</t>
  </si>
  <si>
    <t>Azioni privileg., altro</t>
  </si>
  <si>
    <t>優先株式- その他</t>
  </si>
  <si>
    <t>Привилегированные акции, другое</t>
  </si>
  <si>
    <t>Acciones preferentes, otros</t>
  </si>
  <si>
    <t>우선주, 기타</t>
  </si>
  <si>
    <t> 优先股总数</t>
  </si>
  <si>
    <t> 優先股總數</t>
  </si>
  <si>
    <t>Total Préférence Quote-part dans les capitaux propres (20%)</t>
  </si>
  <si>
    <t>Vorzugskapital insgesamt</t>
  </si>
  <si>
    <t>Totale capitale proprio privilegiato</t>
  </si>
  <si>
    <t>優先株式合計</t>
  </si>
  <si>
    <t>Всего привилегированных акций</t>
  </si>
  <si>
    <t>Total participación preferente</t>
  </si>
  <si>
    <t>총 우선주</t>
  </si>
  <si>
    <t>普通股</t>
  </si>
  <si>
    <t>Actions ordinaires</t>
  </si>
  <si>
    <t>Stammaktien</t>
  </si>
  <si>
    <t>Azioni ordinarie</t>
  </si>
  <si>
    <t>普通株</t>
  </si>
  <si>
    <t>Обыкновенные акции</t>
  </si>
  <si>
    <t>Acciones Comunes</t>
  </si>
  <si>
    <t>보통주</t>
  </si>
  <si>
    <t>额外实收资本</t>
  </si>
  <si>
    <t>額外實收資本</t>
  </si>
  <si>
    <t>Capital supplémentaire versé</t>
  </si>
  <si>
    <t>Zusätzlich eingezahltes Kapital</t>
  </si>
  <si>
    <t>Capitale versato aggiuntivo</t>
  </si>
  <si>
    <t>資本剰余金</t>
  </si>
  <si>
    <t>Дополнительный оплачиваемый капитал</t>
  </si>
  <si>
    <t>Capital adicional pagado</t>
  </si>
  <si>
    <t>추가 납입자본</t>
  </si>
  <si>
    <t>保留盈利</t>
  </si>
  <si>
    <t>Bénéfices non distribués</t>
  </si>
  <si>
    <t>Einbehaltene Gewinne</t>
  </si>
  <si>
    <t>Utili non distribuiti</t>
  </si>
  <si>
    <t>自己留保</t>
  </si>
  <si>
    <t>Нераспределенная прибыль</t>
  </si>
  <si>
    <t>Ganancias retenidas</t>
  </si>
  <si>
    <t>유보 이익</t>
  </si>
  <si>
    <t>库存股</t>
  </si>
  <si>
    <t>庫存股</t>
  </si>
  <si>
    <t>Actions du Trésor</t>
  </si>
  <si>
    <t>Eigene Aktien</t>
  </si>
  <si>
    <t>Azioni proprie</t>
  </si>
  <si>
    <t>自己株式</t>
  </si>
  <si>
    <t>Собственные выкупленные акции (доли)</t>
  </si>
  <si>
    <t>Acciones del Tesoro</t>
  </si>
  <si>
    <t>자사주</t>
  </si>
  <si>
    <t>综合收益和其他</t>
  </si>
  <si>
    <t>綜合收益和其他</t>
  </si>
  <si>
    <t>Résultat global et autres</t>
  </si>
  <si>
    <t>Konzerngesamtergebnis und Sonstige</t>
  </si>
  <si>
    <t>Altre componenti reddituali</t>
  </si>
  <si>
    <t>その他株主資本</t>
  </si>
  <si>
    <t>Полный доход и прочие</t>
  </si>
  <si>
    <t>Ingresos comprensivos y otros</t>
  </si>
  <si>
    <t>종합 Inc. 및 기타</t>
  </si>
  <si>
    <t> 普通股总数</t>
  </si>
  <si>
    <t> 普通股總數</t>
  </si>
  <si>
    <t>Total des capitaux propres ordinaires</t>
  </si>
  <si>
    <t>Eigenkapital insgesamt</t>
  </si>
  <si>
    <t>Totale capitale primario</t>
  </si>
  <si>
    <t>株主資本</t>
  </si>
  <si>
    <t>Всего обыкновенных акций</t>
  </si>
  <si>
    <t>Total de acciones comunes</t>
  </si>
  <si>
    <t>총 보통주</t>
  </si>
  <si>
    <t>少数权益</t>
  </si>
  <si>
    <t>少數權益</t>
  </si>
  <si>
    <t>Intérêt minoritaire</t>
  </si>
  <si>
    <t>Minderheitsanteile</t>
  </si>
  <si>
    <t>Partecipazione minoritaria</t>
  </si>
  <si>
    <t>少数株主持分</t>
  </si>
  <si>
    <t>Доля меньшинства</t>
  </si>
  <si>
    <t>Participación del interés minoritario</t>
  </si>
  <si>
    <t>비지배지분</t>
  </si>
  <si>
    <t>总权益</t>
  </si>
  <si>
    <t>總權益</t>
  </si>
  <si>
    <t>Total des capitaux propres</t>
  </si>
  <si>
    <t>Gesamtes Eigenmittel</t>
  </si>
  <si>
    <t>Totale patrimonio</t>
  </si>
  <si>
    <t>純資産</t>
  </si>
  <si>
    <t>Всего собственного капитала</t>
  </si>
  <si>
    <t>Total de patrimonio</t>
  </si>
  <si>
    <t>자본총계</t>
  </si>
  <si>
    <t>总负债和总权益 </t>
  </si>
  <si>
    <t>總負債和總權益 </t>
  </si>
  <si>
    <t>TOTAL DU PASSIF ET DE L'AVOIR</t>
  </si>
  <si>
    <t>Gesamtverbindlichkeiten und Eigenkapital</t>
  </si>
  <si>
    <t>Totale passività e equity</t>
  </si>
  <si>
    <t>総負債及び資本合計</t>
  </si>
  <si>
    <t>Всего обязательств и собственного капитала</t>
  </si>
  <si>
    <t>Total de pasivos y patrimonio</t>
  </si>
  <si>
    <t>총 부채 및 자본</t>
  </si>
  <si>
    <t>IFRS 16 / ASC 842项目</t>
  </si>
  <si>
    <t>IFRS 16 / ASC 842項目</t>
  </si>
  <si>
    <t>Éléments de l'IFRS 16 / ASC 842</t>
  </si>
  <si>
    <t>Posten nach IFRS 16 / ASC 842</t>
  </si>
  <si>
    <t>Elementi IFRS 16/ASC 842</t>
  </si>
  <si>
    <t>IFRS 16 / ASC 842件のアイテム</t>
  </si>
  <si>
    <t>МСФО 16 / ASC 842 Статьи</t>
  </si>
  <si>
    <t xml:space="preserve">Artículos IFRS 16 / ASC 842 </t>
  </si>
  <si>
    <t>IFRS 16 / ASC 842 항목</t>
  </si>
  <si>
    <t>使用权资产-毛额</t>
  </si>
  <si>
    <t>使用權資產-毛額</t>
  </si>
  <si>
    <t>Droit d'utilisation des biens - brut</t>
  </si>
  <si>
    <t>Vermögen aus Nutzungsrechten, brutto</t>
  </si>
  <si>
    <t>Attività diritto d'uso - Lordo</t>
  </si>
  <si>
    <t>使用権資産-グロス</t>
  </si>
  <si>
    <t>Право использования активов - брутто</t>
  </si>
  <si>
    <t>Activos con derecho de uso - bruto</t>
  </si>
  <si>
    <t>사용권 자산-총액</t>
  </si>
  <si>
    <t>使用权资产-累计折旧</t>
  </si>
  <si>
    <t>使用權資產-累計折舊</t>
  </si>
  <si>
    <t>Droit d'utilisation des biens - Amortissement cumulé</t>
  </si>
  <si>
    <t>Vermögen aus Nutzungsrechten, kumulierte Abschreibungen</t>
  </si>
  <si>
    <t>Attività diritto d'uso - Fondo ammortamenti</t>
  </si>
  <si>
    <t>使用権資産、減価償却累計額</t>
  </si>
  <si>
    <t>Право использования активов - накопленная амортизация</t>
  </si>
  <si>
    <t>activos con derecho de uso - Depreciación acumulada</t>
  </si>
  <si>
    <t>사용권 자산 누적 감가상각</t>
  </si>
  <si>
    <t>使用权资产-净额</t>
  </si>
  <si>
    <t>使用權資產-淨額</t>
  </si>
  <si>
    <t>Droit d'utilisation des biens - net</t>
  </si>
  <si>
    <t>Vermögen aus Nutzungsrechten, netto</t>
  </si>
  <si>
    <t>Attività diritto d'uso - Netto</t>
  </si>
  <si>
    <t>使用権資産ネット</t>
  </si>
  <si>
    <t>Право использования активов - нетто</t>
  </si>
  <si>
    <t>Activos con derecho de uso - Neto</t>
  </si>
  <si>
    <t>순 사용권 자산</t>
  </si>
  <si>
    <t>使用权资产-资本租赁-毛额</t>
  </si>
  <si>
    <t>使用權資產-資本租賃-毛額</t>
  </si>
  <si>
    <t>Droit d'utilisation des biens - Contrat de location de capital - Brut</t>
  </si>
  <si>
    <t>Vermögen aus Nutzungsrechten – Kapitalleasing – Brutto</t>
  </si>
  <si>
    <t>Attività diritto d'uso - Leasing finanziario - Lordo</t>
  </si>
  <si>
    <t>使用権資産・資本リース・グロス</t>
  </si>
  <si>
    <t>Право использования активов - брутто-аренда капитала</t>
  </si>
  <si>
    <t>Derecho de uso de activos - capital de arrendamiento, bruto</t>
  </si>
  <si>
    <t>총 사용권 자산 금융리스</t>
  </si>
  <si>
    <t>使用权资产-资本租赁-累计折旧</t>
  </si>
  <si>
    <t>使用權資產-資本租賃-累計折舊</t>
  </si>
  <si>
    <t>Droit d'utilisation d'un actif - Contrat de location de capital - Amortissement cumulé</t>
  </si>
  <si>
    <t>Vermögen aus Nutzungsrechten – Kapitalleasing – Kumulierte Abschreibungen</t>
  </si>
  <si>
    <t>Attività diritto d'uso - Leasing finanziario - Fondo ammortamenti</t>
  </si>
  <si>
    <t>使用権資産・資本リース減価償却累計額</t>
  </si>
  <si>
    <t>Право использования активов - аренда капитала - накопленная амортизация</t>
  </si>
  <si>
    <t>Derecho de uso de activos -capital de arrendamiento, depreciación acumulada</t>
  </si>
  <si>
    <t>사용권 자산 금융리스 누적 감가상각</t>
  </si>
  <si>
    <t>使用权资产-资本租赁-净额</t>
  </si>
  <si>
    <t>使用權資產-資本租賃-淨額</t>
  </si>
  <si>
    <t>Droit d'utilisation des actifs - Contrat de location de capital - net</t>
  </si>
  <si>
    <t>Vermögen aus Nutzungsrechten – Kapitalleasing – Netto</t>
  </si>
  <si>
    <t>Attività diritto d'uso - Leasing finanziario - Netto</t>
  </si>
  <si>
    <t>使用権資産・資本リースネット</t>
  </si>
  <si>
    <t>Право использования активов - аренда капитала - нетто</t>
  </si>
  <si>
    <t>Derecho de uso de activos - capital de arrendamiento, neto</t>
  </si>
  <si>
    <t>순 사용권 자산 금융리스</t>
  </si>
  <si>
    <t>使用权资产-经营租赁-毛额</t>
  </si>
  <si>
    <t>使用權資產-經營租賃-毛額</t>
  </si>
  <si>
    <t>Droit d'utilisation des actifs - leasing opérationnel - brut</t>
  </si>
  <si>
    <t>Vermögen aus Nutzungsrechten – Operating-Leasing – Brutto</t>
  </si>
  <si>
    <t>Attività diritto d'uso - Locazioni operative - Lordo</t>
  </si>
  <si>
    <t>使用権資産・オペレーティングリース、グロス</t>
  </si>
  <si>
    <t>Право использования активов-лизинговая аренда-брутто</t>
  </si>
  <si>
    <t>Derecho de uso de activos - Arrendamiento operativo - Bruto</t>
  </si>
  <si>
    <t>총 사용권 자산 운용리스</t>
  </si>
  <si>
    <t>使用权资产-经营租赁-累计折旧</t>
  </si>
  <si>
    <t>使用權資產-經營租賃-累計折舊</t>
  </si>
  <si>
    <t>Droit d'utilisation des actifs - leasing opérationnel - amortissement cumulé</t>
  </si>
  <si>
    <t>Vermögen aus Nutzungsrechten – Operating-Leasing – Kumulierte Abschreibungen</t>
  </si>
  <si>
    <t>Attività diritto d'uso - Locazioni operative - Fondo ammortamenti</t>
  </si>
  <si>
    <t>使用権資産・オペレーティングリース減価償却累計額</t>
  </si>
  <si>
    <t>Права использования активов - лизинговая аренда - накопленная амортизация</t>
  </si>
  <si>
    <t>Derecho de uso de activos - Arrendamiento operativo - Depreciación acumulada</t>
  </si>
  <si>
    <t>사용권 자산 운용리스 누적 감가상각</t>
  </si>
  <si>
    <t>使用权资产-经营租赁-净额</t>
  </si>
  <si>
    <t>使用權資產-經營租賃-淨額</t>
  </si>
  <si>
    <t>Droit d'utilisation des actifs - Leasing Opérationnel - Net</t>
  </si>
  <si>
    <t>Vermögen aus Nutzungsrechten – Operating-Leasing – Netto</t>
  </si>
  <si>
    <t>Attività diritto d'uso - Locazioni operative - Netto</t>
  </si>
  <si>
    <t>使用権資産・オペレーティングリースネット</t>
  </si>
  <si>
    <t>Право использования активов - операционная аренда - нетто</t>
  </si>
  <si>
    <t>Derecho de uso de activos - Arrendamiento operativo - Neto</t>
  </si>
  <si>
    <t>순 사용권 자산 운용리스</t>
  </si>
  <si>
    <t>房产， 厂房及设备总值, 不包括经营租赁</t>
  </si>
  <si>
    <t>房產， 廠房及設備總值, 不包括經營租賃</t>
  </si>
  <si>
    <t>Immobilisations corporelles brutes, à l'exclusion des leasings opérationnels</t>
  </si>
  <si>
    <t>Brutto-PP&amp;E, ohne Operating-Leasing</t>
  </si>
  <si>
    <t>Immobili, impianti e macchinari lordi, escl. locazioni operative</t>
  </si>
  <si>
    <t>有形固定資産(オペレーティング・リース除く)</t>
  </si>
  <si>
    <t>Валовые основные средства, за исключением операционной аренды</t>
  </si>
  <si>
    <t>Propiedad, Plata y Equipos bruto, excluyendo los arrendamientos operativos</t>
  </si>
  <si>
    <t>총 PP&amp;E, 운용리스 제외</t>
  </si>
  <si>
    <t>累计折旧, 不包括经营租赁</t>
  </si>
  <si>
    <t>累計折舊, 不包括經營租賃</t>
  </si>
  <si>
    <t>Amortissement cumulé, à l'exclusion du leasing opérationnel</t>
  </si>
  <si>
    <t>Kumulierte Abschreibungen, ohne Operating-Leasing</t>
  </si>
  <si>
    <t>Fondo ammortamenti, escl. locazioni operative</t>
  </si>
  <si>
    <t>減価償却累計(オペレーティング・リース除く)</t>
  </si>
  <si>
    <t>Накопленная амортизация, исключая операционную аренду</t>
  </si>
  <si>
    <t>Depreciación acumulada, excluyendo los arrendamientos operativos</t>
  </si>
  <si>
    <t>누적 감가상각, 운용리스 제외</t>
  </si>
  <si>
    <t>房产, 厂房及设备净额, 不包括经营租赁</t>
  </si>
  <si>
    <t>房產, 廠房及設備淨額, 不包括經營租賃</t>
  </si>
  <si>
    <t>Immobilisations corporelles nettes, à l'exclusion du leasing opérationnel</t>
  </si>
  <si>
    <t>Netto-PP&amp;E, ohne Operating-Leasing</t>
  </si>
  <si>
    <t>Immobili, impianti e macchinari netti, escl. locazioni operative</t>
  </si>
  <si>
    <t>純有形固定資産(オペレーティング・リース除く)</t>
  </si>
  <si>
    <t>Чистые основные средства, за исключением операционной аренды</t>
  </si>
  <si>
    <t>Propiedad, Plata y Equipos Neto, excluyendo los arrendamientos operativos</t>
  </si>
  <si>
    <t>순 PP&amp;E, 운용리스 제외</t>
  </si>
  <si>
    <t>财务租赁, 当前</t>
  </si>
  <si>
    <t>財務租賃, 當前</t>
  </si>
  <si>
    <t>Leasing financier, courant</t>
  </si>
  <si>
    <t>Finanzierungsleasing, kurzfristig</t>
  </si>
  <si>
    <t>Leasing finanziari, correnti</t>
  </si>
  <si>
    <t>金融は、現在のリース</t>
  </si>
  <si>
    <t>Финансовая аренда, текущая</t>
  </si>
  <si>
    <t>Arrendamientos financieros, actuales</t>
  </si>
  <si>
    <t>금융리스, 당기</t>
  </si>
  <si>
    <t>财务租赁, 长期</t>
  </si>
  <si>
    <t>財務租賃, 長期</t>
  </si>
  <si>
    <t>Leasing financier à long terme</t>
  </si>
  <si>
    <t>Finanzierungsleasing, langfristig</t>
  </si>
  <si>
    <t>Leasing finanziari, a lungo termine</t>
  </si>
  <si>
    <t>ファイナンスは、長期リース</t>
  </si>
  <si>
    <t>Финансовая аренда, долгосрочная</t>
  </si>
  <si>
    <t>Arrendamientos financieros a largo plazo</t>
  </si>
  <si>
    <t>금융리스, 장기</t>
  </si>
  <si>
    <t>财务租赁总额</t>
  </si>
  <si>
    <t>財務租賃總額</t>
  </si>
  <si>
    <t>Total des leasings financiers</t>
  </si>
  <si>
    <t>Finanzierungsleasing, Summe</t>
  </si>
  <si>
    <t>Totale leasing finanziari</t>
  </si>
  <si>
    <t>総ファイナンス・リース取引</t>
  </si>
  <si>
    <t>Всего Финансовая аренда</t>
  </si>
  <si>
    <t>Total de Arrendamientos Financieros</t>
  </si>
  <si>
    <t>총 금융리스</t>
  </si>
  <si>
    <t>经营租赁负债的当前部分</t>
  </si>
  <si>
    <t>經營租賃負債的當前部分</t>
  </si>
  <si>
    <t>Portion courante du passif des leasings opérationnels</t>
  </si>
  <si>
    <t>Kurzfristiger Anteil von Kapitalleasingverbindlichkeiten</t>
  </si>
  <si>
    <t>Porzione corrente di passività locazioni operative</t>
  </si>
  <si>
    <t>オペレーティングリース債務の現在の部分</t>
  </si>
  <si>
    <t>Текущая часть обязательств по операционной аренде</t>
  </si>
  <si>
    <t>Porción actual de las obligaciones de arrendamiento operativo</t>
  </si>
  <si>
    <t>당기 운용리스 부채</t>
  </si>
  <si>
    <t>经营租赁负债的长期部分</t>
  </si>
  <si>
    <t>經營租賃負債的長期部分</t>
  </si>
  <si>
    <t>Portion à long terme du passif du leasing opérationnel</t>
  </si>
  <si>
    <t>Langfristiger Anteil der Verbindlichkeiten aus Operating-Leasing</t>
  </si>
  <si>
    <t>Porzione a lungo termine di passività locazioni operative</t>
  </si>
  <si>
    <t>オペレーティングリース債務の長期部分</t>
  </si>
  <si>
    <t>Долгосрочная часть обязательств по операционной аренде</t>
  </si>
  <si>
    <t>La porción a largo plazo de las obligaciones de arrendamiento operativo</t>
  </si>
  <si>
    <t>장기 운용리스 부채</t>
  </si>
  <si>
    <t>总经营租赁</t>
  </si>
  <si>
    <t>總經營租賃</t>
  </si>
  <si>
    <t>Total des contrats de leasing opérationnel</t>
  </si>
  <si>
    <t>Operating-Leasing, Summe</t>
  </si>
  <si>
    <t>Totale locazioni operative</t>
  </si>
  <si>
    <t>総オペレーティング・リース</t>
  </si>
  <si>
    <t>Всего операционная аренда</t>
  </si>
  <si>
    <t>Total de arrendamientos operativos</t>
  </si>
  <si>
    <t>총 운용리스</t>
  </si>
  <si>
    <t>总租赁</t>
  </si>
  <si>
    <t>總租賃</t>
  </si>
  <si>
    <t>Total des baux</t>
  </si>
  <si>
    <t>Summe der Mietverträge</t>
  </si>
  <si>
    <t>リース総額</t>
  </si>
  <si>
    <t>Всего аренда</t>
  </si>
  <si>
    <t>Total de arrendamientos</t>
  </si>
  <si>
    <t>총 리스</t>
  </si>
  <si>
    <t>当前的融资义务，不包括经营租赁</t>
  </si>
  <si>
    <t>當前的融資義務，不包括經營租賃</t>
  </si>
  <si>
    <t>Obligations de financement courantes, à l'exclusion du leasing opérationnel</t>
  </si>
  <si>
    <t>Kurzfristige Finanzierungsverpflichtungen, ohne Operating-Leasing</t>
  </si>
  <si>
    <t>Obbligazioni finanziarie correnti, escl. locazioni operative</t>
  </si>
  <si>
    <t>一年内返済予定金融債務(オペレーティング・リース除く)</t>
  </si>
  <si>
    <t>Текущие финансовые обязательства, за исключением операционной аренды</t>
  </si>
  <si>
    <t>Obligaciones financieras actuales, excepto los arrendamientos operativos</t>
  </si>
  <si>
    <t>유동성 금융 채권, 운용리스 제외</t>
  </si>
  <si>
    <t>不包括经营租赁的非流动融资义务</t>
  </si>
  <si>
    <t>不包括經營租賃的非流動融資義務</t>
  </si>
  <si>
    <t>Obligations de financement à long terme à l'exclusion du leasing opérationnel</t>
  </si>
  <si>
    <t>Langfristige Finanzierungsverpflichtungen, ohne Operating-Leasing</t>
  </si>
  <si>
    <t>Obbligazioni finanziarie non correnti, escl. locazioni operative</t>
  </si>
  <si>
    <t>長期金融債務(オペレーティング・リース除く)</t>
  </si>
  <si>
    <t>Долгосрочные финансовые обязательства за исключением операционной аренды</t>
  </si>
  <si>
    <t>Obligaciones de financiación no corriente, excepto los arrendamientos operativos</t>
  </si>
  <si>
    <t>비유동성 금융 채권, 운용리스 제외</t>
  </si>
  <si>
    <t>总债务，不包括经营租赁</t>
  </si>
  <si>
    <t>總債務，不包括經營租賃</t>
  </si>
  <si>
    <t>Dette totale, à l'exclusion du leasing opérationnel</t>
  </si>
  <si>
    <t>Gesamtverschuldung, ohne Operating-Leasing</t>
  </si>
  <si>
    <t>Totale debito, escl. locazioni operative</t>
  </si>
  <si>
    <t>負債総額、のぞきます。オペレーティング・リース</t>
  </si>
  <si>
    <t>Общий долг, исключая операционную аренду</t>
  </si>
  <si>
    <t>Deuda total, excluyendo arrendamientos operativos</t>
  </si>
  <si>
    <t>총 부채, 운용리스 제외</t>
  </si>
  <si>
    <t>债务总额，不包括租赁</t>
  </si>
  <si>
    <t>債務總額，不包括租賃</t>
  </si>
  <si>
    <t>Dette totale, à l'exclusion du leasing</t>
  </si>
  <si>
    <t>Gesamtverschuldung, ohne Leasing</t>
  </si>
  <si>
    <t>Totale debito, escl. locazioni</t>
  </si>
  <si>
    <t>負債総額、のぞきます。リース</t>
  </si>
  <si>
    <t>Общий долг, исключая аренду</t>
  </si>
  <si>
    <t>Deuda total, excluyendo arrendamientos</t>
  </si>
  <si>
    <t>총 부채, 리스 제외</t>
  </si>
  <si>
    <t>资产负债表日已发行股份总数</t>
  </si>
  <si>
    <t>資產負債表日已發行股份總數</t>
  </si>
  <si>
    <t>Total des parts à la date du bilan</t>
  </si>
  <si>
    <t>Gesamtzahl der umlaufenden Aktien am Bilanzstichtag</t>
  </si>
  <si>
    <t>Azioni totali data bilancio</t>
  </si>
  <si>
    <t>発行済株式総数(貸借対照表日)</t>
  </si>
  <si>
    <t>Всего Акций на дату баланса</t>
  </si>
  <si>
    <t>Total de acciones en circulación en la fecha del balance</t>
  </si>
  <si>
    <t>대차 대조표 날짜 총 유통주식</t>
  </si>
  <si>
    <t>每股账面值</t>
  </si>
  <si>
    <t>每股賬面值</t>
  </si>
  <si>
    <t>Valeur comptable/action</t>
  </si>
  <si>
    <t>Buchwert/Aktie</t>
  </si>
  <si>
    <t>Valore contabile/azione</t>
  </si>
  <si>
    <t>一株当たり純資産</t>
  </si>
  <si>
    <t>Балансовая стоимость/акция</t>
  </si>
  <si>
    <t xml:space="preserve">Valor contable de libros/Acción </t>
  </si>
  <si>
    <t>장부가/주식</t>
  </si>
  <si>
    <t>每股账面值（呈报）</t>
  </si>
  <si>
    <t>每股賬面值（呈報）</t>
  </si>
  <si>
    <t>Valeur comptable/action (déclarée)</t>
  </si>
  <si>
    <t>Buchwert/Aktie (angemeldet)</t>
  </si>
  <si>
    <t>Valore contabile/azione (riportato)</t>
  </si>
  <si>
    <t>一株当たり純資産(開示ベース)</t>
  </si>
  <si>
    <t>Балансовая стоимость/акция (отчетная)</t>
  </si>
  <si>
    <t>Valor contable de libros/Acción (reportado)</t>
  </si>
  <si>
    <t>장부가/주식(보고됨)</t>
  </si>
  <si>
    <t>有形每股账面值</t>
  </si>
  <si>
    <t>有形每股賬面值</t>
  </si>
  <si>
    <t>Valeur comptable tangible/action</t>
  </si>
  <si>
    <t>Buchwert des Materialvermögens/Aktie</t>
  </si>
  <si>
    <t>Valore contabile tangibile/azione</t>
  </si>
  <si>
    <t>一株当たり(無形固定資産除く)純資産</t>
  </si>
  <si>
    <t>Материальная балансовая стоимость/акция</t>
  </si>
  <si>
    <t>Valor contable de libros tangible/acción</t>
  </si>
  <si>
    <t>유형 장부가/주식</t>
  </si>
  <si>
    <t>有形每股账面值（呈报）</t>
  </si>
  <si>
    <t>有形每股賬面值（呈報）</t>
  </si>
  <si>
    <t>Valeur comptable tangible par action (déclarée)</t>
  </si>
  <si>
    <t>Buchwert des Materialvermögens pro Aktie (angemeldet)</t>
  </si>
  <si>
    <t>Valore contabile tangibile per azione (riportato)</t>
  </si>
  <si>
    <t>一株当たり(無形固定資産除く)純資産（開示ベース）</t>
  </si>
  <si>
    <t>Материальная балансовая стоимость на акцию (отчетная)</t>
  </si>
  <si>
    <t>Valor contable de libros tangible/acción (reportado)</t>
  </si>
  <si>
    <t>주당 유형 장부가(보고됨)</t>
  </si>
  <si>
    <t>有形账面价值</t>
  </si>
  <si>
    <t>有形賬面價值</t>
  </si>
  <si>
    <t>Valeur comptable tangible</t>
  </si>
  <si>
    <t>Buchwert des Materialvermögens</t>
  </si>
  <si>
    <t>Valore contabile tangibile</t>
  </si>
  <si>
    <t>(無形固定資産除く)純資産</t>
  </si>
  <si>
    <t>Материальная балансовая стоимость</t>
  </si>
  <si>
    <t>Valor contable de libros tangible</t>
  </si>
  <si>
    <t>유형 장부가</t>
  </si>
  <si>
    <t>总无形资产</t>
  </si>
  <si>
    <t>總無形資產</t>
  </si>
  <si>
    <t>Total des actifs incorporels</t>
  </si>
  <si>
    <t>Immaterialvermögen, Summe</t>
  </si>
  <si>
    <t>Totale attività immateriali</t>
  </si>
  <si>
    <t>無形固定資産</t>
  </si>
  <si>
    <t>Всего нематериальных активов</t>
  </si>
  <si>
    <t>Intangibles totales</t>
  </si>
  <si>
    <t>총 무형자산</t>
  </si>
  <si>
    <t>每股现金</t>
  </si>
  <si>
    <t>每股現金</t>
  </si>
  <si>
    <t>Cash par action</t>
  </si>
  <si>
    <t>Barmittel pro Aktie</t>
  </si>
  <si>
    <t>Contanti per azione</t>
  </si>
  <si>
    <t>一株当たり現金及び同等物</t>
  </si>
  <si>
    <t>Денежные средства на Акцию</t>
  </si>
  <si>
    <t>Efectivo por acción</t>
  </si>
  <si>
    <t>주당 현금</t>
  </si>
  <si>
    <t>总债务</t>
  </si>
  <si>
    <t>總債務</t>
  </si>
  <si>
    <t>Dette totale</t>
  </si>
  <si>
    <t>Gesamtverschuldung</t>
  </si>
  <si>
    <t>Indebitamento totale</t>
  </si>
  <si>
    <t>有利子負債合計</t>
  </si>
  <si>
    <t>Общая задолженность</t>
  </si>
  <si>
    <t>Deuda total</t>
  </si>
  <si>
    <t>총 부채</t>
  </si>
  <si>
    <t>流动债务总额</t>
  </si>
  <si>
    <t>流動債務總額</t>
  </si>
  <si>
    <t>Dette totale actuelle</t>
  </si>
  <si>
    <t>Summe kurzfristige Schulden</t>
  </si>
  <si>
    <t>Totale debito corrente</t>
  </si>
  <si>
    <t>総有利子負債(短期)</t>
  </si>
  <si>
    <t>Общий долг текущий</t>
  </si>
  <si>
    <t>Deuda total Corriente</t>
  </si>
  <si>
    <t>총 유동성 부채</t>
  </si>
  <si>
    <t>非流动债务总额</t>
  </si>
  <si>
    <t>非流動債務總額</t>
  </si>
  <si>
    <t>Total de la dette non courante</t>
  </si>
  <si>
    <t>Summe nicht kurzfristiger Schulden</t>
  </si>
  <si>
    <t>Totale debito non corrente</t>
  </si>
  <si>
    <t>総有利子負債(長期)</t>
  </si>
  <si>
    <t>Общий долгосрочный долг</t>
  </si>
  <si>
    <t>Total de la deuda No Corriente</t>
  </si>
  <si>
    <t>총 비유동성 부채</t>
  </si>
  <si>
    <t>并购目标净债务</t>
  </si>
  <si>
    <t>併購目標淨債務</t>
  </si>
  <si>
    <t>Dette nette</t>
  </si>
  <si>
    <t>Nettoverschuldung</t>
  </si>
  <si>
    <t>Debito netto</t>
  </si>
  <si>
    <t>純有利子負債</t>
  </si>
  <si>
    <t>Чистая Задолженность</t>
  </si>
  <si>
    <t>Deuda Neta</t>
  </si>
  <si>
    <t>순부채</t>
  </si>
  <si>
    <t>少数权益，总计</t>
  </si>
  <si>
    <t>少數權益，總計</t>
  </si>
  <si>
    <t>Intérêts minoritaires, total</t>
  </si>
  <si>
    <t>Minderheitsbeteiligungen, Summe</t>
  </si>
  <si>
    <t>Partecipazione minoritaria, totale</t>
  </si>
  <si>
    <t>Процент миноритариев, всего</t>
  </si>
  <si>
    <t>Interés minoritario, total</t>
  </si>
  <si>
    <t>소수주주 지분, 총계</t>
  </si>
  <si>
    <t>总资本化</t>
  </si>
  <si>
    <t>總資本化</t>
  </si>
  <si>
    <t>Capitalisation totale</t>
  </si>
  <si>
    <t>Gesamtkapitalisierung</t>
  </si>
  <si>
    <t>Capitalizzazione totale</t>
  </si>
  <si>
    <t>総資本化</t>
  </si>
  <si>
    <t>Общая капитализация</t>
  </si>
  <si>
    <t>Capitalización Total</t>
  </si>
  <si>
    <t>총 자본금</t>
  </si>
  <si>
    <t>营运资金</t>
  </si>
  <si>
    <t>營運資金</t>
  </si>
  <si>
    <t>Fonds de roulement</t>
  </si>
  <si>
    <t>Betriebskapital</t>
  </si>
  <si>
    <t>Capitale circolante</t>
  </si>
  <si>
    <t>運転資本</t>
  </si>
  <si>
    <t>Оборотный капитал</t>
  </si>
  <si>
    <t>Capital de trabajo</t>
  </si>
  <si>
    <t>운영자본</t>
  </si>
  <si>
    <t>净营运资金</t>
  </si>
  <si>
    <t>淨營運資金</t>
  </si>
  <si>
    <t>Fonds de roulement net</t>
  </si>
  <si>
    <t>Nettobetriebskapital</t>
  </si>
  <si>
    <t>Capitale circolante netto</t>
  </si>
  <si>
    <t>純運転資本</t>
  </si>
  <si>
    <t>Чистый оборотный капитал</t>
  </si>
  <si>
    <t>Capital de trabajo neto</t>
  </si>
  <si>
    <t>순운영자본</t>
  </si>
  <si>
    <t>权益法下的投资</t>
  </si>
  <si>
    <t>權益法下的投資</t>
  </si>
  <si>
    <t>Investissements dans la méthode de mise en équivalence</t>
  </si>
  <si>
    <t>Finanzanlagen nach der Equity-Methode</t>
  </si>
  <si>
    <t>Investimenti con metodo del patrimonio netto</t>
  </si>
  <si>
    <t>関係会社株式</t>
  </si>
  <si>
    <t>Инвестиции по методу долевого участия</t>
  </si>
  <si>
    <t>Inversiones con método de equidad</t>
  </si>
  <si>
    <t>지분법 투자금</t>
  </si>
  <si>
    <t>应收帐款-未发单</t>
  </si>
  <si>
    <t>應收帳款-未發單</t>
  </si>
  <si>
    <t>Comptes à recevoir - Non facturés</t>
  </si>
  <si>
    <t>LL-Forderungen – nicht fakturiert</t>
  </si>
  <si>
    <t>Crediti commerciali - Non fatturati</t>
  </si>
  <si>
    <t>未請求の売上債権残高</t>
  </si>
  <si>
    <t>Дебиторская задолженность - Невыставленные счета</t>
  </si>
  <si>
    <t>Cuentas por cobrar - No facturadas</t>
  </si>
  <si>
    <t>외상매출금 - 비청구</t>
  </si>
  <si>
    <t>盘点方法</t>
  </si>
  <si>
    <t>盤點方法</t>
  </si>
  <si>
    <t>Méthode d'inventaire</t>
  </si>
  <si>
    <t>Bestandmethode</t>
  </si>
  <si>
    <t>Metodo inventario</t>
  </si>
  <si>
    <t>期末棚卸資産の計算方法</t>
  </si>
  <si>
    <t>Метод инвентаризации</t>
  </si>
  <si>
    <t>Método de inventario</t>
  </si>
  <si>
    <t>재고 방법</t>
  </si>
  <si>
    <t>后进先出储备</t>
  </si>
  <si>
    <t>先進先出儲備</t>
  </si>
  <si>
    <t>Réserve LIFO</t>
  </si>
  <si>
    <t>LIFO-Reserve</t>
  </si>
  <si>
    <t>Riserva LIFO</t>
  </si>
  <si>
    <t>後入差出法により計算した期末棚卸資産残高</t>
  </si>
  <si>
    <t>Резерв LIFO</t>
  </si>
  <si>
    <t xml:space="preserve">Reserva Ultima Entrada, Primera Salida </t>
  </si>
  <si>
    <t>LIFO 유보금</t>
  </si>
  <si>
    <t>原材料存货</t>
  </si>
  <si>
    <t>原材料存貨</t>
  </si>
  <si>
    <t>Inventaire des matières premières</t>
  </si>
  <si>
    <t>Rohstoffbestand</t>
  </si>
  <si>
    <t>Scorte materie prime</t>
  </si>
  <si>
    <t>原材料</t>
  </si>
  <si>
    <t xml:space="preserve">Инвентаризация сырья </t>
  </si>
  <si>
    <t>Inventario de materias primas</t>
  </si>
  <si>
    <t>원자재 재고자산</t>
  </si>
  <si>
    <t>在产品存货</t>
  </si>
  <si>
    <t>在製品存貨</t>
  </si>
  <si>
    <t>Inventaire des travaux en cours</t>
  </si>
  <si>
    <t>Umlaufbestand</t>
  </si>
  <si>
    <t>Scorte prodotti in corso di lavorazione</t>
  </si>
  <si>
    <t>仕掛品</t>
  </si>
  <si>
    <t>Инвентаризация незавершенного производства</t>
  </si>
  <si>
    <t>Inventario de trabajos en curso</t>
  </si>
  <si>
    <t>재공품 재고자산</t>
  </si>
  <si>
    <t>制成品存货</t>
  </si>
  <si>
    <t>製成品存貨</t>
  </si>
  <si>
    <t>Inventaire des produits finis</t>
  </si>
  <si>
    <t>Fertigwarenlager</t>
  </si>
  <si>
    <t>Scorte prodotti finiti</t>
  </si>
  <si>
    <t>製品・商品</t>
  </si>
  <si>
    <t>Инвентаризация готовой продукции</t>
  </si>
  <si>
    <t>Inventario de productos terminados</t>
  </si>
  <si>
    <t>완제품 재고자산</t>
  </si>
  <si>
    <t>其他存货户口</t>
  </si>
  <si>
    <t>其他存貨戶口</t>
  </si>
  <si>
    <t>Autres comptes d'inventaire</t>
  </si>
  <si>
    <t>Sonstige Bestandskonten</t>
  </si>
  <si>
    <t>Altri conti di inventario</t>
  </si>
  <si>
    <t>その他棚卸資産</t>
  </si>
  <si>
    <t>Прочие инвентарные счета</t>
  </si>
  <si>
    <t>Otras cuentas de inventario</t>
  </si>
  <si>
    <t>기타 재고 계정</t>
  </si>
  <si>
    <t>土地</t>
  </si>
  <si>
    <t>Terrain</t>
  </si>
  <si>
    <t>Terreni</t>
  </si>
  <si>
    <t>Земля</t>
  </si>
  <si>
    <t>Tierra</t>
  </si>
  <si>
    <t>토지</t>
  </si>
  <si>
    <t>建筑物</t>
  </si>
  <si>
    <t>建築物</t>
  </si>
  <si>
    <t>Bâtiments</t>
  </si>
  <si>
    <t>Gebäude</t>
  </si>
  <si>
    <t>Fabbricati</t>
  </si>
  <si>
    <t>建物</t>
  </si>
  <si>
    <t>Здания</t>
  </si>
  <si>
    <t>Edificios</t>
  </si>
  <si>
    <t>건물</t>
  </si>
  <si>
    <t>机器</t>
  </si>
  <si>
    <t>機器</t>
  </si>
  <si>
    <t>Machines</t>
  </si>
  <si>
    <t>Ausrüstung</t>
  </si>
  <si>
    <t>Macchinari</t>
  </si>
  <si>
    <t>機械</t>
  </si>
  <si>
    <t>Оборудование</t>
  </si>
  <si>
    <t>Maquinaria</t>
  </si>
  <si>
    <t>기계</t>
  </si>
  <si>
    <t>资本化/购买软件</t>
  </si>
  <si>
    <t>資本化/購買軟體</t>
  </si>
  <si>
    <t>Logiciels capitalisés/achetés</t>
  </si>
  <si>
    <t>Aktivierte/gekaufte Software</t>
  </si>
  <si>
    <t>Software capitalizzato/acquistato</t>
  </si>
  <si>
    <t>外部購入のソフトウェア</t>
  </si>
  <si>
    <t>Капитализированное/приобретенное программное обеспечение</t>
  </si>
  <si>
    <t>Software capitalizado/comprado</t>
  </si>
  <si>
    <t>투자/매입한 소프트웨어</t>
  </si>
  <si>
    <t>天然资源，按成本计算</t>
  </si>
  <si>
    <t>天然資源，按成本計算</t>
  </si>
  <si>
    <t>Ressources naturelles, au prix coûtant</t>
  </si>
  <si>
    <t>Natürliche Ressourcen, zum Selbstkostenpreis</t>
  </si>
  <si>
    <t>Risorse naturali, al costo</t>
  </si>
  <si>
    <t>天然資源</t>
  </si>
  <si>
    <t>Природные ресурсы, по себестоимости</t>
  </si>
  <si>
    <t>Recursos naturales, al costo</t>
  </si>
  <si>
    <t>천연 자원, 비용</t>
  </si>
  <si>
    <t>在建工程</t>
  </si>
  <si>
    <t>Construction en cours</t>
  </si>
  <si>
    <t>Laufende Bauarbeiten</t>
  </si>
  <si>
    <t>Immobilizzazioni in corso</t>
  </si>
  <si>
    <t>建設仮勘定</t>
  </si>
  <si>
    <t>Незавершенное строительство</t>
  </si>
  <si>
    <t>Construcción en progreso</t>
  </si>
  <si>
    <t>건설 진행 중</t>
  </si>
  <si>
    <t>租赁权益改良</t>
  </si>
  <si>
    <t>租賃權益改良</t>
  </si>
  <si>
    <t>Améliorations locatives</t>
  </si>
  <si>
    <t>Sanierung von Mietobjekten</t>
  </si>
  <si>
    <t>Migliorie su beni di terzi</t>
  </si>
  <si>
    <t>リース資産にかかる修繕費</t>
  </si>
  <si>
    <t>Улучшения арендованной собственности</t>
  </si>
  <si>
    <t>Mejoras en el arrendamiento</t>
  </si>
  <si>
    <t>리스개량자산</t>
  </si>
  <si>
    <t>可赎回少数股权</t>
  </si>
  <si>
    <t>可贖回少數股權</t>
  </si>
  <si>
    <t>Intérêts minoritaires remboursables</t>
  </si>
  <si>
    <t>Rückkaufbare Minderheitsbeteiligungen</t>
  </si>
  <si>
    <t>Partecipazione minoritaria riscattabile</t>
  </si>
  <si>
    <t>償還可能な少数株主持分</t>
  </si>
  <si>
    <t>Доля миноритарных акционеров, подлежащая погашению</t>
  </si>
  <si>
    <t>Interés minoritario redimible</t>
  </si>
  <si>
    <t>상환 소수주주 지분</t>
  </si>
  <si>
    <t>财务科可赎回少数股权</t>
  </si>
  <si>
    <t>財務科可贖回少數股權</t>
  </si>
  <si>
    <t>Division des finances : Intérêts minoritaires remboursables</t>
  </si>
  <si>
    <t>Finanzabteilung, veräußerbare Minderheitsbeteiligungen</t>
  </si>
  <si>
    <t>Partecipazione minoritaria riscattabile divisione finanziaria</t>
  </si>
  <si>
    <t>(金融部門に帰属する)償還可能な少数株主持分</t>
  </si>
  <si>
    <t>Финансовый отдел: Доля миноритарных акционеров, подлежащая погашению</t>
  </si>
  <si>
    <t>División de Finanzas de interés minoritario rescatable</t>
  </si>
  <si>
    <t>금융분과 상환 소수주주 지분</t>
  </si>
  <si>
    <t>可赎回少数股东权益总额</t>
  </si>
  <si>
    <t>可贖回少數股東權益總額</t>
  </si>
  <si>
    <t>Total des intérêts minoritaires remboursables</t>
  </si>
  <si>
    <t>Summe der rückkaufbaren Minderheitsanteile</t>
  </si>
  <si>
    <t>Totale partecipazione minoritaria riscattabile</t>
  </si>
  <si>
    <t>償還可能な少数株主持分の総額</t>
  </si>
  <si>
    <t>Всего процентов миноритарных акционеров, подлежащих выкупу</t>
  </si>
  <si>
    <t>Total de intereses minoritarios rescatables</t>
  </si>
  <si>
    <t>총 상환 소수주주 지분</t>
  </si>
  <si>
    <t>财务部少数股东权益</t>
  </si>
  <si>
    <t>財務部少數股東權益</t>
  </si>
  <si>
    <t>Division des finances : Intérêts minoritaires</t>
  </si>
  <si>
    <t>Finanzabteilung, Minderheitsbeteiligungen</t>
  </si>
  <si>
    <t>Partecipazione minoritaria divisione finanziaria</t>
  </si>
  <si>
    <t>(金融部門に帰属する)少数株主持分</t>
  </si>
  <si>
    <t>Финансовый отдел: Доля меньшинства</t>
  </si>
  <si>
    <t>División de Finanzas. Interés Minoritario</t>
  </si>
  <si>
    <t>금융분과 소수주주 지분</t>
  </si>
  <si>
    <t>递延税项估价备抵</t>
  </si>
  <si>
    <t>遞延稅項估價備抵</t>
  </si>
  <si>
    <t>Déduction pour évaluation d'impôt différé</t>
  </si>
  <si>
    <t>Bewertungszuschlag für latente Steuern</t>
  </si>
  <si>
    <t>Fondo valutazione imposte differite</t>
  </si>
  <si>
    <t>繰延税金評価引当金</t>
  </si>
  <si>
    <t>Резерв по отсроченному налогообложению</t>
  </si>
  <si>
    <t>Asignación por valoración de impuestos diferidos</t>
  </si>
  <si>
    <t>이연법인세 평가성 충당금</t>
  </si>
  <si>
    <t>一般合伙人-普通股</t>
  </si>
  <si>
    <t>一般合夥人-普通股</t>
  </si>
  <si>
    <t>Partenaire général - Actions ordinaires</t>
  </si>
  <si>
    <t>Kommanditist – Stammkapital</t>
  </si>
  <si>
    <t>Socio a responsabilità illimitata - Common equity</t>
  </si>
  <si>
    <t>無限責任社員-株主資本</t>
  </si>
  <si>
    <t>Генеральный партнер - Общий акционерный капитал</t>
  </si>
  <si>
    <t>Socio general - Capital común</t>
  </si>
  <si>
    <t>일반 투자자 - 보통주</t>
  </si>
  <si>
    <t>一般合伙人-优先股</t>
  </si>
  <si>
    <t>一般合夥人-優先股</t>
  </si>
  <si>
    <t>Partenaire général - Actions privilégiées</t>
  </si>
  <si>
    <t>Kommanditist – Vorzugsaktien</t>
  </si>
  <si>
    <t>Socio a responsabilità illimitata - Equity privilegiato</t>
  </si>
  <si>
    <t>無限責任社員-優先株式</t>
  </si>
  <si>
    <t>Генеральный партнер - Привилегированный капитал</t>
  </si>
  <si>
    <t>Socio General - Capital Preferente</t>
  </si>
  <si>
    <t>일반 투자자 - 우선주</t>
  </si>
  <si>
    <t>一般合伙人-少数股东权益</t>
  </si>
  <si>
    <t>一般合夥人-少數股東權益</t>
  </si>
  <si>
    <t>Partenaire général - Intérêts minoritaires</t>
  </si>
  <si>
    <t>Kommanditist – Minderheitsbeteiligung</t>
  </si>
  <si>
    <t>Socio a responsabilità illimitata - Partecipazione minoritaria</t>
  </si>
  <si>
    <t>無限責任社員-少数株主持分</t>
  </si>
  <si>
    <t>Генеральный партнер - Миноритарные интересы</t>
  </si>
  <si>
    <t>Socio General - Interés Minoritario</t>
  </si>
  <si>
    <t>일반 투자자 - 소수주주 지분</t>
  </si>
  <si>
    <t>一般合伙人利息（补充）</t>
  </si>
  <si>
    <t>一般合夥人利息（補充）</t>
  </si>
  <si>
    <t>Intérêt du partenaire général (Supplément)</t>
  </si>
  <si>
    <t>Kommmanditbeteiligung (Zus.)</t>
  </si>
  <si>
    <t>Interesse socio a responsabilità illimitata (flessibile)</t>
  </si>
  <si>
    <t>無限責任社員の持分(注記)</t>
  </si>
  <si>
    <t>Доля генерального партнера (Дополнение)</t>
  </si>
  <si>
    <t>Interés general de los socios (Suplemento)</t>
  </si>
  <si>
    <t>일반 투자자 지분(부가)</t>
  </si>
  <si>
    <t>第1级资产-报价</t>
  </si>
  <si>
    <t>第1級資產-報價</t>
  </si>
  <si>
    <t>Actifs de niveau 1 - Prix cotés</t>
  </si>
  <si>
    <t>Vermögen der Stufe 1 – notierte Preise</t>
  </si>
  <si>
    <t>Attività livello 1 - Prezzi quotazione</t>
  </si>
  <si>
    <t>資産の公正価値(Level 1　時価評価が容易な金額)</t>
  </si>
  <si>
    <t>Уровень 1 Активы - Котировки</t>
  </si>
  <si>
    <t>Activos de nivel 1 - Precios cotizados</t>
  </si>
  <si>
    <t>수준 1 자산 - 상장가</t>
  </si>
  <si>
    <t>第2级资产-可观察的价格</t>
  </si>
  <si>
    <t>第2級資產-可觀察的價格</t>
  </si>
  <si>
    <t>Actifs de niveau 2 - Prix observables</t>
  </si>
  <si>
    <t>Vermögen der Stufe 2 – beobachtbare Preise</t>
  </si>
  <si>
    <t>Attività livello 2 - Prezzi osservabili</t>
  </si>
  <si>
    <t>資産の公正価値(Level 2　時価評価がある程度可能な金額)</t>
  </si>
  <si>
    <t>Уровень 2 Активы - Наблюдаемые цены</t>
  </si>
  <si>
    <t>Activos del nivel 2 - Precios observables</t>
  </si>
  <si>
    <t>수준 2 자산 - 관찰 가능 가격</t>
  </si>
  <si>
    <t>第3级资产-不可观察的价格</t>
  </si>
  <si>
    <t>第3級資產-不可觀察的價格</t>
  </si>
  <si>
    <t>Actifs de niveau 3 - Prix non observables</t>
  </si>
  <si>
    <t>Vermögen der Stufe 3 – nicht beobachtbare Preise</t>
  </si>
  <si>
    <t>Attività livello 3 - Prezzi non osservabili</t>
  </si>
  <si>
    <t>資産の公正価値(Level 3　時価評価が困難な金額)</t>
  </si>
  <si>
    <t>Уровень 3 Активы - Ненаблюдаемые цены</t>
  </si>
  <si>
    <t>Activos de nivel 3 - Precios no observables</t>
  </si>
  <si>
    <t>수준 3 자산 - 관찰 불가 가격</t>
  </si>
  <si>
    <t>资产公允价值</t>
  </si>
  <si>
    <t>資產公允價值</t>
  </si>
  <si>
    <t>Juste valeur des actifs</t>
  </si>
  <si>
    <t>Marktwert von Vermögensgegenständen</t>
  </si>
  <si>
    <t>Fair Value attività</t>
  </si>
  <si>
    <t>資産の公正価値</t>
  </si>
  <si>
    <t>Справедливая стоимость активов</t>
  </si>
  <si>
    <t>Valor razonable de los activos</t>
  </si>
  <si>
    <t>자산 공정가치</t>
  </si>
  <si>
    <t>第1级负债-报价</t>
  </si>
  <si>
    <t>第1級負債-報價</t>
  </si>
  <si>
    <t>Passifs de niveau 1 - Prix cotés</t>
  </si>
  <si>
    <t>Verbindlichkeiten der Stufe 1 – notierte Preise</t>
  </si>
  <si>
    <t>Passività livello 1 - Prezzi quotazione</t>
  </si>
  <si>
    <t>負債の公正価値(Level 1　時価評価が容易な金額)</t>
  </si>
  <si>
    <t>Уровень 1 Обязательства - Котировки</t>
  </si>
  <si>
    <t>Pasivos de nivel 1 - Precios cotizados</t>
  </si>
  <si>
    <t>수준 1 부채 - 상장가</t>
  </si>
  <si>
    <t>第2级负债-可观察的价格</t>
  </si>
  <si>
    <t>第2級負債-可觀察的價格</t>
  </si>
  <si>
    <t>Passifs de niveau 2 - Prix observables</t>
  </si>
  <si>
    <t>Verbindlichkeiten der Stufe 2 – beobachtbare Preise</t>
  </si>
  <si>
    <t>Passività livello 2 - Prezzi osservabili</t>
  </si>
  <si>
    <t>負債の公正価値(Level 2　時価評価がある程度可能な金額)</t>
  </si>
  <si>
    <t>Уровень 2 Обязательства - Наблюдаемые цены</t>
  </si>
  <si>
    <t>Pasivos del nivel 2 - Precios observables</t>
  </si>
  <si>
    <t>수준 2 부채 - 관찰 가능 가격</t>
  </si>
  <si>
    <t>第3级负债-无法观察的价格</t>
  </si>
  <si>
    <t>第3級負債-無法觀察的價格</t>
  </si>
  <si>
    <t>Passifs de niveau 3 - Prix non observables</t>
  </si>
  <si>
    <t>Verbindlichkeiten der Stufe 3 – nicht beobachtbare Preise</t>
  </si>
  <si>
    <t>Passività livello 3 - Prezzi non osservabili</t>
  </si>
  <si>
    <t>負債の公正価値(Level 3　時価評価が困難な金額)</t>
  </si>
  <si>
    <t>Уровень 3 Обязательства - Ненаблюдаемые цены</t>
  </si>
  <si>
    <t>Pasivos del nivel 3 - Precios inobservables</t>
  </si>
  <si>
    <t>수준 3 부채 - 관찰 불가 가격</t>
  </si>
  <si>
    <t>负债的公允价值</t>
  </si>
  <si>
    <t>負債的公允價值</t>
  </si>
  <si>
    <t>Juste valeur des passifs</t>
  </si>
  <si>
    <t>Marktwert von Verbindlichkeiten</t>
  </si>
  <si>
    <t>Fair Value passività</t>
  </si>
  <si>
    <t>負債の公正価値</t>
  </si>
  <si>
    <t>Справедливая стоимость обязательств</t>
  </si>
  <si>
    <t>Valor razonable de los pasivos</t>
  </si>
  <si>
    <t>부채 공정가치</t>
  </si>
  <si>
    <t>收益中包含公允价值变动</t>
  </si>
  <si>
    <t>收益中包含公允價值變動</t>
  </si>
  <si>
    <t>Variation de la juste valeur incluse dans les bénéfices</t>
  </si>
  <si>
    <t>Marktwertveränderung, in Erlösen enthalten</t>
  </si>
  <si>
    <t>Variazione Fair Value compresa in Utili</t>
  </si>
  <si>
    <t>利益に含まれる公正価値の増減額</t>
  </si>
  <si>
    <t>Изменение справедливой стоимости, включенное в прибыль</t>
  </si>
  <si>
    <t>Cambio del valor razonable incluido en las ganancias</t>
  </si>
  <si>
    <t>수익에 포함된 공정가치 변동</t>
  </si>
  <si>
    <t>全职员工人数</t>
  </si>
  <si>
    <t>全職員工人數</t>
  </si>
  <si>
    <t>Employés à plein temps</t>
  </si>
  <si>
    <t>Vollzeitbeschäftigte</t>
  </si>
  <si>
    <t>Dipendenti a tempo pieno</t>
  </si>
  <si>
    <t>正規の従業員数</t>
  </si>
  <si>
    <t>Постоянные сотрудники</t>
  </si>
  <si>
    <t>Empleados a tiempo completo</t>
  </si>
  <si>
    <t>정규직 종업원</t>
  </si>
  <si>
    <t>兼职员工</t>
  </si>
  <si>
    <t>兼職員工</t>
  </si>
  <si>
    <t>Employés à temps partiel</t>
  </si>
  <si>
    <t>Teilzeitbeschäftigte</t>
  </si>
  <si>
    <t>Dipendenti part time</t>
  </si>
  <si>
    <t>非正規(パートタイム)の従業員数</t>
  </si>
  <si>
    <t>Работники, занятые неполный рабочий день</t>
  </si>
  <si>
    <t>Empleados a tiempo parcial</t>
  </si>
  <si>
    <t>시간제 직원</t>
  </si>
  <si>
    <t>员工总数</t>
  </si>
  <si>
    <t>員工總數</t>
  </si>
  <si>
    <t>Total des employés</t>
  </si>
  <si>
    <t>Gesamtzahl der Beschäftigten</t>
  </si>
  <si>
    <t>Totale dipendenti</t>
  </si>
  <si>
    <t>総従業員数</t>
  </si>
  <si>
    <t>Общее число сотрудников</t>
  </si>
  <si>
    <t>Total de empleados</t>
  </si>
  <si>
    <t>총 직원</t>
  </si>
  <si>
    <t>工会合同下的员工</t>
  </si>
  <si>
    <t>工會合同下的員工</t>
  </si>
  <si>
    <t>Employés sous contrat syndical</t>
  </si>
  <si>
    <t>Beschäftigte, Gewerkschaftsmitglieder</t>
  </si>
  <si>
    <t>Dipendenti sotto contratto sindacale</t>
  </si>
  <si>
    <t>労働組合に加入している従業員数</t>
  </si>
  <si>
    <t>Работники по профсоюзным договорам</t>
  </si>
  <si>
    <t>Empleados con contratos sindicales</t>
  </si>
  <si>
    <t>조합계약 하 직원</t>
  </si>
  <si>
    <t>员工平均数</t>
  </si>
  <si>
    <t>員工平均數</t>
  </si>
  <si>
    <t>Employés moyens</t>
  </si>
  <si>
    <t>Durchschnittliche Beschäftigtenzahl</t>
  </si>
  <si>
    <t>Media dipendenti</t>
  </si>
  <si>
    <t>期中平均従業員数</t>
  </si>
  <si>
    <t>Сотрудники в среднем</t>
  </si>
  <si>
    <t>Empleados promedio</t>
  </si>
  <si>
    <t>평균 직원</t>
  </si>
  <si>
    <t>临时/季节性员工</t>
  </si>
  <si>
    <t>臨時/季節性員工</t>
  </si>
  <si>
    <t>Employés temporaires/saisonniers</t>
  </si>
  <si>
    <t>Zeitmitarbeiter/Saisonkräfte</t>
  </si>
  <si>
    <t>Dipendenti temporanei/stagionali</t>
  </si>
  <si>
    <t>一時雇用の従業員数</t>
  </si>
  <si>
    <t>Временные/сезонные сотрудники</t>
  </si>
  <si>
    <t>Empleados temporales/de temporada</t>
  </si>
  <si>
    <t>임시/계절직 직원</t>
  </si>
  <si>
    <t>ADR持有者数量</t>
  </si>
  <si>
    <t>ADR持有者數量</t>
  </si>
  <si>
    <t>Nombre de détenteurs d'ADR</t>
  </si>
  <si>
    <t>Anzahl der ADR-Inhaber</t>
  </si>
  <si>
    <t>Numero di titolari ADR</t>
  </si>
  <si>
    <t>米国預託証券の保有者数</t>
  </si>
  <si>
    <t>Количество держателей АДР</t>
  </si>
  <si>
    <t>Número de titulares de ADR</t>
  </si>
  <si>
    <t>ADR 주주 수</t>
  </si>
  <si>
    <t>财务部短期债务，总计</t>
  </si>
  <si>
    <t>財務部短期債務，總計</t>
  </si>
  <si>
    <t>Division des finances : Dette à court terme, total</t>
  </si>
  <si>
    <t>Finanzabteilung, kurzfristige Verschuldung, Summe</t>
  </si>
  <si>
    <t>Debito a breve termine divisione finanza, totale</t>
  </si>
  <si>
    <t>金融部門に帰属する短期有利子負債</t>
  </si>
  <si>
    <t>Финансовый отдел: Краткосрочный долг, Всего</t>
  </si>
  <si>
    <t>División de Finanzas. Deuda a corto plazo, total</t>
  </si>
  <si>
    <t>금융분과 단기부채, 총계</t>
  </si>
  <si>
    <t>财务部长期债务，总计</t>
  </si>
  <si>
    <t>財務部長期債務，總計</t>
  </si>
  <si>
    <t>Division des finances : Dette à long terme, total</t>
  </si>
  <si>
    <t>Finanzabteilung, langfristige Verschuldung, Summe</t>
  </si>
  <si>
    <t>Debito a lungo termine divisione finanza, totale</t>
  </si>
  <si>
    <t>金融部門に帰属する長期有利子負債</t>
  </si>
  <si>
    <t>Финансовый отдел: Долгосрочный долг, Всего</t>
  </si>
  <si>
    <t>División de Finanzas. Deuda a Largo Plazo, Total</t>
  </si>
  <si>
    <t>금융분과 장기부채, 총계</t>
  </si>
  <si>
    <t>财务部债务，总计</t>
  </si>
  <si>
    <t>財務部債務，總計</t>
  </si>
  <si>
    <t>Division des finances : Dette Total</t>
  </si>
  <si>
    <t>Finanzabteilung, Verschuldung, Summe</t>
  </si>
  <si>
    <t>Debito divisione finanza, totale</t>
  </si>
  <si>
    <t>金融部門に帰属する有利子負債</t>
  </si>
  <si>
    <t>Финансовый отдел: Долг, Всего</t>
  </si>
  <si>
    <t>División de Finanzas, Deuda Total</t>
  </si>
  <si>
    <t>금융분과 부채, 총계</t>
  </si>
  <si>
    <t>财务部现金及等价物</t>
  </si>
  <si>
    <t>財務部現金及等價物</t>
  </si>
  <si>
    <t>Division des finances : Trésorerie et équivalents</t>
  </si>
  <si>
    <t>Finanzabteilung, Barmittel und Barmitteläquivalente</t>
  </si>
  <si>
    <t>Disponibilità liquide e mezzi equivalenti divisione finanza</t>
  </si>
  <si>
    <t>金融部門に帰属する現金及び現金同等物</t>
  </si>
  <si>
    <t>Финансовый отдел: Денежные средства и их эквиваленты</t>
  </si>
  <si>
    <t>División de Finanzas Efectivo y Equivalentes</t>
  </si>
  <si>
    <t>금융분과 현금 및 등가물</t>
  </si>
  <si>
    <t>财务部短期投资</t>
  </si>
  <si>
    <t>財務部短期投資</t>
  </si>
  <si>
    <t>Division des finances : Placements à court terme</t>
  </si>
  <si>
    <t>Finanzabteilung, kurzfristige Finanzanlagen</t>
  </si>
  <si>
    <t>Investimenti a breve termine divisione finanza</t>
  </si>
  <si>
    <t>金融部門に帰属する短期投資</t>
  </si>
  <si>
    <t>Финансовый отдел: Краткосрочные инвестиции</t>
  </si>
  <si>
    <t>División de Finanzas Inversiones a Corto Plazo</t>
  </si>
  <si>
    <t>금융분과 단기 투자</t>
  </si>
  <si>
    <t>无资金准备的项目收益责任的债务等值</t>
  </si>
  <si>
    <t>無資金準備的項目收益責任的債務等值</t>
  </si>
  <si>
    <t>Équivalent de la dette de l'obligation de prestations projetées non financées</t>
  </si>
  <si>
    <t>Verschuldungsäquivalent ungedeckter voraussichtlicher Leistungsverpflichtung</t>
  </si>
  <si>
    <t>Debito equiv. a PBO non finanziato</t>
  </si>
  <si>
    <t>未認識の退職給付債務の相当額</t>
  </si>
  <si>
    <t>Долговой эквивалент не обеспеченного финансированием обязательства по прогнозируемым выгодам</t>
  </si>
  <si>
    <t>Equivalente de deuda del proyecto no financiado. Obligación de beneficios</t>
  </si>
  <si>
    <t xml:space="preserve">일시 차입 예측급여채무의 부채 등가물 </t>
  </si>
  <si>
    <t>债务等效经营租赁</t>
  </si>
  <si>
    <t>債務等效經營租賃</t>
  </si>
  <si>
    <t>Leasing opérationnel équivalent à la dette</t>
  </si>
  <si>
    <t>Verschuldungsäquivalent, Operating-Leasing</t>
  </si>
  <si>
    <t>Debito equivalente locazioni operative</t>
  </si>
  <si>
    <t>賃貸借取引のリース債務期末相当額</t>
  </si>
  <si>
    <t>Долговой эквивалент операционной аренды</t>
  </si>
  <si>
    <t>Arrendamientos de operaciones equivalentes de deuda</t>
  </si>
  <si>
    <t>부채 등가물 운용리스</t>
  </si>
  <si>
    <t>借贷成本</t>
  </si>
  <si>
    <t>借貸成本</t>
  </si>
  <si>
    <t>Coût de l'emprunt</t>
  </si>
  <si>
    <t>Kosten der Darlehensaufnahme</t>
  </si>
  <si>
    <t>Costo del finanziamento</t>
  </si>
  <si>
    <t>借入金から発生した支払利息</t>
  </si>
  <si>
    <t>Стоимость заимствования</t>
  </si>
  <si>
    <t>Costo de los préstamos</t>
  </si>
  <si>
    <t>차입 비용</t>
  </si>
  <si>
    <t>限制性现金（非流动）</t>
  </si>
  <si>
    <t>限制性現金（非流動）</t>
  </si>
  <si>
    <t>Encaissement restreint (non courant)</t>
  </si>
  <si>
    <t>Gebundene Barmittel (nicht kurzfristig)</t>
  </si>
  <si>
    <t>Liquidità vincolata (non correnti)</t>
  </si>
  <si>
    <t>長期制限付預金</t>
  </si>
  <si>
    <t>Денежные средства с ограничениями (внеоборотные)</t>
  </si>
  <si>
    <t>Efectivo restringido (no corriente)</t>
  </si>
  <si>
    <t>특정 현금(비유동성)</t>
  </si>
  <si>
    <t>限制性现金总额</t>
  </si>
  <si>
    <t>限制性現金總額</t>
  </si>
  <si>
    <t>Total de l'encaisse restreinte</t>
  </si>
  <si>
    <t>Gebundene Barmittel, Summe</t>
  </si>
  <si>
    <t>Totale liquidità vincolata</t>
  </si>
  <si>
    <t>制限付預金合計</t>
  </si>
  <si>
    <t>Общая сумма ограниченных денежных средств</t>
  </si>
  <si>
    <t>Total de efectivo restringido</t>
  </si>
  <si>
    <t>총 특정 현금</t>
  </si>
  <si>
    <t>总债务（不包括财务部门债务）</t>
  </si>
  <si>
    <t>總債務（不包括財務部門債務）</t>
  </si>
  <si>
    <t>Dette totale (à l'exclusion de la Division des finances : Dette)</t>
  </si>
  <si>
    <t>Schuldensumme (ohne sonstige Finanzschulden)</t>
  </si>
  <si>
    <t>Debito totale (escl. debito div. fin.)</t>
  </si>
  <si>
    <t>有利子負債(金融部門に帰属する金額除く)</t>
  </si>
  <si>
    <t>Общий долг (без учета финансового отдела: долг)</t>
  </si>
  <si>
    <t>Deuda total (Excluyendo la deuda de la división financiera)</t>
  </si>
  <si>
    <t>총 부채(금융분과 부채 제외)</t>
  </si>
  <si>
    <t>订单积压</t>
  </si>
  <si>
    <t>訂單積壓</t>
  </si>
  <si>
    <t>Commande en attente</t>
  </si>
  <si>
    <t>Auftragsbestand</t>
  </si>
  <si>
    <t>Commesse ancora inevase</t>
  </si>
  <si>
    <t>受注残高</t>
  </si>
  <si>
    <t>Задержки с заказами</t>
  </si>
  <si>
    <t>Pedidos atrasados</t>
  </si>
  <si>
    <t>수주잔액</t>
  </si>
  <si>
    <t>或有负债</t>
  </si>
  <si>
    <t>或有負債</t>
  </si>
  <si>
    <t>Passifs éventuels</t>
  </si>
  <si>
    <t>Eventualverbindlichkeiten</t>
  </si>
  <si>
    <t>Sopravvenienze passive</t>
  </si>
  <si>
    <t>偶発債務</t>
  </si>
  <si>
    <t>Потенциальные обязательства</t>
  </si>
  <si>
    <t>Pasivos contingentes</t>
  </si>
  <si>
    <t>우발 채무</t>
  </si>
  <si>
    <t>保修负债</t>
  </si>
  <si>
    <t>保修負債</t>
  </si>
  <si>
    <t>Obligations de garantie</t>
  </si>
  <si>
    <t>Garantieverpflichtungen</t>
  </si>
  <si>
    <t>Passivo di garanzia</t>
  </si>
  <si>
    <t>保証債務</t>
  </si>
  <si>
    <t>Гарантийные обязательства</t>
  </si>
  <si>
    <t>Responsabilidades de la garantía</t>
  </si>
  <si>
    <t>보증충당부채</t>
  </si>
  <si>
    <t>短期借贷衍生品</t>
  </si>
  <si>
    <t>短期借貸衍生品</t>
  </si>
  <si>
    <t>Dérivés d'emprunt à court terme</t>
  </si>
  <si>
    <t>Kurzfristige Darlehensaufnahme, Derivate</t>
  </si>
  <si>
    <t>Derivati di prestiti a breve termine</t>
  </si>
  <si>
    <t>短期デリバティブ有利子負債</t>
  </si>
  <si>
    <t>Краткосрочные производные финансовые инструменты по займам</t>
  </si>
  <si>
    <t>Derivados de préstamos a corto plazo</t>
  </si>
  <si>
    <t>단기 차입 파생상품</t>
  </si>
  <si>
    <t>长期债务衍生工具的当前部分</t>
  </si>
  <si>
    <t>長期債務衍生工具的當前部分</t>
  </si>
  <si>
    <t>Port. actuel des produits dérivés de la dette à long terme</t>
  </si>
  <si>
    <t>Kurzfristiger Anteil langfristiger Schuldderivate</t>
  </si>
  <si>
    <t>Derivati port. corr. di titoli di debito a lungo term.</t>
  </si>
  <si>
    <t>一年以内償還予定のデリバティブ有利子負債</t>
  </si>
  <si>
    <t>Текущая часть долгосрочных долговых деривативов</t>
  </si>
  <si>
    <t>Porción Corriente - Derivados de deuda de largo plazo</t>
  </si>
  <si>
    <t>유동성 LT 부채 파생상품</t>
  </si>
  <si>
    <t>长期债务衍生品</t>
  </si>
  <si>
    <t>長期債務衍生品</t>
  </si>
  <si>
    <t>Dérivés de la dette à long terme</t>
  </si>
  <si>
    <t>Langfristige Schuldderivate</t>
  </si>
  <si>
    <t>Derivati di debiti a lungo termine</t>
  </si>
  <si>
    <t>長期デリバティブ有利子負債</t>
  </si>
  <si>
    <t>Долгосрочные долговые деривативы</t>
  </si>
  <si>
    <t>Derivados de la deuda a largo plazo</t>
  </si>
  <si>
    <t>장기 부채 파생상품</t>
  </si>
  <si>
    <t>流动衍生负债</t>
  </si>
  <si>
    <t>流動衍生負債</t>
  </si>
  <si>
    <t>Passifs dérivés courants</t>
  </si>
  <si>
    <t>Kurzfristige derivative Verbindlichkeiten</t>
  </si>
  <si>
    <t>Passività derivate correnti</t>
  </si>
  <si>
    <t>短期デリバティブ負債</t>
  </si>
  <si>
    <t>Текущие производные обязательства</t>
  </si>
  <si>
    <t>Pasivos Derivados Corrientes</t>
  </si>
  <si>
    <t>유동성 파생상품 채무</t>
  </si>
  <si>
    <t>非流动衍生负债</t>
  </si>
  <si>
    <t>非流動衍生負債</t>
  </si>
  <si>
    <t>Passifs dérivés non courants</t>
  </si>
  <si>
    <t>Langfristige derivative Verbindlichkeiten</t>
  </si>
  <si>
    <t>Passività derivate non correnti</t>
  </si>
  <si>
    <t>長期デリバティブ負債</t>
  </si>
  <si>
    <t>Долгосрочные производные обязательства</t>
  </si>
  <si>
    <t>Pasivos derivados No Corrientes</t>
  </si>
  <si>
    <t>비유동성 파생상품 채무</t>
  </si>
  <si>
    <t>衍生交易资产证券</t>
  </si>
  <si>
    <t>衍生交易資產證券</t>
  </si>
  <si>
    <t>Titres dérivés d'actifs de négociation</t>
  </si>
  <si>
    <t>Derivativer Handel mit besicherten Wertpapieren</t>
  </si>
  <si>
    <t>Titoli di negoziazione derivati</t>
  </si>
  <si>
    <t>短期デリバティブ・トレーディング資産</t>
  </si>
  <si>
    <t>Деривативные торговые активы</t>
  </si>
  <si>
    <t>Valores de activos negociables derivados</t>
  </si>
  <si>
    <t>파생 거래 자산 증권</t>
  </si>
  <si>
    <t>流动衍生资产</t>
  </si>
  <si>
    <t>流動衍生資產</t>
  </si>
  <si>
    <t>Actifs dérivés courants</t>
  </si>
  <si>
    <t>Kurzfristige derivative Vermögenswerte</t>
  </si>
  <si>
    <t>Attività derivate correnti</t>
  </si>
  <si>
    <t>短期デリバティブ資産</t>
  </si>
  <si>
    <t>Текущие производные активы</t>
  </si>
  <si>
    <t>Activos Derivados Corrientes</t>
  </si>
  <si>
    <t>유동성 파생 자산</t>
  </si>
  <si>
    <t>长期衍生资产</t>
  </si>
  <si>
    <t>長期衍生資產</t>
  </si>
  <si>
    <t>Actifs dérivés à long terme</t>
  </si>
  <si>
    <t>Langfristige derivative Vermögenswerte</t>
  </si>
  <si>
    <t>Attività derivate a lungo termine</t>
  </si>
  <si>
    <t>長期デリバティブ資産</t>
  </si>
  <si>
    <t>Долгосрочные производные активы</t>
  </si>
  <si>
    <t>Activos Derivados a largo plazo</t>
  </si>
  <si>
    <t>장기 파생 자산</t>
  </si>
  <si>
    <t>无形资产总额</t>
  </si>
  <si>
    <t>無形資產總額</t>
  </si>
  <si>
    <t>Immobilisations incorporelles brutes</t>
  </si>
  <si>
    <t>Immaterialvermögen, brutto</t>
  </si>
  <si>
    <t>Attività immateriali lorde</t>
  </si>
  <si>
    <t>無形固定資産(総額)</t>
  </si>
  <si>
    <t>Валовые нематериальные активы</t>
  </si>
  <si>
    <t>Activos Intangibles brutos</t>
  </si>
  <si>
    <t>无形资产累计摊销</t>
  </si>
  <si>
    <t>無形資產累計攤銷</t>
  </si>
  <si>
    <t>Amortissement cumulé des actifs incorporels</t>
  </si>
  <si>
    <t>Kumulierte Abschreibung immaterieller Vermögenswerte</t>
  </si>
  <si>
    <t>Ammortamenti accumulati attività immateriali</t>
  </si>
  <si>
    <t>無形固定資産の償却累計額</t>
  </si>
  <si>
    <t>Накопленная амортизация нематериальных активов</t>
  </si>
  <si>
    <t>Amortización acumulada de activos intangibles</t>
  </si>
  <si>
    <t>무형자산의 누적 상각비</t>
  </si>
  <si>
    <t>总商誉</t>
  </si>
  <si>
    <t>總商譽</t>
  </si>
  <si>
    <t>Fonds de commerce brut</t>
  </si>
  <si>
    <t>Ideeller Unternehmenswert, brutto</t>
  </si>
  <si>
    <t>Avviamento lordo</t>
  </si>
  <si>
    <t>のれん(総額)</t>
  </si>
  <si>
    <t>Валовая репутация</t>
  </si>
  <si>
    <t xml:space="preserve">Bienes de Uso- Brutos </t>
  </si>
  <si>
    <t>총 영업권</t>
  </si>
  <si>
    <t>商誉的累计摊销</t>
  </si>
  <si>
    <t>商譽的累計攤銷</t>
  </si>
  <si>
    <t>Amortissement cumulé du goodwill</t>
  </si>
  <si>
    <t>Kumulierte Abschreibung auf ideellen Unternehmenswert</t>
  </si>
  <si>
    <t>Ammortamenti accumulati avviamento</t>
  </si>
  <si>
    <t>のれんの償却累計額</t>
  </si>
  <si>
    <t>Накопленная амортизация гудвила</t>
  </si>
  <si>
    <t>Amortización acumulada de Bienes de Uso</t>
  </si>
  <si>
    <t>영업권 누적 상각비</t>
  </si>
  <si>
    <t>长期有价证券</t>
  </si>
  <si>
    <t>長期有價證券</t>
  </si>
  <si>
    <t>Titres négociables à long terme</t>
  </si>
  <si>
    <t>Langfristige marktgängige Wertpapiere</t>
  </si>
  <si>
    <t>Titoli negoziabili a lungo termine</t>
  </si>
  <si>
    <t>長期有価証券</t>
  </si>
  <si>
    <t>Долгосрочные рыночные ценные бумаги</t>
  </si>
  <si>
    <t>Valores negociables a largo plazo</t>
  </si>
  <si>
    <t>장기 유가증권</t>
  </si>
  <si>
    <t>耗材预付款</t>
  </si>
  <si>
    <t>耗材預付款</t>
  </si>
  <si>
    <t>Avances pour fournitures</t>
  </si>
  <si>
    <t>Vorschüsse für Lieferungen</t>
  </si>
  <si>
    <t>Anticipi per forniture</t>
  </si>
  <si>
    <t>サプライのための進歩</t>
  </si>
  <si>
    <t>Авансы за поставку</t>
  </si>
  <si>
    <t>Anticipos de suministros</t>
  </si>
  <si>
    <t>공급품에 대한 선불</t>
  </si>
  <si>
    <t>商誉和无形资产（净额）</t>
  </si>
  <si>
    <t>商譽和無形資產（淨額）</t>
  </si>
  <si>
    <t>Bonne volonté et actifs incorporels (net)</t>
  </si>
  <si>
    <t>Ideeller Unternehmenswert und Immaterialvermögen (netto)</t>
  </si>
  <si>
    <t>Avviamento e attività materiali (netto)</t>
  </si>
  <si>
    <t>のれんおよび無形資産（純額）</t>
  </si>
  <si>
    <t>Гудвилл и нематериальные активы (нетто)</t>
  </si>
  <si>
    <t>Bienes de Uso e intangibles (neto)</t>
  </si>
  <si>
    <t>영업권 및 무형자산(순)</t>
  </si>
  <si>
    <t>商誉（净额）</t>
  </si>
  <si>
    <t>商譽（淨額）</t>
  </si>
  <si>
    <t>Bonne volonté (Net)</t>
  </si>
  <si>
    <t>Ideeller Unternehmenswert (netto)</t>
  </si>
  <si>
    <t>Avviamento (netto)</t>
  </si>
  <si>
    <t>のれん（ネット）</t>
  </si>
  <si>
    <t>Гудвилл (нетто)</t>
  </si>
  <si>
    <t>Bienes de Uso (neto)</t>
  </si>
  <si>
    <t>영업권(순)</t>
  </si>
  <si>
    <t>无形资产（净额）</t>
  </si>
  <si>
    <t>無形資產（淨額）</t>
  </si>
  <si>
    <t>Actifs incorporels (Net)</t>
  </si>
  <si>
    <t>Immaterialvermögen (netto)</t>
  </si>
  <si>
    <t>Attività immateriali (netto)</t>
  </si>
  <si>
    <t>無形資産（純額）</t>
  </si>
  <si>
    <t>Нематериальные активы (нетто)</t>
  </si>
  <si>
    <t>Intangibles (Red)</t>
  </si>
  <si>
    <t>무형자산(순)</t>
  </si>
  <si>
    <t>公司间流动资产</t>
  </si>
  <si>
    <t>公司間流動資產</t>
  </si>
  <si>
    <t>Actifs courants interentreprises</t>
  </si>
  <si>
    <t>Konzerninternes Umlaufvermögen</t>
  </si>
  <si>
    <t>Attività correnti infragruppo</t>
  </si>
  <si>
    <t>会社間流動資産</t>
  </si>
  <si>
    <t>Внутрифирменные текущие активы</t>
  </si>
  <si>
    <t>Activos corrientes interempresariales</t>
  </si>
  <si>
    <t>회사 간 유동자산</t>
  </si>
  <si>
    <t>公司间非流动资产</t>
  </si>
  <si>
    <t>公司間非流動資產</t>
  </si>
  <si>
    <t>Actifs non courants interentreprises</t>
  </si>
  <si>
    <t>Konzerninternes Anlagevermögen</t>
  </si>
  <si>
    <t>Attività non correnti infragruppo</t>
  </si>
  <si>
    <t>会社間非流動資産</t>
  </si>
  <si>
    <t>Внутрифирменные внеоборотные активы</t>
  </si>
  <si>
    <t>Activos no corrientes interempresariales</t>
  </si>
  <si>
    <t>회사 간 비유동자산</t>
  </si>
  <si>
    <t>公司间流动负债</t>
  </si>
  <si>
    <t>公司間流動負債</t>
  </si>
  <si>
    <t>Passifs courants interentreprises</t>
  </si>
  <si>
    <t>Konzerninterne kurzfristige Verbindlichkeiten</t>
  </si>
  <si>
    <t>Passività correnti infragruppo</t>
  </si>
  <si>
    <t>会社間の流動負債</t>
  </si>
  <si>
    <t>Внутрифирменные текущие обязательства</t>
  </si>
  <si>
    <t>Pasivo corriente interempresariales</t>
  </si>
  <si>
    <t>회사 간 유동채무</t>
  </si>
  <si>
    <t>公司间非流动负债</t>
  </si>
  <si>
    <t>公司間非流動負債</t>
  </si>
  <si>
    <t>Passifs non courants interentreprises</t>
  </si>
  <si>
    <t>Konzerninterne nicht kurzfristige Verbindlichkeiten</t>
  </si>
  <si>
    <t>Passività non correnti infragruppo</t>
  </si>
  <si>
    <t>会社間非流動負債</t>
  </si>
  <si>
    <t>Внутрифирменные внеоборотные обязательства</t>
  </si>
  <si>
    <t>Pasivo no corriente interempresariales</t>
  </si>
  <si>
    <t>회사 간 비유동채무</t>
  </si>
  <si>
    <t xml:space="preserve">折旧及摊销(总和) </t>
  </si>
  <si>
    <t xml:space="preserve">折舊及攤銷(總和) </t>
  </si>
  <si>
    <t>Amortissements et dépréciations, Total</t>
  </si>
  <si>
    <t>Abschreibung, insgesamt</t>
  </si>
  <si>
    <t>Ammortamento e svalutazione, Totale</t>
  </si>
  <si>
    <t>Износ и амортизация, всего</t>
  </si>
  <si>
    <t>Total Depreciación y Amortización</t>
  </si>
  <si>
    <t>총 감가상각 및 상각비</t>
  </si>
  <si>
    <t>其他摊销</t>
  </si>
  <si>
    <t>其他攤銷</t>
  </si>
  <si>
    <t>Autres amortissements</t>
  </si>
  <si>
    <t>Sonstige Abschreibungen</t>
  </si>
  <si>
    <t>Altri accantonamenti</t>
  </si>
  <si>
    <t>その他償却費</t>
  </si>
  <si>
    <t>Другая амортизация</t>
  </si>
  <si>
    <t>Otras amortizaciones</t>
  </si>
  <si>
    <t>기타 상각비</t>
  </si>
  <si>
    <t>(Gain) perte résultant de la vente d'un actif</t>
  </si>
  <si>
    <t>(Gewinn) Verlust aus dem Verkauf von Vermögenswerten</t>
  </si>
  <si>
    <t>(Utile) Perdita su vendita di attività</t>
  </si>
  <si>
    <t>(Прибыль) Убыток от продажи активов</t>
  </si>
  <si>
    <t>(Ganancia) Pérdida por la venta de activos</t>
  </si>
  <si>
    <t>자산 매각을 통한 (이익) 손실</t>
  </si>
  <si>
    <t>(Gain) perte sur la vente de l'investissement.</t>
  </si>
  <si>
    <t>(Gewinn) Verlust aus dem Verkauf von Investments</t>
  </si>
  <si>
    <t>(Utile) Perdita su vendita di investim.</t>
  </si>
  <si>
    <t xml:space="preserve">(Прибыль) Убыток от продажи инвестиций </t>
  </si>
  <si>
    <t>(Ganancia) Pérdida en la venta de inversiones</t>
  </si>
  <si>
    <t>투자 매각의 (이익) 손실</t>
  </si>
  <si>
    <t>资产减值和重组费用</t>
  </si>
  <si>
    <t>資產減值和重組費用</t>
  </si>
  <si>
    <t>Dépréciation d'actifs et coûts de restructuration</t>
  </si>
  <si>
    <t>Abschreibung von Vermögenswerten und Sanierungskosten</t>
  </si>
  <si>
    <t>Svalutazione di attività e costi di ristrutturazione</t>
  </si>
  <si>
    <t>減損損失及び構造改革費用</t>
  </si>
  <si>
    <t>Расходы по уценке активов и реструктуризации</t>
  </si>
  <si>
    <t>Amortización de activos y costos de reestructuración</t>
  </si>
  <si>
    <t>자산 상계약 및 구조조정 비용</t>
  </si>
  <si>
    <t>发放/出售贷款的净（增加）减少</t>
  </si>
  <si>
    <t>發放/出售貸款的淨（增加）減少</t>
  </si>
  <si>
    <t>Réduction (augmentation) nette des prêts accordés/vendus</t>
  </si>
  <si>
    <t>Saldo der (Zunahme)/Abnahme der ursprünglichen/veräußerten Darlehen</t>
  </si>
  <si>
    <t>(Aumento)/Decremento netto dei crediti originati/venduti</t>
  </si>
  <si>
    <t>売却予定の営業貸付金の減少（増加）</t>
  </si>
  <si>
    <t>Чистое (Увеличение) / Уменьшение займов выданных /проданных</t>
  </si>
  <si>
    <t>Disminución (aumento) neto de los préstamos originados/vendidos</t>
  </si>
  <si>
    <t>생성/매도된 순 대출 (증가) 감소</t>
  </si>
  <si>
    <t>信贷损失准备金</t>
  </si>
  <si>
    <t>信貸損失準備金</t>
  </si>
  <si>
    <t>Provision pour pertes de crédit</t>
  </si>
  <si>
    <t>Rückstellung für Kreditverluste</t>
  </si>
  <si>
    <t>Fondo per perdite su crediti</t>
  </si>
  <si>
    <t>貸倒損失及び貸倒引当金の繰り入れ(金融業界のみ使用)</t>
  </si>
  <si>
    <t>Резерв на кредитные убытки</t>
  </si>
  <si>
    <t>Provisión para pérdidas de crédito</t>
  </si>
  <si>
    <t>신용 손실 충당금</t>
  </si>
  <si>
    <t>股权投资（收益）损失</t>
  </si>
  <si>
    <t>股權投資（收益）損失</t>
  </si>
  <si>
    <t>(Revenu) perte sur les investissements en capital</t>
  </si>
  <si>
    <t>(Ertrag) Verlust aus Aktieninvestitionen</t>
  </si>
  <si>
    <t>(Utile) Perdita su investimenti azionari</t>
  </si>
  <si>
    <t>(Доход) Убыток от вложений в акционерный капитал</t>
  </si>
  <si>
    <t>(Ingresos) Pérdida en inversiones de capital</t>
  </si>
  <si>
    <t>주식투자의 (수익) 손실</t>
  </si>
  <si>
    <t>股票期权的税收利益</t>
  </si>
  <si>
    <t>股票期權的稅收利益</t>
  </si>
  <si>
    <t>Avantage fiscal lié aux options d'achat d'actions</t>
  </si>
  <si>
    <t>Steuervergünstigung durch Aktienoptionen</t>
  </si>
  <si>
    <t>Benefici fiscali da opzioni su azioni</t>
  </si>
  <si>
    <t>株式報酬費用に掛かる税控除</t>
  </si>
  <si>
    <t>Налоговая льгота от опционов на приобретение акций</t>
  </si>
  <si>
    <t>Beneficio fiscal de las opciones de compra de acciones</t>
  </si>
  <si>
    <t>스톡옵션을 통한 세제혜택</t>
  </si>
  <si>
    <t>计提和冲销坏账</t>
  </si>
  <si>
    <t>計提和沖銷壞賬</t>
  </si>
  <si>
    <t>Provision et annulation des créances douteuses</t>
  </si>
  <si>
    <t>Rückstellung &amp; Abschreibung von uneinbringlichen Forderungen</t>
  </si>
  <si>
    <t>Accantonamenti e cancellazioni di debiti insoluti</t>
  </si>
  <si>
    <t>貸倒損失及び貸倒引当金の繰り入れ</t>
  </si>
  <si>
    <t>Резервирование и списание безнадежных долгов</t>
  </si>
  <si>
    <t>Provisión y cancelación de deudas incobrables</t>
  </si>
  <si>
    <t>대손충당금 및 대손상각</t>
  </si>
  <si>
    <t>终止经营项目净现金收入</t>
  </si>
  <si>
    <t>終止經營項目淨現金收入</t>
  </si>
  <si>
    <t>Liquidités nettes provenant des activités abandonnées</t>
  </si>
  <si>
    <t>Nettobarerlöse aus aufgegebenen Geschäftsbetrieben</t>
  </si>
  <si>
    <t>Liquidità netta da attività cessate</t>
  </si>
  <si>
    <t>非継続事業に掛かる純現金収入</t>
  </si>
  <si>
    <t>Чистая сумма денежных средств от прекращенной деятельности</t>
  </si>
  <si>
    <t>Efectivo neto de operaciones discontinuadas</t>
  </si>
  <si>
    <t>중단 영업의 순현금</t>
  </si>
  <si>
    <t>其他经营活动</t>
  </si>
  <si>
    <t>其他經營活動</t>
  </si>
  <si>
    <t>Autres activités opérationnelles</t>
  </si>
  <si>
    <t>Sonstige betriebliche Aktivitäten</t>
  </si>
  <si>
    <t>Altre attività operative</t>
  </si>
  <si>
    <t>その他営業活動によるキャッシュフロー</t>
  </si>
  <si>
    <t>Прочая операционная деятельность</t>
  </si>
  <si>
    <t>Otras actividades operativas</t>
  </si>
  <si>
    <t>기타 운영 활동</t>
  </si>
  <si>
    <t>交易资产证券变更</t>
  </si>
  <si>
    <t>交易資產證券變更</t>
  </si>
  <si>
    <t>Variation des titres d'actifs négociables</t>
  </si>
  <si>
    <t>Veränderung bei handelbaren Wertpapieranlagen</t>
  </si>
  <si>
    <t>Variazione in titoli di negoziazione</t>
  </si>
  <si>
    <t>有価証券の増減</t>
  </si>
  <si>
    <t>Изменение в ценных бумагах, используемых для торговли активами</t>
  </si>
  <si>
    <t xml:space="preserve">Cambio en los valores de los activos </t>
  </si>
  <si>
    <t>거래 자산 증권 변동</t>
  </si>
  <si>
    <t>应收账款变更</t>
  </si>
  <si>
    <t>應收賬款變更</t>
  </si>
  <si>
    <t>Variation du compte à recevoir</t>
  </si>
  <si>
    <t>Veränderung der Forderungen aus LL</t>
  </si>
  <si>
    <t>Variazione crediti</t>
  </si>
  <si>
    <t>売上債権の増減</t>
  </si>
  <si>
    <t>Изменение дебиторской задолженности</t>
  </si>
  <si>
    <t>Cambio en Cuentas por cobrar</t>
  </si>
  <si>
    <t>외상매출금 변동</t>
  </si>
  <si>
    <t>存货变更</t>
  </si>
  <si>
    <t>存貨變更</t>
  </si>
  <si>
    <t>Variation des stocks</t>
  </si>
  <si>
    <t>Bestandsveränderungen</t>
  </si>
  <si>
    <t>Variazione scorte</t>
  </si>
  <si>
    <t>棚卸資産の増減</t>
  </si>
  <si>
    <t>Изменение в запасах</t>
  </si>
  <si>
    <t>Cambio en los inventarios</t>
  </si>
  <si>
    <t>재고 변동</t>
  </si>
  <si>
    <t>应付帐款变更</t>
  </si>
  <si>
    <t>應付帳款變更</t>
  </si>
  <si>
    <t>Variation du compte à payer</t>
  </si>
  <si>
    <t>Veränderung der Verbindlichkeiten aus LL</t>
  </si>
  <si>
    <t>Variazione debiti</t>
  </si>
  <si>
    <t>仕入債務の増減</t>
  </si>
  <si>
    <t>Изменение кредиторской задолженности</t>
  </si>
  <si>
    <t>Cambio en Cuentas a pagar</t>
  </si>
  <si>
    <t>외상매입금 변동</t>
  </si>
  <si>
    <t>预收收入变更</t>
  </si>
  <si>
    <t>預收收入變更</t>
  </si>
  <si>
    <t>Variation des revenus non réalisés</t>
  </si>
  <si>
    <t>Veränderung der Prämienbestandteile für zukünftige Perioden</t>
  </si>
  <si>
    <t>Variazione ricavi non acquisiti</t>
  </si>
  <si>
    <t>前受収益の増減</t>
  </si>
  <si>
    <t>Изменение незаработанных доходов</t>
  </si>
  <si>
    <t>Cambio en los ingresos no devengados</t>
  </si>
  <si>
    <t>선수수익 변동</t>
  </si>
  <si>
    <t>所得税的变更</t>
  </si>
  <si>
    <t>所得稅的變更</t>
  </si>
  <si>
    <t>Variation de l'impôt sur le revenu</t>
  </si>
  <si>
    <t>Veränderung der angefallenen Steuern</t>
  </si>
  <si>
    <t>Variazione imposte sul redd.</t>
  </si>
  <si>
    <t>未払法人税等、及び未払費用の増減</t>
  </si>
  <si>
    <t>Изменение подоходного налога</t>
  </si>
  <si>
    <t>Cambio en Impuestos a las ganancias</t>
  </si>
  <si>
    <t>소득세 변경</t>
  </si>
  <si>
    <t>递延税项变更</t>
  </si>
  <si>
    <t>遞延稅項變更</t>
  </si>
  <si>
    <t>Variation des impôts différés</t>
  </si>
  <si>
    <t>Veränderung der latenten Steuern</t>
  </si>
  <si>
    <t>Variazione imposte differite</t>
  </si>
  <si>
    <t>繰延税金資産</t>
  </si>
  <si>
    <t>Изменение в отложенных налогах</t>
  </si>
  <si>
    <t>Cambio en Impuestos Diferidos</t>
  </si>
  <si>
    <t>이연법인세 변경</t>
  </si>
  <si>
    <t>其他净经营资产变更</t>
  </si>
  <si>
    <t>其他淨經營資產變更</t>
  </si>
  <si>
    <t>Variation des autres actifs nets d'exploitation</t>
  </si>
  <si>
    <t>Veränderung des sonstigen Nettobetriebsvermögens</t>
  </si>
  <si>
    <t>Variazione altre attività operative nette</t>
  </si>
  <si>
    <t>その他純営業資産の増減</t>
  </si>
  <si>
    <t>Изменение прочих чистых операционных активов</t>
  </si>
  <si>
    <t>Variación de otros activos operativos netos</t>
  </si>
  <si>
    <t>기타 순 운영 자산 변동</t>
  </si>
  <si>
    <t>经营活动产生的现金流量</t>
  </si>
  <si>
    <t>經營活動產生的現金流量</t>
  </si>
  <si>
    <t>Flux de trésorerie liés à l'exploitation</t>
  </si>
  <si>
    <t>Geldfluss aus Betriebstätigkeit</t>
  </si>
  <si>
    <t>Flusso finanziario dell’attività operative</t>
  </si>
  <si>
    <t>営業活動によるキャッシュフロー</t>
  </si>
  <si>
    <t>Денежные средства от операционной деятельности</t>
  </si>
  <si>
    <t>Efectivo generado de las operaciones</t>
  </si>
  <si>
    <t xml:space="preserve">영업활동 현금흐름 </t>
  </si>
  <si>
    <t>资本支出</t>
  </si>
  <si>
    <t>資本支出</t>
  </si>
  <si>
    <t>Dépense d'immobilisations</t>
  </si>
  <si>
    <t>Investitionen in Sachanlagen</t>
  </si>
  <si>
    <t>Spese in conto capitale</t>
  </si>
  <si>
    <t>有形固定資産の取得による支出</t>
  </si>
  <si>
    <t>Капитальные затраты</t>
  </si>
  <si>
    <t>Gastos de capital</t>
  </si>
  <si>
    <t>자본지출</t>
  </si>
  <si>
    <t>出售房产， 厂房及设备</t>
  </si>
  <si>
    <t>出售房產， 廠房及設備</t>
  </si>
  <si>
    <t>Vente de biens, d'installations et d'équipements</t>
  </si>
  <si>
    <t>Verkauf von Immobilien, Anlagen und Ausrüstungen</t>
  </si>
  <si>
    <t>Vendita di immobili, impianti e macchinari</t>
  </si>
  <si>
    <t>有形固定資産の売却による収入</t>
  </si>
  <si>
    <t>Продажа основных средств</t>
  </si>
  <si>
    <t>Venta de propiedad, planta y equipo</t>
  </si>
  <si>
    <t>유형자산 매도</t>
  </si>
  <si>
    <t>现金收购</t>
  </si>
  <si>
    <t>現金收購</t>
  </si>
  <si>
    <t>Acquisitions en espèces</t>
  </si>
  <si>
    <t>Bar-Akquisitionen</t>
  </si>
  <si>
    <t>Acquisizioni in contanti</t>
  </si>
  <si>
    <t>貸付金(借入金)に伴う純増減</t>
  </si>
  <si>
    <t>Приобретение наличными</t>
  </si>
  <si>
    <t>Adquisiciones en efectivo</t>
  </si>
  <si>
    <t>현금 인수</t>
  </si>
  <si>
    <t>资产剥离</t>
  </si>
  <si>
    <t>資產剝離</t>
  </si>
  <si>
    <t>Désinvestissements</t>
  </si>
  <si>
    <t>Veräußerungen</t>
  </si>
  <si>
    <t>Disinvestimenti</t>
  </si>
  <si>
    <t>構造改革に掛かる収入(支出)</t>
  </si>
  <si>
    <t>Продажа активов</t>
  </si>
  <si>
    <t>Desinversiones</t>
  </si>
  <si>
    <t>투자 철수</t>
  </si>
  <si>
    <t>出售/（购买）房地产</t>
  </si>
  <si>
    <t>出售/（購買）房地產</t>
  </si>
  <si>
    <t>Vente (achat) de biens immobiliers</t>
  </si>
  <si>
    <t>Verkauf (Kauf) von Immobilien</t>
  </si>
  <si>
    <t>Vendita (acquisto) di proprietà immobiliari</t>
  </si>
  <si>
    <t>不動産の売却/取得による収入（支出）</t>
  </si>
  <si>
    <t>Продажа (Покупка) объектов недвижимости</t>
  </si>
  <si>
    <t>Venta (compra) de propiedades inmobiliarias</t>
  </si>
  <si>
    <t>부동산 자산 매도(매입)</t>
  </si>
  <si>
    <t>出售/（购买）无形资产</t>
  </si>
  <si>
    <t>出售/（購買）無形資產</t>
  </si>
  <si>
    <t>Vente (achat) d'actifs incorporels</t>
  </si>
  <si>
    <t>Verkauf (Kauf) von immateriellen Vermögenswerten</t>
  </si>
  <si>
    <t>Vendita (acquisto) di attività immateriali</t>
  </si>
  <si>
    <t>無形固定資産の売却/取得による収入（支出）</t>
  </si>
  <si>
    <t>Продажа (Покупка) нематериальных активов</t>
  </si>
  <si>
    <t>Venta (compra) de activos intangibles</t>
  </si>
  <si>
    <t>무형자산 매도(매입)</t>
  </si>
  <si>
    <t>有价和股权证券投资</t>
  </si>
  <si>
    <t>有價和股權證券投資</t>
  </si>
  <si>
    <t>Investissements en titres négociables et en actions</t>
  </si>
  <si>
    <t>Investments in marktgängige Wertpapiere u. Aktienpapiere</t>
  </si>
  <si>
    <t>Investim. in titoli azionari e commerciab.</t>
  </si>
  <si>
    <t>有価証券の売却/取得による収入(支出)</t>
  </si>
  <si>
    <t>Инвестиции в рыночные и акционерные ценные бумаги</t>
  </si>
  <si>
    <t>Inversión en valores de marketing y capital</t>
  </si>
  <si>
    <t>시장성 유가증권 및 지분 증권 투자</t>
  </si>
  <si>
    <t>发放/出售的贷款净（增加）减少</t>
  </si>
  <si>
    <t>發放/出售的貸款淨（增加）減少</t>
  </si>
  <si>
    <t>Diminution (augmentation) nette des prêts accordés/vendus</t>
  </si>
  <si>
    <t>Netto (Inc.) Abschreibung auf originierte/veräußerte Darlehen</t>
  </si>
  <si>
    <t>Decr (incr.) netto crediti originati/venduti</t>
  </si>
  <si>
    <t>売却予定の営業貸付金の増減</t>
  </si>
  <si>
    <t>Чистое (Увеличение) Уменьшение выданных/проданных кредитов</t>
  </si>
  <si>
    <t>Aumento/Descenso Neto en Préstamos Originados/Vendidos</t>
  </si>
  <si>
    <t>其他投资活动</t>
  </si>
  <si>
    <t>其他投資活動</t>
  </si>
  <si>
    <t>Autres activités d'investissement</t>
  </si>
  <si>
    <t>Andere Investitionstätigkeiten</t>
  </si>
  <si>
    <t>Altre attività d'investimento</t>
  </si>
  <si>
    <t>その他投資活動によるキャッシュフロー</t>
  </si>
  <si>
    <t>Прочая инвестиционная деятельность</t>
  </si>
  <si>
    <t>Otras actividades de inversión</t>
  </si>
  <si>
    <t>기타 투자 활동</t>
  </si>
  <si>
    <t>投资活动产生的现金流量</t>
  </si>
  <si>
    <t>投資活動產生的現金流量</t>
  </si>
  <si>
    <t>Flux de trésorerie des activités d’investissement</t>
  </si>
  <si>
    <t>Zahlungsmittel aus Investitionstätigkeit</t>
  </si>
  <si>
    <t>Flusso finanziario dell'attività di investimento</t>
  </si>
  <si>
    <t>投資活動によるキャッシュフロー</t>
  </si>
  <si>
    <t>Денежные средства от инвестиционной деятельности</t>
  </si>
  <si>
    <t>Efectivo derivados de las actividades de inversión</t>
  </si>
  <si>
    <t>투자활동 현금흐름</t>
  </si>
  <si>
    <t>短期债务发行</t>
  </si>
  <si>
    <t>短期債務發行</t>
  </si>
  <si>
    <t>Dette à court terme émise</t>
  </si>
  <si>
    <t>Ausgegebene kurzfristige Anleihen</t>
  </si>
  <si>
    <t>Debito a breve termine emesso</t>
  </si>
  <si>
    <t>短期借入金の借入による収入</t>
  </si>
  <si>
    <t>Краткосрочные долговые обязательства, выпущенные</t>
  </si>
  <si>
    <t>Emisión de deuda a corto plazo</t>
  </si>
  <si>
    <t>발행 단기부채</t>
  </si>
  <si>
    <t>长期债务发行</t>
  </si>
  <si>
    <t>長期債務發行</t>
  </si>
  <si>
    <t>Dette à long terme émise</t>
  </si>
  <si>
    <t>Ausgegebene langfristige Anleihen</t>
  </si>
  <si>
    <t>Debito a lungo termine emesso</t>
  </si>
  <si>
    <t>長期借入金の借入による収入</t>
  </si>
  <si>
    <t>Долгосрочные долговые обязательства, выпущенные</t>
  </si>
  <si>
    <t>Emisión de deuda a largo plazo</t>
  </si>
  <si>
    <t>발행 장기부채</t>
  </si>
  <si>
    <t>已发行债务</t>
  </si>
  <si>
    <t>已發行債務</t>
  </si>
  <si>
    <t>Total de la dette émise</t>
  </si>
  <si>
    <t>Ausgegebene Schuldtitel insgesamt</t>
  </si>
  <si>
    <t>Totale debiti emessi</t>
  </si>
  <si>
    <t>有利子負債の借入による収入</t>
  </si>
  <si>
    <t>Всего выпущенных долговых обязательств</t>
  </si>
  <si>
    <t>Total de la deuda emitida</t>
  </si>
  <si>
    <t>총 발행 부채</t>
  </si>
  <si>
    <t>短期债务偿还</t>
  </si>
  <si>
    <t>短期債務償還</t>
  </si>
  <si>
    <t>Remboursement de la dette à court terme</t>
  </si>
  <si>
    <t>Zurückgezahlte kurzfristige Anleihen</t>
  </si>
  <si>
    <t>Debito rimborsato a breve termine</t>
  </si>
  <si>
    <t>短期借入金の返済による支出</t>
  </si>
  <si>
    <t>Краткосрочные долговые обязательства, погашенные</t>
  </si>
  <si>
    <t>Deuda a corto plazo Pagada</t>
  </si>
  <si>
    <t>상환 단기부채</t>
  </si>
  <si>
    <t>长期债务偿还</t>
  </si>
  <si>
    <t>長期債務償還</t>
  </si>
  <si>
    <t>Remboursement de la dette à long terme</t>
  </si>
  <si>
    <t>Zurückgezahlte langfristige Anleihen</t>
  </si>
  <si>
    <t>Debito a lungo termine rimborsato</t>
  </si>
  <si>
    <t>長期借入金の返済による支出</t>
  </si>
  <si>
    <t>Долгосрочные долговые обязательства, погашенные</t>
  </si>
  <si>
    <t>Deuda a largo plazo Pagada</t>
  </si>
  <si>
    <t>상환 장기부채</t>
  </si>
  <si>
    <t>巳偿还债务</t>
  </si>
  <si>
    <t>巳償還債務</t>
  </si>
  <si>
    <t>Total de la dette remboursé</t>
  </si>
  <si>
    <t>Zurückgezahlten Schulden insgesamt</t>
  </si>
  <si>
    <t>Totale debiti estinti</t>
  </si>
  <si>
    <t>有利子負債の返済による支出</t>
  </si>
  <si>
    <t>Всего погашенных долговых обязательств</t>
  </si>
  <si>
    <t>Total de la deuda cancelada</t>
  </si>
  <si>
    <t>총 상환 부채</t>
  </si>
  <si>
    <t>普通股发行</t>
  </si>
  <si>
    <t>普通股發行</t>
  </si>
  <si>
    <t>Émission d'actions ordinaires</t>
  </si>
  <si>
    <t>Ausgabe von Stammaktien</t>
  </si>
  <si>
    <t>Emissione di azioni ordinarie</t>
  </si>
  <si>
    <t>普通株式の発行による収入</t>
  </si>
  <si>
    <t>Выпуск обыкновенных акций</t>
  </si>
  <si>
    <t>Emisión de Acciones Comunes</t>
  </si>
  <si>
    <t>보통주 발행</t>
  </si>
  <si>
    <t>普通股回购</t>
  </si>
  <si>
    <t>普通股回購</t>
  </si>
  <si>
    <t>Rachat d'actions ordinaires</t>
  </si>
  <si>
    <t>Rückkauf von Stammaktien</t>
  </si>
  <si>
    <t>Riacquisto di azioni ordinarie</t>
  </si>
  <si>
    <t>普通株式の買戻による支出</t>
  </si>
  <si>
    <t>Выкуп обыкновенных акций</t>
  </si>
  <si>
    <t>Recompra de acciones comunes</t>
  </si>
  <si>
    <t>보통주 재매입</t>
  </si>
  <si>
    <t>优先股发行</t>
  </si>
  <si>
    <t>優先股發行</t>
  </si>
  <si>
    <t>Emission de Preférénce Stock</t>
  </si>
  <si>
    <t>Ausgabe von Vorzugsaktien</t>
  </si>
  <si>
    <t>Emissione di azioni privilegiate</t>
  </si>
  <si>
    <t>優先株式の発行による収入</t>
  </si>
  <si>
    <t>Выпуск привилегированных акций</t>
  </si>
  <si>
    <t>Emisión de acciones preferentes</t>
  </si>
  <si>
    <t>우선주 발행</t>
  </si>
  <si>
    <t>优先股回购</t>
  </si>
  <si>
    <t>優先股回購</t>
  </si>
  <si>
    <t>Rachat des actions de préférence</t>
  </si>
  <si>
    <t>Rückkauf von Vorzugsaktien</t>
  </si>
  <si>
    <t>Riacquisto di azioni privilegiate</t>
  </si>
  <si>
    <t>優先株式の買戻による支出</t>
  </si>
  <si>
    <t>Выкуп привилегированных акций</t>
  </si>
  <si>
    <t>Recompra de acciones preferentes</t>
  </si>
  <si>
    <t>우선주 재매입</t>
  </si>
  <si>
    <t>普通股息支付</t>
  </si>
  <si>
    <t>Dividendes communs versés</t>
  </si>
  <si>
    <t>Auf Stammmaktien gezahlte Dividenden</t>
  </si>
  <si>
    <t>Dividendi ordinari pagati</t>
  </si>
  <si>
    <t>普通株式にかかる配当金による支出</t>
  </si>
  <si>
    <t>Выплаченные дивиденды по обыкновенным акциям</t>
  </si>
  <si>
    <t>Dividendos comunes pagados</t>
  </si>
  <si>
    <t>지급 보통 배당금</t>
  </si>
  <si>
    <t>优先股息支付</t>
  </si>
  <si>
    <t>優先股息支付</t>
  </si>
  <si>
    <t>Dividendes privilégiés versés</t>
  </si>
  <si>
    <t>Gezahlte Vorzugsdividenden</t>
  </si>
  <si>
    <t>Dividendi preferiti pagati</t>
  </si>
  <si>
    <t>優先株式にかかる配当金による支出</t>
  </si>
  <si>
    <t>Выплаченные дивиденды по привилегированным акциям</t>
  </si>
  <si>
    <t>Dividendos preferidos pagados</t>
  </si>
  <si>
    <t>지급 선호 배당금</t>
  </si>
  <si>
    <t>普通股和/或优先股股息支付</t>
  </si>
  <si>
    <t>普通股和/或優先股股息支付</t>
  </si>
  <si>
    <t>Dividendes versés sur les actions ordinaires et/ou privilégiées</t>
  </si>
  <si>
    <t>Gezahlte Stamm- bzw. Vorzugsdividenden</t>
  </si>
  <si>
    <t>Dividendi ordinari e/o privilegiati pagati</t>
  </si>
  <si>
    <t>支払われる普通株および/または優先株の配当</t>
  </si>
  <si>
    <t>Выплаченные дивиденды по обыкновенным и/или привилегированным акциям</t>
  </si>
  <si>
    <t>Dividendos de acciones ordinarias y/o preferidas pagadas</t>
  </si>
  <si>
    <t>지급 보통주 및/또는 우선주 배당금</t>
  </si>
  <si>
    <t>总股息</t>
  </si>
  <si>
    <t>總股息</t>
  </si>
  <si>
    <t>Total dividendes versés</t>
  </si>
  <si>
    <t>Gezahlte dividenden insgesamt</t>
  </si>
  <si>
    <t>Totale dividendi pagati</t>
  </si>
  <si>
    <t>配当金による支出</t>
  </si>
  <si>
    <t>Всего выплачено дивидендов</t>
  </si>
  <si>
    <t>Dividendos totales pagados</t>
  </si>
  <si>
    <t xml:space="preserve">배당금의 지급 </t>
  </si>
  <si>
    <t>已付特别股息</t>
  </si>
  <si>
    <t>已付特別股息</t>
  </si>
  <si>
    <t>Dividende spécial payé</t>
  </si>
  <si>
    <t>Gezahlte Sonderdividenden</t>
  </si>
  <si>
    <t>Dividendi straordinari pagati</t>
  </si>
  <si>
    <t>特別配当金による支出</t>
  </si>
  <si>
    <t>Специальный дивиденд, выплаченный</t>
  </si>
  <si>
    <t>Dividendo especial pagado</t>
  </si>
  <si>
    <t>지급 특별 배당금</t>
  </si>
  <si>
    <t>其他筹资活动</t>
  </si>
  <si>
    <t>其他籌資活動</t>
  </si>
  <si>
    <t>Autres activités de financement</t>
  </si>
  <si>
    <t>Andere Finanzierungsaktivitäten</t>
  </si>
  <si>
    <t>Altre attività di finanziamento</t>
  </si>
  <si>
    <t>その他財務活動によるキャッシュフロー</t>
  </si>
  <si>
    <t>Прочая финансовая деятельность</t>
  </si>
  <si>
    <t>Otras actividades de financiación</t>
  </si>
  <si>
    <t>기타 재무 활동</t>
  </si>
  <si>
    <t>筹资活动产生的现金流量</t>
  </si>
  <si>
    <t>籌資活動產生的現金流量</t>
  </si>
  <si>
    <t>Flux de trésorerie des activités de financement</t>
  </si>
  <si>
    <t>Zahlungsmittel aus Finanzierungstätigkeit</t>
  </si>
  <si>
    <t>Flusso finanziario dell’attività finanziaria</t>
  </si>
  <si>
    <t>財務活動によるキャッシュフロー</t>
  </si>
  <si>
    <t>Денежные средства от финансовой деятельности</t>
  </si>
  <si>
    <t>Efectivo derivados de las actividades de financiación</t>
  </si>
  <si>
    <t>재무활동 현금흐름</t>
  </si>
  <si>
    <t>外汇汇率调整</t>
  </si>
  <si>
    <t>外匯匯率調整</t>
  </si>
  <si>
    <t>Ajustements des taux de change</t>
  </si>
  <si>
    <t>Wechselkursanpassungen</t>
  </si>
  <si>
    <t>Rettifiche tasso di cambio</t>
  </si>
  <si>
    <t>現金及び現金同等物に係る換算差額</t>
  </si>
  <si>
    <t>Корректировки ставок обменного курса</t>
  </si>
  <si>
    <t>Ajustes de los tipos de cambio</t>
  </si>
  <si>
    <t>환율 조정</t>
  </si>
  <si>
    <t>杂项现金流量调整</t>
  </si>
  <si>
    <t>雜項現金流量調整</t>
  </si>
  <si>
    <t>Ajustements divers des flux de trésorerie</t>
  </si>
  <si>
    <t>Sonstige Cashflow-Anpassungen</t>
  </si>
  <si>
    <t>Varie rettifiche flussi di cassa</t>
  </si>
  <si>
    <t>その他のキャッシュフロー調整</t>
  </si>
  <si>
    <t>Прочие корректировки денежных потоков</t>
  </si>
  <si>
    <t>Miscelaneos Ajustes del flujo de efectivo</t>
  </si>
  <si>
    <t>기타 현금흐름 조정</t>
  </si>
  <si>
    <t>净现金变化</t>
  </si>
  <si>
    <t>淨現金變化</t>
  </si>
  <si>
    <t>Variation nette de la trésorerie</t>
  </si>
  <si>
    <t>Nettoveränderung in Bargeld</t>
  </si>
  <si>
    <t>Variazione netta di cassa</t>
  </si>
  <si>
    <t>現金の増減</t>
  </si>
  <si>
    <t>Чистое изменение денежных средств</t>
  </si>
  <si>
    <t>Cambio neto en el efectivo</t>
  </si>
  <si>
    <t>현금의 증감</t>
  </si>
  <si>
    <t>部分现金流量的折旧和摊销说明</t>
  </si>
  <si>
    <t>部分現金流量的折舊和攤銷說明</t>
  </si>
  <si>
    <t>Notes sur l'amortissement et la dépréciation des flux de trésorerie partiels</t>
  </si>
  <si>
    <t>Abschreibungen auf materielles und immaterielles Vermögen – Wechsel für Teil-CF</t>
  </si>
  <si>
    <t>Titoli di ammortamento e accantonamento per CF parziale</t>
  </si>
  <si>
    <t>減価償却費及びのれんの償却額(注記)</t>
  </si>
  <si>
    <t>Износ и амортизация Векселя для частичного денежного потока</t>
  </si>
  <si>
    <t>Notas de depreciación y amortización para el Flujo de fondos parcial</t>
  </si>
  <si>
    <t>부분 CF에 대한 어음 감가상각 및 상각비</t>
  </si>
  <si>
    <t>部分现金流量的商誉票据摊销</t>
  </si>
  <si>
    <t>部分現金流量的商譽票據攤銷</t>
  </si>
  <si>
    <t>Amortissement des billets de trésorerie pour les flux de trésorerie partiels</t>
  </si>
  <si>
    <t>Abschreibung auf ideellen Unternehmenswert – Anmerkungen für Teil-CF</t>
  </si>
  <si>
    <t>Accantonamento titoli avviamento per CF parziale</t>
  </si>
  <si>
    <t>のれんの償却額(注記)</t>
  </si>
  <si>
    <t>Амортизация гудвилл - для частичного денежного потока</t>
  </si>
  <si>
    <t>Amortización de las notas de bienes de uso para el flujo de fondos  parcial</t>
  </si>
  <si>
    <t>부분 CF에 대한 영업권 어음 상각비</t>
  </si>
  <si>
    <t>折旧（来自注释）</t>
  </si>
  <si>
    <t>折舊（來自註釋）</t>
  </si>
  <si>
    <t>Dépréciation (des Notes)</t>
  </si>
  <si>
    <t>Abschreibungen (aus Wechseln)</t>
  </si>
  <si>
    <t>Ammortamento (da Titoli)</t>
  </si>
  <si>
    <t>減価償却費(注記)</t>
  </si>
  <si>
    <t>Амортизация (из примечаний)</t>
  </si>
  <si>
    <t>Depreciación (de las notas)</t>
  </si>
  <si>
    <t>감가상각(어음에서)</t>
  </si>
  <si>
    <t>使用权资产折旧</t>
  </si>
  <si>
    <t>使用權資產折舊</t>
  </si>
  <si>
    <t>Amortissement sur les actifs du droit d'utilisation</t>
  </si>
  <si>
    <t>Abschreibung von Vermögen aus Nutzungsrechten</t>
  </si>
  <si>
    <t>Ammortamento diritto utilizzo attività</t>
  </si>
  <si>
    <t>使用権資産の減価償却費</t>
  </si>
  <si>
    <t>Амортизация на право использования активов</t>
  </si>
  <si>
    <t>Depreciación de los bienes con derecho de uso</t>
  </si>
  <si>
    <t>사용권 자산 감가상각</t>
  </si>
  <si>
    <t>折旧及摊销-现金流量，不包括经营租赁</t>
  </si>
  <si>
    <t>折舊及攤銷-現金流量，不包括經營租賃</t>
  </si>
  <si>
    <t>Amortissement et dépréciation - Flux de trésorerie, à l'exclusion des contrats de leasing opérationnel</t>
  </si>
  <si>
    <t>Abschreibungen auf materielles und immaterielles Vermögen – CF, ohne Operating-Leasing</t>
  </si>
  <si>
    <t>Ammortamenti e accantonamenti - CF, escl. locazioni operative</t>
  </si>
  <si>
    <t>減価償却費 - キャッシュフロー(オペレーティングリース除く)</t>
  </si>
  <si>
    <t>Износ и амортизация - Денежный поток, исключая операционную аренду</t>
  </si>
  <si>
    <t>Depreciación y Amortización - Flujo de fondos, Excluyendo Arrendamientos Operativos</t>
  </si>
  <si>
    <t>감가상각 및 상각비 - CF, 운영리스 제외</t>
  </si>
  <si>
    <t>折旧及摊销，总计，不包括经营租赁</t>
  </si>
  <si>
    <t>折舊及攤銷，總計，不包括經營租賃</t>
  </si>
  <si>
    <t>Dépréciation et Amort. total, à l'exclusion des contrats de leasing opérationnel</t>
  </si>
  <si>
    <t>Abschreibungen auf materielles und immaterielles Vermögen – Summe, ohne Operating-Leasing</t>
  </si>
  <si>
    <t>Ammortamenti e accantonamenti, totale escl. locazioni operative</t>
  </si>
  <si>
    <t>総減価償却費(オペレーティングリース除く)</t>
  </si>
  <si>
    <t>Износ и амортизация, Итого, исключая операционную аренду</t>
  </si>
  <si>
    <t>Depreciación y amortización, total, excluyendo los arrendamientos operativos</t>
  </si>
  <si>
    <t>감가상각 및 상각비, 총계, 운영리스 제외</t>
  </si>
  <si>
    <t>债务发行成本的摊销</t>
  </si>
  <si>
    <t>債務發行成本的攤銷</t>
  </si>
  <si>
    <t>Amortissement des frais d'émission de la dette</t>
  </si>
  <si>
    <t>Abschreibung der Kosten für die Ausgabe von Anleihen</t>
  </si>
  <si>
    <t>Accantonamenti costi emissione debito</t>
  </si>
  <si>
    <t>債券発行費用償却額</t>
  </si>
  <si>
    <t>Амортизация затрат на выпуск долговых обязательств</t>
  </si>
  <si>
    <t>Amortización de los costos de emisión de deuda</t>
  </si>
  <si>
    <t>부채 발행 비용의 상각비</t>
  </si>
  <si>
    <t>软件资产摊销</t>
  </si>
  <si>
    <t>軟件資產攤銷</t>
  </si>
  <si>
    <t>Amortissement des actifs logiciels</t>
  </si>
  <si>
    <t>Abschreibung von Softwarevermögen</t>
  </si>
  <si>
    <t>Accantonamenti attività software</t>
  </si>
  <si>
    <t>ソフトウェア償却額</t>
  </si>
  <si>
    <t>Амортизация активов программного обеспечения</t>
  </si>
  <si>
    <t>Amortización de los activos de software</t>
  </si>
  <si>
    <t>소프트웨어 자산 상각비</t>
  </si>
  <si>
    <t>租赁资产的销售收益</t>
  </si>
  <si>
    <t>租賃資產的銷售收益</t>
  </si>
  <si>
    <t>Produit de la vente de biens locatifs</t>
  </si>
  <si>
    <t>Verkaufserlöse aus Mietvermögen</t>
  </si>
  <si>
    <t>Proventi vendite da attività di noleggio</t>
  </si>
  <si>
    <t>リース資産の売却収入</t>
  </si>
  <si>
    <t>Поступления от продажи арендованного имущества</t>
  </si>
  <si>
    <t>El producto de la venta de los activos de alquiler</t>
  </si>
  <si>
    <t>임대 자산을 통한 매출액</t>
  </si>
  <si>
    <t>已支付现金利息</t>
  </si>
  <si>
    <t>已支付現金利息</t>
  </si>
  <si>
    <t>Intérêts en espèces versés</t>
  </si>
  <si>
    <t>Gezahlte Zinsen in Bargeld</t>
  </si>
  <si>
    <t>Interessi monetari pagati</t>
  </si>
  <si>
    <t>支払現金利息</t>
  </si>
  <si>
    <t>Проценты выплаченные наличными денежными средствами</t>
  </si>
  <si>
    <t>Intereses pagados en efectivo</t>
  </si>
  <si>
    <t xml:space="preserve">이자비용 현금지급액 </t>
  </si>
  <si>
    <t>已付现金利息扣除已付利息</t>
  </si>
  <si>
    <t>已付現金利息扣除已付利息</t>
  </si>
  <si>
    <t>Intérêts payés en espèces nets des intérêts reçus</t>
  </si>
  <si>
    <t>Gezahlte Barzinsen abzüglich erhaltener Zinsen</t>
  </si>
  <si>
    <t>Interessi in contanti pagati al netto degli interessi attivi</t>
  </si>
  <si>
    <t>支払利息の現金支出額</t>
  </si>
  <si>
    <t>Проценты уплаченные наличными за вычетом процентов полученных</t>
  </si>
  <si>
    <t>Interés en efectivo pagado neto de interés recibido</t>
  </si>
  <si>
    <t>지불된 현금 이자 순 수취이자</t>
  </si>
  <si>
    <t>现金股利和收到的利息</t>
  </si>
  <si>
    <t>現金股利和收到的利息</t>
  </si>
  <si>
    <t>Dividendes et intérêts reçus en espèces</t>
  </si>
  <si>
    <t>Erhaltene Bardividenden und Zinsen</t>
  </si>
  <si>
    <t>Dividendo in contanti e interessi attivi</t>
  </si>
  <si>
    <t>受取利息・受取配当金の収入額</t>
  </si>
  <si>
    <t>Денежные дивиденды и проценты полученные</t>
  </si>
  <si>
    <t>Dividendos en efectivo e intereses recibidos</t>
  </si>
  <si>
    <t>현금 배당금 및 수취이자</t>
  </si>
  <si>
    <t>已付现金利息-经营活动</t>
  </si>
  <si>
    <t>已付現金利息-經營活動</t>
  </si>
  <si>
    <t>Intérêts payés en espèces - Activités de exploitation</t>
  </si>
  <si>
    <t>Bar gezahlte Zinsen – Betriebstätigkeit</t>
  </si>
  <si>
    <t>Interessi in contanti pagati - Attività operative</t>
  </si>
  <si>
    <t>支払利息の現金支出額(営業活動に帰属分)</t>
  </si>
  <si>
    <t>Денежные проценты уплаченные - Операционная деятельность</t>
  </si>
  <si>
    <t>Intereses pagados en efectivo - Actividades operativas</t>
  </si>
  <si>
    <t>지불된 현금 이자 - 운영 활동</t>
  </si>
  <si>
    <t>已付现金利息-投资活动</t>
  </si>
  <si>
    <t>已付現金利息-投資活動</t>
  </si>
  <si>
    <t>Intérêts payés en espèces - Activités d'investissement</t>
  </si>
  <si>
    <t>Bar gezahlte Zinsen – Investitionstätigkeit</t>
  </si>
  <si>
    <t>Interessi in contanti pagati - Attività d'investimento</t>
  </si>
  <si>
    <t>支払利息の現金支出額(投資活動に帰属分)</t>
  </si>
  <si>
    <t>Денежные проценты уплаченные - Инвестиционная деятельность</t>
  </si>
  <si>
    <t>Intereses pagados en efectivo - Actividades de inversión</t>
  </si>
  <si>
    <t>지불된 현금 이자 - 투자 활동</t>
  </si>
  <si>
    <t>已付现金利息-融资活动</t>
  </si>
  <si>
    <t>已付現金利息-融資活動</t>
  </si>
  <si>
    <t>Intérêts payés en espèces - Activités de financement</t>
  </si>
  <si>
    <t>Bar gezahlte Zinsen – Finanzierungstätigkeit</t>
  </si>
  <si>
    <t>Interessi in contanti pagati - Attività di finanziamento</t>
  </si>
  <si>
    <t>支払利息の現金支出額(財務活動に帰属分)</t>
  </si>
  <si>
    <t>Денежные проценты уплаченные - Финансовая деятельность</t>
  </si>
  <si>
    <t>Intereses pagados en efectivo - Actividades de financiación</t>
  </si>
  <si>
    <t>지불된 현금 이자 - 재무 활동</t>
  </si>
  <si>
    <t>已支付现金税项</t>
  </si>
  <si>
    <t>已支付現金稅項</t>
  </si>
  <si>
    <t>Impôts en espèces payés</t>
  </si>
  <si>
    <t>Gezahlte Steuern in Bargeld</t>
  </si>
  <si>
    <t>Imposte di cassa pagate</t>
  </si>
  <si>
    <t>支払現金税金</t>
  </si>
  <si>
    <t>Налоги оплаченные наличными денежными средствами</t>
  </si>
  <si>
    <t xml:space="preserve">Impuestos pagados en efectivo </t>
  </si>
  <si>
    <t xml:space="preserve">법인세 현금 납부액 </t>
  </si>
  <si>
    <t>已付现金税-经营活动</t>
  </si>
  <si>
    <t>已付現金稅-經營活動</t>
  </si>
  <si>
    <t>Impôts payés en espèces - Activités d'exploitation</t>
  </si>
  <si>
    <t>Bar gezahlte Steuern – Betriebstätigkeit</t>
  </si>
  <si>
    <t>Imposte in contanti pagate - Attività operative</t>
  </si>
  <si>
    <t>法人税等の現金支出額(営業活動に帰属分)</t>
  </si>
  <si>
    <t>Денежные налоги уплаченные - операционная деятельность</t>
  </si>
  <si>
    <t>Impuestos pagados en efectivo - Actividades operativas</t>
  </si>
  <si>
    <t>지불된 현금 세금 - 운영 활동</t>
  </si>
  <si>
    <t>已付现金税-投资活动</t>
  </si>
  <si>
    <t>已付現金稅-投資活動</t>
  </si>
  <si>
    <t>Impôts payés en espèces - Activités d'investissement</t>
  </si>
  <si>
    <t>Bar gezahlte Steuern – Investitionstätigkeit</t>
  </si>
  <si>
    <t>Imposte in contanti pagate - Attività d'investimento</t>
  </si>
  <si>
    <t>法人税等の現金支出額(投資活動に帰属分)</t>
  </si>
  <si>
    <t>Денежные налоги уплаченные - Инвестиционная деятельность</t>
  </si>
  <si>
    <t>Impuestos pagados en efectivo - Actividades de inversión</t>
  </si>
  <si>
    <t>지불된 현금 세금 - 투자 활동</t>
  </si>
  <si>
    <t>已付现金税-筹资活动</t>
  </si>
  <si>
    <t>已付現金稅-籌資活動</t>
  </si>
  <si>
    <t>Impôts payés en espèces - Activités de financement</t>
  </si>
  <si>
    <t>Bar gezahlte Steuern – Finanzierungstätigkeit</t>
  </si>
  <si>
    <t>Imposte in contanti pagate - Attività di finanziamento</t>
  </si>
  <si>
    <t>法人税等の現金支出額(財務活動に帰属分)</t>
  </si>
  <si>
    <t>Денежные налоги уплаченные - Финансовая деятельность</t>
  </si>
  <si>
    <t>Impuestos pagados en efectivo - Actividades de financiación</t>
  </si>
  <si>
    <t>지불된 현금 세금 - 재무 활동</t>
  </si>
  <si>
    <t>递延所得税，总计</t>
  </si>
  <si>
    <t>遞延所得稅，總計</t>
  </si>
  <si>
    <t>Impôts différés sur le revenu, total</t>
  </si>
  <si>
    <t>Latente Ertragssteuern, Summe</t>
  </si>
  <si>
    <t>Imposte sul reddito differite, totale</t>
  </si>
  <si>
    <t>繰延法人税総額</t>
  </si>
  <si>
    <t>Отложенные налоги на прибыль, всего</t>
  </si>
  <si>
    <t>Impuestos sobre la renta diferidos, total</t>
  </si>
  <si>
    <t>이연법인세, 총계</t>
  </si>
  <si>
    <t>净营运资金变动</t>
  </si>
  <si>
    <t>淨營運資金變動</t>
  </si>
  <si>
    <t>Variation du fonds de roulement net</t>
  </si>
  <si>
    <t>Veränderung des Nettoumlaufvermögens</t>
  </si>
  <si>
    <t>Variazione capitale circolante netto</t>
  </si>
  <si>
    <t>純運転資本の増減額</t>
  </si>
  <si>
    <t>Изменение чистого оборотного капитала</t>
  </si>
  <si>
    <t>Variación del capital de trabajo neto</t>
  </si>
  <si>
    <t>순운영자본 변동</t>
  </si>
  <si>
    <t>每股现金流量</t>
  </si>
  <si>
    <t>每股現金流量</t>
  </si>
  <si>
    <t>Flux de trésorerie par action</t>
  </si>
  <si>
    <t>Cashflow pro Aktie</t>
  </si>
  <si>
    <t>一株当たりキャッシュフロー</t>
  </si>
  <si>
    <t>Денежный поток на акцию</t>
  </si>
  <si>
    <t>Flujo de efectivo por acción</t>
  </si>
  <si>
    <t>주당 현금 흐름</t>
  </si>
  <si>
    <t>已发行净债务</t>
  </si>
  <si>
    <t>已發行淨債務</t>
  </si>
  <si>
    <t>Dette nette émise</t>
  </si>
  <si>
    <t>Nettoneuverschuldung</t>
  </si>
  <si>
    <t>Debito netto emesso</t>
  </si>
  <si>
    <t>負債の発行の純増減</t>
  </si>
  <si>
    <t>Выпущенный чистый долг</t>
  </si>
  <si>
    <t>Deuda neta emitida</t>
  </si>
  <si>
    <t>순 발행 부채</t>
  </si>
  <si>
    <t>维修资本支出</t>
  </si>
  <si>
    <t>維修資本支出</t>
  </si>
  <si>
    <t>CAPEX für Instandhaltung</t>
  </si>
  <si>
    <t>Manutenzione CAPEX</t>
  </si>
  <si>
    <t>メンテナンス設備投資額（修繕費支出）</t>
  </si>
  <si>
    <t>Капитальные расходы на содержание</t>
  </si>
  <si>
    <t>CAPEX de mantenimiento</t>
  </si>
  <si>
    <t>유지보수 CAPEX</t>
  </si>
  <si>
    <t>终止经营项目净现金收入-投资</t>
  </si>
  <si>
    <t>終止經營項目淨現金收入-投資</t>
  </si>
  <si>
    <t>Trésorerie nette des opérations abandonnées. - Investissement</t>
  </si>
  <si>
    <t>Nettobarmittel aus aufgegebenem Geschäftsbetrieb – Investitionen</t>
  </si>
  <si>
    <t>Liquidità netta da attività cessate - Investimenti</t>
  </si>
  <si>
    <t>非継続事業による現金増減(投資活動に帰属分)</t>
  </si>
  <si>
    <t>Чистые денежные средства от прекращенной деятельности. - Инвестиционная деятельность</t>
  </si>
  <si>
    <t>Efectivo neto de operaciones discontinuadas. - Inversión</t>
  </si>
  <si>
    <t>중단 영업의 순현금 - 투자</t>
  </si>
  <si>
    <t>终止经营项目净现金收入-筹资</t>
  </si>
  <si>
    <t>終止經營項目淨現金收入-籌資</t>
  </si>
  <si>
    <t>Trésorerie nette des opérations abandonnées. - Financement</t>
  </si>
  <si>
    <t>Nettobarmittel aus aufgegebenem Geschäftsbetrieb – Finanzierung</t>
  </si>
  <si>
    <t>Liquidità netta da attività cessate - Finanziamenti</t>
  </si>
  <si>
    <t>非継続事業による現金増減(財務活動に帰属分)</t>
  </si>
  <si>
    <t>Чистые денежные средства от прекращенной деятельности. - Финансовая деятельность</t>
  </si>
  <si>
    <t>Efectivo neto de operaciones discontinuadas. - Financiación</t>
  </si>
  <si>
    <t>중단 영업의 순현금 - 재무</t>
  </si>
  <si>
    <t>经营租赁支付</t>
  </si>
  <si>
    <t>經營租賃支付</t>
  </si>
  <si>
    <t>Paiements de leasing opérationnel</t>
  </si>
  <si>
    <t>Zahlungen für Operating-Leasing</t>
  </si>
  <si>
    <t>Pagamenti locazioni operative</t>
  </si>
  <si>
    <t>オペレーティング・リース支払</t>
  </si>
  <si>
    <t>Платежи по операционной аренде</t>
  </si>
  <si>
    <t>Pagos de arrendamientos operativos</t>
  </si>
  <si>
    <t>운용리스 지불</t>
  </si>
  <si>
    <t>经营租赁负债变动</t>
  </si>
  <si>
    <t>經營租賃負債變動</t>
  </si>
  <si>
    <t>Variation du passif des contrats de location-exploitation</t>
  </si>
  <si>
    <t>Veränderung der Verbindlichkeiten aus Operating-Leasing</t>
  </si>
  <si>
    <t>Variazioni passività locazioni operative</t>
  </si>
  <si>
    <t>オペレーティングリース債務の変更</t>
  </si>
  <si>
    <t>Изменение обязательств по операционной аренде</t>
  </si>
  <si>
    <t>Variación de las obligaciones de arrendamiento operativo</t>
  </si>
  <si>
    <t>운용리스 부채 변동</t>
  </si>
  <si>
    <t>经营租赁负债变动（非现金）</t>
  </si>
  <si>
    <t>經營租賃負債變動（非現金）</t>
  </si>
  <si>
    <t>Variation du passif des contrats de location-exploitation hors trésorerie</t>
  </si>
  <si>
    <t>Veränderung der Verbindlichkeiten aus Operating-Leasing, nicht zahlungswirksam</t>
  </si>
  <si>
    <t>Variazioni passività locazioni operative non in contanti</t>
  </si>
  <si>
    <t>オペレーティングリース負債の非現金の変更</t>
  </si>
  <si>
    <t>Изменение обязательств по операционной аренде Неденежные средства</t>
  </si>
  <si>
    <t>Variación de los pasivos de arrendamiento operativo no monetario</t>
  </si>
  <si>
    <t>운용리스 부채 변동 비현금</t>
  </si>
  <si>
    <t>已偿还的长期债务，不包括租赁</t>
  </si>
  <si>
    <t>已償還的長期債務，不包括租賃</t>
  </si>
  <si>
    <t>Dette à long terme remboursée, à l'exclusion des contrats de location</t>
  </si>
  <si>
    <t>Rückzahlung langfristiger Schulden, ohne Mieten</t>
  </si>
  <si>
    <t>Debito a lungo termine rimborsato, escl. locazioni</t>
  </si>
  <si>
    <t>返済済み長期借入金(リース除く)</t>
  </si>
  <si>
    <t>Погашение долгосрочного долга, исключая договоры аренды</t>
  </si>
  <si>
    <t>Pago de deudas a largo plazo, excepto arrendamientos.</t>
  </si>
  <si>
    <t>상환 장기부채, 리스 제외</t>
  </si>
  <si>
    <t>已偿还债务总额，不包括租赁</t>
  </si>
  <si>
    <t>已償還債務總額，不包括租賃</t>
  </si>
  <si>
    <t>Dette totale remboursée, à l'exclusion des contrats de location</t>
  </si>
  <si>
    <t>Summe der zurückgezahlten Schulden, ohne Mieten</t>
  </si>
  <si>
    <t>Debito totale rimborsato, escl. locazioni</t>
  </si>
  <si>
    <t>返済済み負債総額(リース除く)</t>
  </si>
  <si>
    <t>Полное погашение задолженности, исключая договоры аренды</t>
  </si>
  <si>
    <t>Total de la deuda pagada, excluyendo los arrendamientos</t>
  </si>
  <si>
    <t>총 상환 부채, 리스 제외</t>
  </si>
  <si>
    <t>廉价购买利益 -（现金流量）</t>
  </si>
  <si>
    <t>廉價購買利益 -（現金流量）</t>
  </si>
  <si>
    <t>Gain sur l'acquisition d'une bonne affaire - Flux de trésorerie</t>
  </si>
  <si>
    <t>Gewinn beim Erwerb von Schnäppchen – (CF)</t>
  </si>
  <si>
    <t>Utile per acquisto a prezzi favorevoli - (CF)</t>
  </si>
  <si>
    <t>廉価買収益 - （CF）</t>
  </si>
  <si>
    <t>Прибыль от приобретения - (Денежный поток)</t>
  </si>
  <si>
    <t>Ganancia en la Adquisición de Negocios - (Flujo de Fondos)</t>
  </si>
  <si>
    <t>계약 인수 이익 - (CF)</t>
  </si>
  <si>
    <t>平均</t>
  </si>
  <si>
    <t>Moyenne</t>
  </si>
  <si>
    <t>Durchschnittlich</t>
  </si>
  <si>
    <t>Media</t>
  </si>
  <si>
    <t>Среднее значение</t>
  </si>
  <si>
    <t>Promedio</t>
  </si>
  <si>
    <t>평균</t>
  </si>
  <si>
    <t>高</t>
  </si>
  <si>
    <t>Haute</t>
  </si>
  <si>
    <t>Hoch</t>
  </si>
  <si>
    <t>Alto</t>
  </si>
  <si>
    <t>Высокий</t>
  </si>
  <si>
    <t>높음</t>
  </si>
  <si>
    <t>低</t>
  </si>
  <si>
    <t>Faible</t>
  </si>
  <si>
    <t>Niedrig</t>
  </si>
  <si>
    <t>Basso</t>
  </si>
  <si>
    <t>Низкий</t>
  </si>
  <si>
    <t>Bajo</t>
  </si>
  <si>
    <t>낮음</t>
  </si>
  <si>
    <t>收市价格</t>
  </si>
  <si>
    <t>收市價格</t>
  </si>
  <si>
    <t>Fermer</t>
  </si>
  <si>
    <t>Schließen</t>
  </si>
  <si>
    <t>Chiusura</t>
  </si>
  <si>
    <t>閉じる</t>
  </si>
  <si>
    <t xml:space="preserve">Закрыть </t>
  </si>
  <si>
    <t>Cierre</t>
  </si>
  <si>
    <t>마감</t>
  </si>
  <si>
    <t>股价</t>
  </si>
  <si>
    <t>股價</t>
  </si>
  <si>
    <t>Prix ​​d'Action</t>
  </si>
  <si>
    <t>Aktienkurs</t>
  </si>
  <si>
    <t>Prezzo azioni</t>
  </si>
  <si>
    <t>株価</t>
  </si>
  <si>
    <t>Цена Акции</t>
  </si>
  <si>
    <t>Precio de la acción</t>
  </si>
  <si>
    <t>주식 가격</t>
  </si>
  <si>
    <t>已发行股数</t>
  </si>
  <si>
    <t>已發行股數</t>
  </si>
  <si>
    <t>PARTS EN CIRCULATION</t>
  </si>
  <si>
    <t>Ausstehende Aktien</t>
  </si>
  <si>
    <t>Azioni in circolazione</t>
  </si>
  <si>
    <t>発行済株式数（自己株控除）</t>
  </si>
  <si>
    <t>Акции в обращении</t>
  </si>
  <si>
    <t>Acciones en circulación</t>
  </si>
  <si>
    <t>발행주식총수</t>
  </si>
  <si>
    <t>过去十二个月</t>
  </si>
  <si>
    <t>過去十二個月</t>
  </si>
  <si>
    <t>DDM</t>
  </si>
  <si>
    <t>Letzte 12 Monate</t>
  </si>
  <si>
    <t>Ultimi dodici mesi</t>
  </si>
  <si>
    <t>Последние 12 месяцев</t>
  </si>
  <si>
    <t>Ultimos doce meses</t>
  </si>
  <si>
    <t>최근 12개월 (LTM)</t>
  </si>
  <si>
    <t>总商业票据</t>
  </si>
  <si>
    <t>總商業票據</t>
  </si>
  <si>
    <t>Total Billets de trésorerie</t>
  </si>
  <si>
    <t>Commercial Paper insgesamt</t>
  </si>
  <si>
    <t>Totale carta commerciale</t>
  </si>
  <si>
    <t>コマーシャル・ペーパー</t>
  </si>
  <si>
    <t>Всего векселей</t>
  </si>
  <si>
    <t>Total de papeles comerciales</t>
  </si>
  <si>
    <t>총 기업어음</t>
  </si>
  <si>
    <t>总循环信贷</t>
  </si>
  <si>
    <t>總循環信貸</t>
  </si>
  <si>
    <t>Total Crédit renouvelable</t>
  </si>
  <si>
    <t>Revolvierender Kredit insgesamt</t>
  </si>
  <si>
    <t>Total credito rotativo</t>
  </si>
  <si>
    <t>リボルビング・クレジット</t>
  </si>
  <si>
    <t>Всего возобновляемых кредитов</t>
  </si>
  <si>
    <t>Crédito revolvente total</t>
  </si>
  <si>
    <t>총 회전신용</t>
  </si>
  <si>
    <t>总定期贷款</t>
  </si>
  <si>
    <t>總定期貸款</t>
  </si>
  <si>
    <t>Total des prêts à terme</t>
  </si>
  <si>
    <t>Langfristige Darlehen insgesamt</t>
  </si>
  <si>
    <t>Totale Prestiti a termine</t>
  </si>
  <si>
    <t>ターム・ローン</t>
  </si>
  <si>
    <t>Всего срочных займов</t>
  </si>
  <si>
    <t>Total de Préstamos a plazo</t>
  </si>
  <si>
    <t xml:space="preserve">총 텀론 (Term Loan) </t>
  </si>
  <si>
    <t>次级债和票据总额</t>
  </si>
  <si>
    <t>次級債和票據總額</t>
  </si>
  <si>
    <t>Total des emprunts subordonnés et billets</t>
  </si>
  <si>
    <t>Summe nachrangige Anleihen und Schuldverschreibungen</t>
  </si>
  <si>
    <t>Totale note e obbligazioni subordinate</t>
  </si>
  <si>
    <t>劣後ボンド・ノート総額</t>
  </si>
  <si>
    <t>Всего субординированных облигаций и векселей</t>
  </si>
  <si>
    <t>Total de obligaciones y bonos subordinados</t>
  </si>
  <si>
    <t>총 후순위 채권 및 어음</t>
  </si>
  <si>
    <t>总信托优先证券</t>
  </si>
  <si>
    <t>總信托優先證券</t>
  </si>
  <si>
    <t>Total Fiducie Privilégiée</t>
  </si>
  <si>
    <t>Ausgabe von Aktien und genussscheinähnlichen Wertpapieren insgesamt</t>
  </si>
  <si>
    <t>Total trust privilegiato</t>
  </si>
  <si>
    <t>トラスト型優先証券</t>
  </si>
  <si>
    <t>Всего трастовых привилегированных ценных бумаг</t>
  </si>
  <si>
    <t>Total de valores fiduciarios preferentes</t>
  </si>
  <si>
    <t>총 신탁 우선주</t>
  </si>
  <si>
    <t>其他借款</t>
  </si>
  <si>
    <t>AUTRES EMPRUNTS</t>
  </si>
  <si>
    <t>Sonstige Darlehen</t>
  </si>
  <si>
    <t>Altri prestiti</t>
  </si>
  <si>
    <t>その他借入</t>
  </si>
  <si>
    <t>Другие заемные средства</t>
  </si>
  <si>
    <t>Otros préstamos</t>
  </si>
  <si>
    <t>기타 차입금</t>
  </si>
  <si>
    <t>到期本金总额</t>
  </si>
  <si>
    <t>到期本金總額</t>
  </si>
  <si>
    <t>Total du principal dû</t>
  </si>
  <si>
    <t>Gesamtbetrag fällig</t>
  </si>
  <si>
    <t>Totale capitale a scadere</t>
  </si>
  <si>
    <t>債務合計（元本部分）</t>
  </si>
  <si>
    <t>Общая сумма основного долга</t>
  </si>
  <si>
    <t>Total de capital adeudado</t>
  </si>
  <si>
    <t>총 부채 (원본 부분)</t>
  </si>
  <si>
    <t>未摊销溢价总额</t>
  </si>
  <si>
    <t>未攤銷溢價總額</t>
  </si>
  <si>
    <t>Total de prime non amortie</t>
  </si>
  <si>
    <t>Summe der nicht amortisierten Premiumbeträge</t>
  </si>
  <si>
    <t>Totale premio non ammortizzato</t>
  </si>
  <si>
    <t>未償却プレミアム総額</t>
  </si>
  <si>
    <t>Всего неамортизированных премий</t>
  </si>
  <si>
    <t>Total rima sin amortizar</t>
  </si>
  <si>
    <t>총 미상각 프리미엄</t>
  </si>
  <si>
    <t>未摊销折价总额</t>
  </si>
  <si>
    <t>未攤銷折價總額</t>
  </si>
  <si>
    <t>Total d'escompte non amorti</t>
  </si>
  <si>
    <t>Summe nicht amortisierter Disagio</t>
  </si>
  <si>
    <t>Totale sconto non ammortizzato</t>
  </si>
  <si>
    <t>未償却ディスカウント総額</t>
  </si>
  <si>
    <t>Всего неамортизированного дисконта</t>
  </si>
  <si>
    <t>Total descuento no amortizado</t>
  </si>
  <si>
    <t>총 미상각 할인</t>
  </si>
  <si>
    <t>调整数</t>
  </si>
  <si>
    <t>調整數</t>
  </si>
  <si>
    <t>Ajustements</t>
  </si>
  <si>
    <t>Anpassungen</t>
  </si>
  <si>
    <t>Rettifiche</t>
  </si>
  <si>
    <t>その他調整項目</t>
  </si>
  <si>
    <t>Корректировки</t>
  </si>
  <si>
    <t>Ajustes</t>
  </si>
  <si>
    <t>기타 조정 항목</t>
  </si>
  <si>
    <t>未提取的循环信贷</t>
  </si>
  <si>
    <t>未提取的循環信貸</t>
  </si>
  <si>
    <t>Crédit renouvelable non utilisé</t>
  </si>
  <si>
    <t>Nicht beanspruchter revolvierender Kredit</t>
  </si>
  <si>
    <t>Credito rotativo non prelevato</t>
  </si>
  <si>
    <t>未使用借入限度枠(リボリビング・クレジット)</t>
  </si>
  <si>
    <t>Неиспользованный возобновляемый кредит</t>
  </si>
  <si>
    <t>Crédito revolvente no dispuesto</t>
  </si>
  <si>
    <t>미사용 차입한도 (회전신용)</t>
  </si>
  <si>
    <t>未提取的商业票据</t>
  </si>
  <si>
    <t>未提取的商業票據</t>
  </si>
  <si>
    <t>Papier commercial non tiré</t>
  </si>
  <si>
    <t>Nicht beanspruchte Commercial Paper</t>
  </si>
  <si>
    <t>Carta commerciale non utilizzata</t>
  </si>
  <si>
    <t>未使用借入限度枠(コマーシャル・ペーパー)</t>
  </si>
  <si>
    <t>Неиспользованные векселя</t>
  </si>
  <si>
    <t>Papel comercial no dispuesto</t>
  </si>
  <si>
    <t>미사용 차입한도 (기업어음)</t>
  </si>
  <si>
    <t>未提取的定期贷款</t>
  </si>
  <si>
    <t>未提取的定期貸款</t>
  </si>
  <si>
    <t>Prêts à terme non tirés</t>
  </si>
  <si>
    <t>Nicht beanspruchte Terminkredite</t>
  </si>
  <si>
    <t>Prestiti a termine non prelevati</t>
  </si>
  <si>
    <t>未使用借入限度枠(ターム・ローン)</t>
  </si>
  <si>
    <t>Неиспользованные срочные займы</t>
  </si>
  <si>
    <t>Préstamos a plazo no dispuestos</t>
  </si>
  <si>
    <t>미사용 차입한도 (텀론 Term Loans)</t>
  </si>
  <si>
    <t>未提取证券</t>
  </si>
  <si>
    <t>未提取證券</t>
  </si>
  <si>
    <t>Facilités titrisées non utilisées</t>
  </si>
  <si>
    <t>Nicht beanspruchte verbriefte Kreditlinien</t>
  </si>
  <si>
    <t>Servizi di cartolarizzazione non utilizzati</t>
  </si>
  <si>
    <t>未使用借入限度枠 (証券化ファシリティ)</t>
  </si>
  <si>
    <t>Неиспользованные секьюритизированные средства</t>
  </si>
  <si>
    <t>Pólizas de crédito titularizadas no dispuestas</t>
  </si>
  <si>
    <t>미사용 차입한도 (담보화 시설)</t>
  </si>
  <si>
    <t>其他可用信贷</t>
  </si>
  <si>
    <t>其他可用信貸</t>
  </si>
  <si>
    <t>Autre crédit disponible</t>
  </si>
  <si>
    <t>Sonstige verfügbare Kredite</t>
  </si>
  <si>
    <t>Altri crediti disponibili</t>
  </si>
  <si>
    <t>未使用借入限度枠(その他)</t>
  </si>
  <si>
    <t>Другие доступные кредиты</t>
  </si>
  <si>
    <t>Otro crédito disponible</t>
  </si>
  <si>
    <t xml:space="preserve">미사용 차입한도 (기타) </t>
  </si>
  <si>
    <t>未提取信贷总额</t>
  </si>
  <si>
    <t>未提取信貸總額</t>
  </si>
  <si>
    <t>Total du crédit non tiré</t>
  </si>
  <si>
    <t>Nicht beanspruchte Kredite insgesamt</t>
  </si>
  <si>
    <t>Totale crediti non utilizzati</t>
  </si>
  <si>
    <t>未使用借入限度枠総額</t>
  </si>
  <si>
    <t>Общая сумма неиспользованных кредитов</t>
  </si>
  <si>
    <t>Total de créditos no dispuestos</t>
  </si>
  <si>
    <t>총 미사용 신용한도</t>
  </si>
  <si>
    <t>总优先债</t>
  </si>
  <si>
    <t>總優先債</t>
  </si>
  <si>
    <t>Dette senior totale</t>
  </si>
  <si>
    <t>Vorrangige Schuldtitel insgesamt</t>
  </si>
  <si>
    <t>Totale titoli di debito senior</t>
  </si>
  <si>
    <t>シニア債務総額</t>
  </si>
  <si>
    <t>Всего старший долг</t>
  </si>
  <si>
    <t>Total de la deuda superior</t>
  </si>
  <si>
    <t>총 우선순위 부채</t>
  </si>
  <si>
    <t>可转债总额</t>
  </si>
  <si>
    <t>可轉債總額</t>
  </si>
  <si>
    <t>Total de la dette convertible</t>
  </si>
  <si>
    <t>Summe der wandelbaren Schuldtitel</t>
  </si>
  <si>
    <t>Totale titoli di debito convertibili</t>
  </si>
  <si>
    <t>転換社債</t>
  </si>
  <si>
    <t>Общий конвертируемый долг</t>
  </si>
  <si>
    <t>Deuda convertible total</t>
  </si>
  <si>
    <t>총 전환사채</t>
  </si>
  <si>
    <t>银行总债务</t>
  </si>
  <si>
    <t>銀行總債務</t>
  </si>
  <si>
    <t>Dette bancaire totale</t>
  </si>
  <si>
    <t>Summe der Bankschulden</t>
  </si>
  <si>
    <t>Totale debito bancario</t>
  </si>
  <si>
    <t>銀行債務</t>
  </si>
  <si>
    <t>Всего долга банка</t>
  </si>
  <si>
    <t>Deuda bancaria total</t>
  </si>
  <si>
    <t>총 은행 부채</t>
  </si>
  <si>
    <t>总担保债券</t>
  </si>
  <si>
    <t>總擔保債券</t>
  </si>
  <si>
    <t>Total de la dette garantie</t>
  </si>
  <si>
    <t>Gesicherte Schulden insgesamt</t>
  </si>
  <si>
    <t>Totale debiti garantiti</t>
  </si>
  <si>
    <t>担保付債務</t>
  </si>
  <si>
    <t>Всего обеспеченная задолженность</t>
  </si>
  <si>
    <t>Deuda Total Garantizada</t>
  </si>
  <si>
    <t>총 담보부채</t>
  </si>
  <si>
    <t>无抵押债务总额</t>
  </si>
  <si>
    <t>無抵押債務總額</t>
  </si>
  <si>
    <t>Total de la dette non garantie</t>
  </si>
  <si>
    <t>Summe der unbesicherten Schulden</t>
  </si>
  <si>
    <t>Totale debito non garantito</t>
  </si>
  <si>
    <t>無担保債務</t>
  </si>
  <si>
    <t>Всего необеспеченный долг</t>
  </si>
  <si>
    <t>Total de la deuda no garantizada</t>
  </si>
  <si>
    <t>총 무담보 채무</t>
  </si>
  <si>
    <t>无追索权债务总额</t>
  </si>
  <si>
    <t>無追索權債務總額</t>
  </si>
  <si>
    <t>Total de la dette sans recours</t>
  </si>
  <si>
    <t>Summe der Schulden ohne Rückgriffsrecht</t>
  </si>
  <si>
    <t>Totale debito senza diritto di rivalsa</t>
  </si>
  <si>
    <t>ノンリコース債務</t>
  </si>
  <si>
    <t>Всего безоборотное кредитование</t>
  </si>
  <si>
    <t>Total de la deuda sin recurso</t>
  </si>
  <si>
    <t>총 비소구 채무</t>
  </si>
  <si>
    <t>信贷比率</t>
  </si>
  <si>
    <t>信貸比率</t>
  </si>
  <si>
    <t>Ratios de crédit</t>
  </si>
  <si>
    <t>Kreditkennzahlen</t>
  </si>
  <si>
    <t>Rapporti di credito</t>
  </si>
  <si>
    <t>信用比率</t>
  </si>
  <si>
    <t>Кредитные коэффициенты</t>
  </si>
  <si>
    <t>Ratios de crédito</t>
  </si>
  <si>
    <t>신용 비율</t>
  </si>
  <si>
    <t>净债务 / 税息折旧及摊销前利润</t>
  </si>
  <si>
    <t>淨債務/ 稅息折舊及攤銷前利潤</t>
  </si>
  <si>
    <t>Dette nette / EBITDA</t>
  </si>
  <si>
    <t>Nettoverschuldung/EBITDA</t>
  </si>
  <si>
    <t>Indebitamento netto/EBITDA</t>
  </si>
  <si>
    <t>純有利子負債 / EBITDA</t>
  </si>
  <si>
    <t>Чистый долг / EBITDA</t>
  </si>
  <si>
    <t>Deuda Neta / EBITDA</t>
  </si>
  <si>
    <t>순부채/EBITDA</t>
  </si>
  <si>
    <t>净债务 /税息折旧及摊销前利润,不包括经营租赁</t>
  </si>
  <si>
    <t>淨債務 /稅息折舊及攤銷前利潤,不包括經營租賃</t>
  </si>
  <si>
    <t>Dette nette /EBITDA, à l'exclusion du leasing opérationnel</t>
  </si>
  <si>
    <t>Nettoverschuldung/EBITDA, ohne Operating-Leasing</t>
  </si>
  <si>
    <t>Indebitamento netto/EBITDA, escl. locazioni operative</t>
  </si>
  <si>
    <t xml:space="preserve"> 純有利子負債 /EBITDA,次の値を除 オペレーティング・リース</t>
  </si>
  <si>
    <t>Чистая задолженность /EBITDA, исключая операционную аренду</t>
  </si>
  <si>
    <t>Deuda Neta /EBITDA, excluyendo arrendamientos operativos</t>
  </si>
  <si>
    <t>순 채무/EBITDA, 운용리스 제외</t>
  </si>
  <si>
    <t>总债务 / 税息折旧及摊销前利润</t>
  </si>
  <si>
    <t>總債務 / 稅息折舊及攤銷前利潤</t>
  </si>
  <si>
    <t>Dette totale / EBITDA</t>
  </si>
  <si>
    <t>Gesamtverschuldung/EBITDA</t>
  </si>
  <si>
    <t>Indebitamento totale/EBITDA</t>
  </si>
  <si>
    <t>総有利子負債 / EBITDA</t>
  </si>
  <si>
    <t>Общая задолженность / EBITDA</t>
  </si>
  <si>
    <t>Deuda Total / EBITDA</t>
  </si>
  <si>
    <t>총부채/EBITDA</t>
  </si>
  <si>
    <t>总债务/税息折旧及摊销前利润,不包括经营租赁</t>
  </si>
  <si>
    <t>總債務/稅息折舊及攤銷前利潤,不包括經營租賃</t>
  </si>
  <si>
    <t>Dette totale/EBITDA, à l'exclusion du leasing opérationnel</t>
  </si>
  <si>
    <t>Gesamtverschuldung/EBITDA, ohne Operating-Leasing</t>
  </si>
  <si>
    <t>Indebitamento totale/EBITDA, escl. locazioni operative</t>
  </si>
  <si>
    <t>有利子負債合計/EBITDA,次の値を除 オペレーティング・リース</t>
  </si>
  <si>
    <t>Общая задолженность/EBITDA, исключая операционную аренду</t>
  </si>
  <si>
    <t>Deuda total/EBITDA, excluyendo arrendamientos operativos</t>
  </si>
  <si>
    <t>총 부채/EBITDA, 운용리스 제외</t>
  </si>
  <si>
    <t>优先债 / 税息折旧及摊销前利润</t>
  </si>
  <si>
    <t>優先債 / 稅息折舊及攤銷前利潤</t>
  </si>
  <si>
    <t>Dette senior / EBITDA</t>
  </si>
  <si>
    <t>Vorrangige Schulden/EBITDA</t>
  </si>
  <si>
    <t>Indebitamento senior/EBITDA</t>
  </si>
  <si>
    <t>シニア債務/EBITDA</t>
  </si>
  <si>
    <t>Старший долг / EBITDA</t>
  </si>
  <si>
    <t>Deuda Senior / EBITDA</t>
  </si>
  <si>
    <t>선순위 부채/EBITDA</t>
  </si>
  <si>
    <t>总次级债 / 税息折旧及摊销前利润</t>
  </si>
  <si>
    <t>總次級債 / 稅息折舊及攤銷前利潤</t>
  </si>
  <si>
    <t>Total subordonnée Dette / EBITDA</t>
  </si>
  <si>
    <t>Nachrangige Schulden insgesamt/EBITDA</t>
  </si>
  <si>
    <t>Totale indebitamento subordinato/EBITDA</t>
  </si>
  <si>
    <t>劣後債務合計額/ EBITDA</t>
  </si>
  <si>
    <t>Всего субординированный долг / EBITDA</t>
  </si>
  <si>
    <t>Total deuda subordinada / EBITDA</t>
  </si>
  <si>
    <t>총 후순위 부채/ EBITDA</t>
  </si>
  <si>
    <t>优先次级债 / 税息折旧及摊销前利润</t>
  </si>
  <si>
    <t>優先次級債 / 稅息折舊及攤銷前利潤</t>
  </si>
  <si>
    <t>Sr. Sub. Dette / EBITDA</t>
  </si>
  <si>
    <t>Senior nachrangige Schulden/EBITDA</t>
  </si>
  <si>
    <t>Indebitamento subordinato senior/Ebitda</t>
  </si>
  <si>
    <t>シニア劣後債務/EBITDA</t>
  </si>
  <si>
    <t>Старший субординированный долг / EBITDA</t>
  </si>
  <si>
    <t>Deuda subordinada senior / EBITDA</t>
  </si>
  <si>
    <t>상위 후순위 부채/EBITDA</t>
  </si>
  <si>
    <t>次级债 / 税息折旧及摊销前利润</t>
  </si>
  <si>
    <t>次級債 / 稅息折舊及攤銷前利潤</t>
  </si>
  <si>
    <t>Sous. Dette / EBITDA</t>
  </si>
  <si>
    <t>Nachrangige Schulden/EBITDA</t>
  </si>
  <si>
    <t>Indebitamento subordinato/Ebitda</t>
  </si>
  <si>
    <t>劣後債務/EBITDA</t>
  </si>
  <si>
    <t>Субординированный долг / EBITDA</t>
  </si>
  <si>
    <t>Deuda subordinada / EBITDA</t>
  </si>
  <si>
    <t>후순위 부채/EBITDA</t>
  </si>
  <si>
    <t>次顺位次级债 / 税息折旧及摊销前利润</t>
  </si>
  <si>
    <t>次順位次級債 / 稅息折舊及攤銷前利潤</t>
  </si>
  <si>
    <t>Dette subordonnée de second rang / EBITDA</t>
  </si>
  <si>
    <t>Junior nachrangige Schulden/EBITDA</t>
  </si>
  <si>
    <t>Indebitamento subordinato junior/EBITDA</t>
  </si>
  <si>
    <t>ジュニア劣後債務/EBITDA</t>
  </si>
  <si>
    <t>Младший субординированный долг / EBITDA</t>
  </si>
  <si>
    <t>Deuda subordinada junior / EBITDA</t>
  </si>
  <si>
    <t>하위 후순위 부채/EBITDA</t>
  </si>
  <si>
    <t>净债务/（EBITDA-CAPEX）</t>
  </si>
  <si>
    <t>淨債務/（EBITDA-CAPEX）</t>
  </si>
  <si>
    <t>Dette nette/(EBITDA-Dépenses en capital)</t>
  </si>
  <si>
    <t>Nettoverschuldung/(EBITDA-CAPEX)</t>
  </si>
  <si>
    <t>Debito netto/ (EBITDA-CAPEX)</t>
  </si>
  <si>
    <t>純有利子負債/（EBITDA - CAPEX）</t>
  </si>
  <si>
    <t>Чистый долг/(EBITDA-Капитальные расходы)</t>
  </si>
  <si>
    <t>Deuda neta/(EBITDA-Gastos de capital)</t>
  </si>
  <si>
    <t>순 채무/(EBITDA-CAPEX)</t>
  </si>
  <si>
    <t>净债务 /(税息折旧及摊销前利润,不包括经营租赁- 资本支出)</t>
  </si>
  <si>
    <t>淨債務 /(稅息折舊及攤銷前利潤,不包括經營租賃 - 資本支出)</t>
  </si>
  <si>
    <t>Dette nette /(EBITDA, à l'exclusion du leasing opérationnel- CAPEX)</t>
  </si>
  <si>
    <t>Nettoverschuldung/(EBITDA, ohne Operating-Leasing– ANLAGEINVESTITIONEN)</t>
  </si>
  <si>
    <t>Indebitamento netto/(EBITDA, escl. locazioni operative- CAPEX)</t>
  </si>
  <si>
    <t xml:space="preserve"> 純有利子負債 /(EBITDA,次の値を除 オペレーティング・リース- 設備投資)</t>
  </si>
  <si>
    <t>Чистая задолженность /(EBITDA, исключая операционную аренду- CAPEX)</t>
  </si>
  <si>
    <t>Deuda Neta /(EBITDA, excluyendo arrendamientos operativos- CAPEX)</t>
  </si>
  <si>
    <t>순 채무/(EBITDA, 운용리스 제외- CAPEX)</t>
  </si>
  <si>
    <t>总债务/（EBITDA-CAPEX）</t>
  </si>
  <si>
    <t>總債務/（EBITDA-CAPEX）</t>
  </si>
  <si>
    <t>Dette totale/(EBITDA-Dépenses en capital)</t>
  </si>
  <si>
    <t>Summe der Schulden/(EBITDA-CAPEX)</t>
  </si>
  <si>
    <t>Totale debito/(EBITDA-CAPEX)</t>
  </si>
  <si>
    <t>負債総額/（EBITDA - CAPEX）</t>
  </si>
  <si>
    <t>Общий долг/(EBITDA-Капитальные расходы)</t>
  </si>
  <si>
    <t>Deuda total/(EBITDA-Gastos de capital)</t>
  </si>
  <si>
    <t>총 채무/(EBITDA-CAPEX)</t>
  </si>
  <si>
    <t>总债务/(税息折旧及摊销前利润,不包括经营租赁- 资本支出)</t>
  </si>
  <si>
    <t>總債務/(稅息折舊及攤銷前利潤,不包括經營租賃 - 資本支出)</t>
  </si>
  <si>
    <t>Dette totale/(EBITDA, à l'exclusion du leasing opérationnel- CAPEX)</t>
  </si>
  <si>
    <t>Gesamtverschuldung/(EBITDA, ohne Operating-Leasing– ANLAGEINVESTITIONEN)</t>
  </si>
  <si>
    <t>Indebitamento totale/(EBITDA, escl. locazioni operative- CAPEX)</t>
  </si>
  <si>
    <t>有利子負債合計/(EBITDA,次の値を除 オペレーティング・リース- 設備投資)</t>
  </si>
  <si>
    <t>Общая задолженность/(EBITDA, исключая операционную аренду- CAPEX)</t>
  </si>
  <si>
    <t>Deuda total/(EBITDA, excluyendo arrendamientos operativos- CAPEX)</t>
  </si>
  <si>
    <t>총 부채/(EBITDA, 운용리스 제외- CAPEX)</t>
  </si>
  <si>
    <t>优先债 / （税息折旧及摊销前利润 - 资本支出）</t>
  </si>
  <si>
    <t>優先債 / （稅息折舊及攤銷前利潤 - 資本支出）</t>
  </si>
  <si>
    <t>Dette de premier rang / (EBITDA - CAPEX)</t>
  </si>
  <si>
    <t>Vorrangige Schulden/(EBITDA-CAPEX)</t>
  </si>
  <si>
    <t>Indebitamento senior/(EBITDA - CAPEX)</t>
  </si>
  <si>
    <t>シニア債務/(EBITDA - 設備投資)</t>
  </si>
  <si>
    <t>Старший долг / (EBITDA - CAPEX)</t>
  </si>
  <si>
    <t>Deuda Senior / (EBITDA - Gastos de capital)</t>
  </si>
  <si>
    <t>선순위 부채/(EBITDA - 자본적지출)</t>
  </si>
  <si>
    <t>总次级债 / （税息折旧及摊销前利润 - 资本支出）</t>
  </si>
  <si>
    <t>總次級債 / （稅息折舊及攤銷前利潤 - 資本支出）</t>
  </si>
  <si>
    <t>Total subordonnée Dette / (EBITDA - CAPEX)</t>
  </si>
  <si>
    <t>Nachrangige Schulden insgesamt/(EBITDA-CAPEX)</t>
  </si>
  <si>
    <t>Totale indebitamento subordinato/(EBITDA - CAPEX)</t>
  </si>
  <si>
    <t>劣後債務合計額/(EBITDA - 設備投資)</t>
  </si>
  <si>
    <t>Всего субординированный долг / (EBITDA - CAPEX)</t>
  </si>
  <si>
    <t>Total deuda subordinada  / (EBITDA - Gastos de capital)</t>
  </si>
  <si>
    <t>총 후순위 부채/(EBITDA - 자본적지출)</t>
  </si>
  <si>
    <t>总优先次级债 / （税息折旧及摊销前利润 - 资本支出）</t>
  </si>
  <si>
    <t>總優先次級債 / （稅息折舊及攤銷前利潤 - 資本支出）</t>
  </si>
  <si>
    <t>Sr. Sub. Dette / (EBITDA-CAPEX)</t>
  </si>
  <si>
    <t>Senior nachrangige Schulden/(EBITDA-CAPEX)</t>
  </si>
  <si>
    <t>Indebitamento subordinato senior/(EBITDA-Capex)</t>
  </si>
  <si>
    <t>シニア劣後債務/(EBITDA-設備投資)</t>
  </si>
  <si>
    <t>Старший субординированный долг/ (EBITDA-CAPEX)</t>
  </si>
  <si>
    <t>Deuda subordinada senior / (EBITDA-Gastos de capital)</t>
  </si>
  <si>
    <t>상위 후순위 부채/(EBITDA - 자본적지출)</t>
  </si>
  <si>
    <t>次级债 / （税息折旧及摊销前利润 - 资本支出）</t>
  </si>
  <si>
    <t>次級債 / （稅息折舊及攤銷前利潤 - 資本支出）</t>
  </si>
  <si>
    <t>Sous. Dette / (EBITDA-CAPEX)</t>
  </si>
  <si>
    <t>Nachrangige Schulden/(EBITDA-CAPEX)</t>
  </si>
  <si>
    <t>Indebitamento subordinato/(EBITDA-Capex)</t>
  </si>
  <si>
    <t>劣後債務/(EBITDA-設備投資)</t>
  </si>
  <si>
    <t>Субординированный долг / (EBITDA-CAPEX)</t>
  </si>
  <si>
    <t>Deuda subordinada / (EBITDA-Gastos de capital)</t>
  </si>
  <si>
    <t>후순위 부채/(EBITDA - 자본적지출)</t>
  </si>
  <si>
    <t>次顺位次级债 / （税息折旧及摊销前利润 - 资本支出）</t>
  </si>
  <si>
    <t>次順位次級債 / （稅息折舊及攤銷前利潤 - 資本支出）</t>
  </si>
  <si>
    <t>Dette subordonnée de second rang / (EBITDA-CAPEX)</t>
  </si>
  <si>
    <t>Junior nachrangige Schulden/(EBITDA-CAPEX)</t>
  </si>
  <si>
    <t>Indebitamento subordinato junior/(EBITDA-CAPEX)</t>
  </si>
  <si>
    <t>ジュニア劣後債務/(EBITDA-設備投資)</t>
  </si>
  <si>
    <t>Младший субординированный долг / (EBITDA-CAPEX)</t>
  </si>
  <si>
    <t>Deuda subordinada junior/ (EBITDA-Gastos de capital)</t>
  </si>
  <si>
    <t>하위 후순위 부채/(EBITDA - 자본적지출)</t>
  </si>
  <si>
    <t>长期债务到期年度 + 1</t>
  </si>
  <si>
    <t>長期債務到期年度 + 1</t>
  </si>
  <si>
    <t>dette à long terme due + 1</t>
  </si>
  <si>
    <t>Langfristige fällige Schulden + 1</t>
  </si>
  <si>
    <t>Indebitamento a lungo termine scaduto + 1</t>
  </si>
  <si>
    <t>長期有利子負債支払 + 1</t>
  </si>
  <si>
    <t>Долгосрочная задолженность к уплате + 1</t>
  </si>
  <si>
    <t>Deuda a largo plazo exigible + 1</t>
  </si>
  <si>
    <t xml:space="preserve">만기가 +1년도에 도래하는 장기부채 </t>
  </si>
  <si>
    <t>长期债务到期年度 + 2</t>
  </si>
  <si>
    <t>長期債務到期年度 + 2</t>
  </si>
  <si>
    <t>Dette à long terme due + 2</t>
  </si>
  <si>
    <t>Langfristige fällige Schulden + 2</t>
  </si>
  <si>
    <t>Indebitamento a lungo termine scaduto + 2</t>
  </si>
  <si>
    <t>長期有利子負債支払 + 2</t>
  </si>
  <si>
    <t>Долгосрочная задолженность к уплате + 2</t>
  </si>
  <si>
    <t>Deuda a largo plazo exigible + 2</t>
  </si>
  <si>
    <t xml:space="preserve">만기가 +2년도에 도래하는 장기부채 </t>
  </si>
  <si>
    <t>长期债务到期年度 + 3</t>
  </si>
  <si>
    <t>長期債務到期年度 + 3</t>
  </si>
  <si>
    <t>Dette à long terme due + 3</t>
  </si>
  <si>
    <t>Langfristige fällige Schulden + 3</t>
  </si>
  <si>
    <t>Indebitamento a lungo termine scaduto + 3</t>
  </si>
  <si>
    <t>長期有利子負債支払 + 3</t>
  </si>
  <si>
    <t>Долгосрочная задолженность к уплате + 3</t>
  </si>
  <si>
    <t>Deuda a largo plazo exigible + 3</t>
  </si>
  <si>
    <t xml:space="preserve">만기가 +3년도에 도래하는 장기부채 </t>
  </si>
  <si>
    <t>长期债务到期年度 + 4</t>
  </si>
  <si>
    <t>長期債務到期年度 + 4</t>
  </si>
  <si>
    <t>Dette à long terme due + 4</t>
  </si>
  <si>
    <t>Langfristige fällige Schulden + 4</t>
  </si>
  <si>
    <t>Indebitamento a lungo termine scaduto + 4</t>
  </si>
  <si>
    <t>長期有利子負債支払 + 4</t>
  </si>
  <si>
    <t>Долгосрочная задолженность к уплате + 4</t>
  </si>
  <si>
    <t>Deuda a largo plazo exigible + 4</t>
  </si>
  <si>
    <t xml:space="preserve">만기가 +4년도에 도래하는 장기부채 </t>
  </si>
  <si>
    <t>长期债务到期年度 + 5</t>
  </si>
  <si>
    <t>長期債務到期年度 + 5</t>
  </si>
  <si>
    <t>Dette à long terme due + 5</t>
  </si>
  <si>
    <t>Langfristige fällige Schulden + 5</t>
  </si>
  <si>
    <t>Indebitamento a lungo termine scaduto + 5</t>
  </si>
  <si>
    <t>長期有利子負債支払 + 5</t>
  </si>
  <si>
    <t>Долгосрочная задолженность к уплате + 5</t>
  </si>
  <si>
    <t>Deuda a largo plazo exigible + 5</t>
  </si>
  <si>
    <t xml:space="preserve">만기가 +5년도에 도래하는 장기부채 </t>
  </si>
  <si>
    <t>长期债务到期年度，未来5年</t>
  </si>
  <si>
    <t>長期債務到期年度，未來5年</t>
  </si>
  <si>
    <t>Dette à long terme due, cinq prochaines années</t>
  </si>
  <si>
    <t>Langfristige fällige Schulden in den nächsten fünf Jahren</t>
  </si>
  <si>
    <t>Indebitamento a lungo termine scaduto, prossimi 5 anni</t>
  </si>
  <si>
    <t>長期有利子負債支払 (今後5年間)</t>
  </si>
  <si>
    <t>Долгосрочная задолженность к уплате, следующие пять лет</t>
  </si>
  <si>
    <t>Deuda a largo plazo exigible en los próximos cinco años</t>
  </si>
  <si>
    <t>향후 5년 이내 만기되는 장기부채</t>
  </si>
  <si>
    <t>长期债务到期年度，5年后</t>
  </si>
  <si>
    <t>長期債務到期年度，5年後</t>
  </si>
  <si>
    <t>Dette à long terme due after 5 years</t>
  </si>
  <si>
    <t>Langfristige fällige Schulden nach 5 Jahren</t>
  </si>
  <si>
    <t>Indebitamento a lungo termine scaduto, oltre 5 anni</t>
  </si>
  <si>
    <t>長期有利子負債支払 (5年後)</t>
  </si>
  <si>
    <t>Долгосрочная задолженность к уплате через 5 лет</t>
  </si>
  <si>
    <t>Deuda a largo plazo exigible después de 5 años</t>
  </si>
  <si>
    <t>5년 이후 만기되는 장기부채</t>
  </si>
  <si>
    <t>是</t>
  </si>
  <si>
    <t>Oui</t>
  </si>
  <si>
    <t>Ja</t>
  </si>
  <si>
    <t>Sì</t>
  </si>
  <si>
    <t>はい</t>
  </si>
  <si>
    <t>Да</t>
  </si>
  <si>
    <t>Sí</t>
  </si>
  <si>
    <t>예</t>
  </si>
  <si>
    <t>否</t>
  </si>
  <si>
    <t>Non</t>
  </si>
  <si>
    <t>Nein</t>
  </si>
  <si>
    <t>いいえ</t>
  </si>
  <si>
    <t>Нет</t>
  </si>
  <si>
    <t>아니요</t>
  </si>
  <si>
    <t>类型</t>
  </si>
  <si>
    <t>類型</t>
  </si>
  <si>
    <t>Art</t>
  </si>
  <si>
    <t>Tipologia</t>
  </si>
  <si>
    <t>配当の
種類</t>
  </si>
  <si>
    <t>Тип</t>
  </si>
  <si>
    <t>Tipo</t>
  </si>
  <si>
    <t>배당종류</t>
  </si>
  <si>
    <t>优先级</t>
  </si>
  <si>
    <t>優先級</t>
  </si>
  <si>
    <t>Séniorité</t>
  </si>
  <si>
    <t>Vorrang</t>
  </si>
  <si>
    <t>Grado</t>
  </si>
  <si>
    <t>支払順位</t>
  </si>
  <si>
    <t>Старшинство</t>
  </si>
  <si>
    <t>Antigüedad</t>
  </si>
  <si>
    <t>우선순위</t>
  </si>
  <si>
    <t>盈利能力</t>
  </si>
  <si>
    <t>獲利能力</t>
  </si>
  <si>
    <t>Rentabilité</t>
  </si>
  <si>
    <t>Rentabilität</t>
  </si>
  <si>
    <t>Redditività</t>
  </si>
  <si>
    <t>利益率</t>
  </si>
  <si>
    <t>Рентабельность</t>
  </si>
  <si>
    <t>Rentabilidad</t>
  </si>
  <si>
    <t>수익성</t>
  </si>
  <si>
    <t>资产回报率 (%)</t>
  </si>
  <si>
    <t>資産迴報率 (%)</t>
  </si>
  <si>
    <t>Rendement de l'actif %</t>
  </si>
  <si>
    <t>Gesamtkapitalrendite %</t>
  </si>
  <si>
    <t>Ritorno sulle attività %</t>
  </si>
  <si>
    <t>資産収益率 %</t>
  </si>
  <si>
    <t>Рентабельность активов %</t>
  </si>
  <si>
    <t>Retorno sobre activos %</t>
  </si>
  <si>
    <t>총자산영업이익률 (ROA) %</t>
  </si>
  <si>
    <t>资本回报率 (%)</t>
  </si>
  <si>
    <t>資本迴報率 (%)</t>
  </si>
  <si>
    <t>Rendement du capital %</t>
  </si>
  <si>
    <t>Kapitalrendite %</t>
  </si>
  <si>
    <t>Ritorno sul capitale %</t>
  </si>
  <si>
    <t>資本利益率 %</t>
  </si>
  <si>
    <t>Рентабельность капитала %</t>
  </si>
  <si>
    <t>Retorno sobre capital invertido %</t>
  </si>
  <si>
    <t>자본 수익률 (ROC) %</t>
  </si>
  <si>
    <t>股本回报率 (%)</t>
  </si>
  <si>
    <t>股本迴報率 (%)</t>
  </si>
  <si>
    <t>Rendement des capitaux propres %</t>
  </si>
  <si>
    <t>Eigenkapitalrendite %</t>
  </si>
  <si>
    <t>Ritorno su equity %</t>
  </si>
  <si>
    <t>自己資本利益率 %</t>
  </si>
  <si>
    <t>Рентабельность собственного капитала %</t>
  </si>
  <si>
    <t>Rentabilidad del patrimonio %</t>
  </si>
  <si>
    <t>자기자본순이익률 (ROE) %</t>
  </si>
  <si>
    <t>净资产收益率 ％</t>
  </si>
  <si>
    <t>凈資產收益率 ％</t>
  </si>
  <si>
    <t>Rendement des capitaux propres ordinaires (%)</t>
  </si>
  <si>
    <t>Rendite auf Grundkapital %</t>
  </si>
  <si>
    <t>Rendimento del common equity (%)</t>
  </si>
  <si>
    <t>普通株主資本利益率％</t>
  </si>
  <si>
    <t>Rendimiento de las acciones ordinarias</t>
  </si>
  <si>
    <t>자기자본 이익률 %</t>
  </si>
  <si>
    <t>利润分析</t>
  </si>
  <si>
    <t>利潤分析</t>
  </si>
  <si>
    <t>Analyse de marge</t>
  </si>
  <si>
    <t>Margenanalyse</t>
  </si>
  <si>
    <t>Analisi del margine</t>
  </si>
  <si>
    <t>マージン分析</t>
  </si>
  <si>
    <t>Анализ маржи</t>
  </si>
  <si>
    <t>Análisis de margen</t>
  </si>
  <si>
    <t>마진 분석</t>
  </si>
  <si>
    <t>毛利率 (%)</t>
  </si>
  <si>
    <t>Marge brute %</t>
  </si>
  <si>
    <t>Bruttomarge %</t>
  </si>
  <si>
    <t>Margine lordo %</t>
  </si>
  <si>
    <t>総利益率 %</t>
  </si>
  <si>
    <t>Валовая Маржа %</t>
  </si>
  <si>
    <t>Margen bruto %</t>
  </si>
  <si>
    <t>총 마진 %</t>
  </si>
  <si>
    <t>销售总务管理利润率 %</t>
  </si>
  <si>
    <t>銷售總務管理利潤率 %</t>
  </si>
  <si>
    <t xml:space="preserve">Marge de vente, générale et publicitaire % </t>
  </si>
  <si>
    <t>Marge auf Vertriebsgemeinkosten %</t>
  </si>
  <si>
    <t>Margine SG&amp;A %</t>
  </si>
  <si>
    <t>経費率％</t>
  </si>
  <si>
    <t>Коммерческая, общая и рекламная маржа %</t>
  </si>
  <si>
    <t>Margen de venta, general y de publicidad %.</t>
  </si>
  <si>
    <t>SG&amp;A 마진 %</t>
  </si>
  <si>
    <t>EBITDA 利润率(%)</t>
  </si>
  <si>
    <t>EBITDA 利潤率(%)</t>
  </si>
  <si>
    <t>EBITDA Marge %</t>
  </si>
  <si>
    <t>EBITDA-Marge %</t>
  </si>
  <si>
    <t>Margine EBITDA %</t>
  </si>
  <si>
    <t>EBITDA マージン %</t>
  </si>
  <si>
    <t>Маржа по EBITDA %</t>
  </si>
  <si>
    <t>Margen de EBITDA  %</t>
  </si>
  <si>
    <t>EBITDA 마진 %</t>
  </si>
  <si>
    <t>EBITA利润率 ％</t>
  </si>
  <si>
    <t>EBITA利潤率 ％</t>
  </si>
  <si>
    <t xml:space="preserve">Marge d'EBITA % </t>
  </si>
  <si>
    <t>EBITA-Marge in %</t>
  </si>
  <si>
    <t>Margine EBITA %</t>
  </si>
  <si>
    <t>EBITAマージン％</t>
  </si>
  <si>
    <t>Маржа EBITA %</t>
  </si>
  <si>
    <t>Margen de EBITA %.</t>
  </si>
  <si>
    <t>EBIT利润率 ％</t>
  </si>
  <si>
    <t>EBIT利潤率 ％</t>
  </si>
  <si>
    <t>Marge d'EBIT %</t>
  </si>
  <si>
    <t>EBIT-Marge in %</t>
  </si>
  <si>
    <t>Margine EBIT %</t>
  </si>
  <si>
    <t>EBITマージン％</t>
  </si>
  <si>
    <t>Маржа EBIT %</t>
  </si>
  <si>
    <t>Margen de EBIT %</t>
  </si>
  <si>
    <t>持续经营业务收益的利润率 ％</t>
  </si>
  <si>
    <t>持續經營業務收益的利潤率％</t>
  </si>
  <si>
    <t xml:space="preserve">Marge des bénéfices des activités poursuivies %  </t>
  </si>
  <si>
    <t>Gewinnmarge auf fortgeführte Geschäftsbereich %</t>
  </si>
  <si>
    <t>Utili da margine attività operative in esercizio %</t>
  </si>
  <si>
    <t>継続事業利益マージン％</t>
  </si>
  <si>
    <t>Маржа прибыли от продолжающейся деятельности %</t>
  </si>
  <si>
    <t xml:space="preserve">Ganancias del margen de operaciones continuas % </t>
  </si>
  <si>
    <t>계속 운영 소득 마진 %</t>
  </si>
  <si>
    <t>净收益率 (%)</t>
  </si>
  <si>
    <t>淨收益率 (%)</t>
  </si>
  <si>
    <t>Marge de revenu net %</t>
  </si>
  <si>
    <t>Nettogewinnmarge %</t>
  </si>
  <si>
    <t>Margine di reddito netto %</t>
  </si>
  <si>
    <t>純利益マージン %</t>
  </si>
  <si>
    <t>Маржа чистой прибыли %</t>
  </si>
  <si>
    <t>Margen de ingreso neto %</t>
  </si>
  <si>
    <t>순이익 마진 %</t>
  </si>
  <si>
    <t>普通股本净收入的利润率 ％</t>
  </si>
  <si>
    <t>淨收入擔保條件。對於常見的保證金％</t>
  </si>
  <si>
    <t xml:space="preserve">Marge de bénéfice net disponible pour les actionnaires ordinaires % </t>
  </si>
  <si>
    <t>Standardmarge auf den verfügbaren Nettogewinn%</t>
  </si>
  <si>
    <t>Risultato netto disonibile per margine comune %</t>
  </si>
  <si>
    <t>普通株主に帰属する当期純利益マージン</t>
  </si>
  <si>
    <t>Чистая прибыль, доступная для общей маржи %</t>
  </si>
  <si>
    <t>Margen del beneficio neto disponible %</t>
  </si>
  <si>
    <t>일반 마진에 이용 가능한 순 수익 %</t>
  </si>
  <si>
    <t>正常化净收入利润率 ％</t>
  </si>
  <si>
    <t>正常化淨收入利潤率 ％</t>
  </si>
  <si>
    <t>Marge de bénéfice net normalisée %.</t>
  </si>
  <si>
    <t>Marge auf das normalisierte Nettoergebnis</t>
  </si>
  <si>
    <t>Margine risultato netto normalizzato</t>
  </si>
  <si>
    <t>（標準化後）当期純利益マージン％</t>
  </si>
  <si>
    <t>Маржа нормализованной чистой прибыли %</t>
  </si>
  <si>
    <t>Margen de beneficio neto normalizado %.</t>
  </si>
  <si>
    <t>정상화된 순 수익 마진 %</t>
  </si>
  <si>
    <t>杠杆自由现金流利润率 ％</t>
  </si>
  <si>
    <t>槓桿自由現金流利潤率 ％</t>
  </si>
  <si>
    <t>Marge de Flux de trésorerie disponible à effet de levier (%)</t>
  </si>
  <si>
    <t>Marge auf fremdfinanzierten freien Cashflow %</t>
  </si>
  <si>
    <t>Margine flusso di cassa con leva (%)</t>
  </si>
  <si>
    <t>レバード・フリー・キャッシュ・フロー・マージン％</t>
  </si>
  <si>
    <t>Маржа свободного денежного потока с долговой нагрузкой %</t>
  </si>
  <si>
    <t>Margen de flujo de efectivo libre apalancado %</t>
  </si>
  <si>
    <t>레버리지된 자유로운 현금 흐름 마진 %</t>
  </si>
  <si>
    <t>无杠杆自由现金流利润率 ％</t>
  </si>
  <si>
    <t>無槓桿自由現金流利潤率 ％</t>
  </si>
  <si>
    <t>Marge de Flux de trésorerie disponible sans effet de levier (%)</t>
  </si>
  <si>
    <t>Marge auf nicht fremdfinanzierten freien Cashflow %</t>
  </si>
  <si>
    <t>Margine fusso di cassa senza leva %</t>
  </si>
  <si>
    <t>アンレバード・フリー・キャッシュ・フロー・マージン％</t>
  </si>
  <si>
    <t>Маржа свободного денежного потока без долговой нагрузки %</t>
  </si>
  <si>
    <t>Margen de flujo de efectivo libre sin apalancamiento %</t>
  </si>
  <si>
    <t>레버리지를 적용하지 않은 자유로운 현금 흐름 마진 %</t>
  </si>
  <si>
    <t>资本支出占收入的百分比</t>
  </si>
  <si>
    <t>資本支出佔收入的百分比</t>
  </si>
  <si>
    <t>Investissements en % des revenus</t>
  </si>
  <si>
    <t>Anlageinvestitionen in % der Erlöse</t>
  </si>
  <si>
    <t>Capex come % ricavi</t>
  </si>
  <si>
    <t>設備投資率</t>
  </si>
  <si>
    <t>Капитальные затраты как % от выручки</t>
  </si>
  <si>
    <t>Gastos de capital como% de ingresos</t>
  </si>
  <si>
    <t>수익 기준 자본 지출 비율(%)</t>
  </si>
  <si>
    <t>资产周转率</t>
  </si>
  <si>
    <t>資產周轉率</t>
  </si>
  <si>
    <t>Rotation des actifs</t>
  </si>
  <si>
    <t>Kapitalumschlag</t>
  </si>
  <si>
    <t>Indice di rotazione dell'attivo</t>
  </si>
  <si>
    <t>資産回転率</t>
  </si>
  <si>
    <t xml:space="preserve">Оборот активов </t>
  </si>
  <si>
    <t>Rotación de activos</t>
  </si>
  <si>
    <t>자산회전율</t>
  </si>
  <si>
    <t>总资产周转率</t>
  </si>
  <si>
    <t>總資産周轉率</t>
  </si>
  <si>
    <t>Chiffre d'affaires total</t>
  </si>
  <si>
    <t>Umsatz von Gesamtvermögen</t>
  </si>
  <si>
    <t>Fatturato totale delle attività</t>
  </si>
  <si>
    <t>総資産回転率</t>
  </si>
  <si>
    <t>Всего оборот активов</t>
  </si>
  <si>
    <t>Rotación total de activos</t>
  </si>
  <si>
    <t>총자산회전율</t>
  </si>
  <si>
    <t>固定资产周转率</t>
  </si>
  <si>
    <t>固定資産周轉率</t>
  </si>
  <si>
    <t>Chiffre d'affaires des immobilisations</t>
  </si>
  <si>
    <t>Umsatz von Anlagevermögen</t>
  </si>
  <si>
    <t>Fatturato delle immobilizzazioni</t>
  </si>
  <si>
    <t>固定資産回転率</t>
  </si>
  <si>
    <t>Оборот основных активов</t>
  </si>
  <si>
    <t>Rotación de activos fijos</t>
  </si>
  <si>
    <t>고정자산회전율</t>
  </si>
  <si>
    <t>应收账款周转率</t>
  </si>
  <si>
    <t>應收賬款周轉率</t>
  </si>
  <si>
    <t>Chiffre d'affaires des comptes débiteurs</t>
  </si>
  <si>
    <t>Umsatz von Forderungen</t>
  </si>
  <si>
    <t>Fatturato di crediti verso clienti</t>
  </si>
  <si>
    <t>売上債権回転率</t>
  </si>
  <si>
    <t>Оборачиваемость дебиторской задолженности</t>
  </si>
  <si>
    <t>Rotación de cuentas por cobrar</t>
  </si>
  <si>
    <t>매출채권회전율</t>
  </si>
  <si>
    <t>存货周转率</t>
  </si>
  <si>
    <t>存貨周轉率</t>
  </si>
  <si>
    <t>Chiffre d'affaires des stocks</t>
  </si>
  <si>
    <t>Umsatz von Vorratsbestand</t>
  </si>
  <si>
    <t>Fatturato di inventario</t>
  </si>
  <si>
    <t>棚卸資産回転率</t>
  </si>
  <si>
    <t>Оборачиваемость запасов</t>
  </si>
  <si>
    <t>Rotación del inventario</t>
  </si>
  <si>
    <t>재고자산회전율</t>
  </si>
  <si>
    <t>流动比率</t>
  </si>
  <si>
    <t>流動比率</t>
  </si>
  <si>
    <t>Ratio actuel</t>
  </si>
  <si>
    <t>Aktuelles Kennzahl</t>
  </si>
  <si>
    <t>Rapporto attuale</t>
  </si>
  <si>
    <t>Коэффициент текущей ликвидности</t>
  </si>
  <si>
    <t>Ratio corriente</t>
  </si>
  <si>
    <t>유동비율</t>
  </si>
  <si>
    <t>速动比率</t>
  </si>
  <si>
    <t>速動比率</t>
  </si>
  <si>
    <t>Ratio de liquidité</t>
  </si>
  <si>
    <t>Liquiditätskennzahl</t>
  </si>
  <si>
    <t>Rapporto rapido</t>
  </si>
  <si>
    <t>当座比率</t>
  </si>
  <si>
    <t>Коэффициент быстрой ликвидности</t>
  </si>
  <si>
    <t>Prueba ácida</t>
  </si>
  <si>
    <t>당좌 비율</t>
  </si>
  <si>
    <t>经营现金流量比率</t>
  </si>
  <si>
    <t>經營現金流量比率</t>
  </si>
  <si>
    <t>Trésorerie des opérations au passif à court terme</t>
  </si>
  <si>
    <t>Barmittel von Betriebstätigkeit zu kurzfristigen Verbindlichkeiten</t>
  </si>
  <si>
    <t>Liquidità da operazioni verso passività correnti.</t>
  </si>
  <si>
    <t>営業活動によるC/F 対流動負債</t>
  </si>
  <si>
    <t>Денежные средства от операционной деятельности к текущим обязательствам</t>
  </si>
  <si>
    <t>Efectivo proveniente de las operaciones al pasivo corriente</t>
  </si>
  <si>
    <t>운영에서 현재 채무로 이동한 현금</t>
  </si>
  <si>
    <t>平均销售周转天数</t>
  </si>
  <si>
    <t>平均銷售周轉天數</t>
  </si>
  <si>
    <t>Délai moyen de recouvrement des créances</t>
  </si>
  <si>
    <t>Durchschnittliche Außenstand Tage</t>
  </si>
  <si>
    <t>Giorni medi di vendita</t>
  </si>
  <si>
    <t>平均回転日数 - 売上債権</t>
  </si>
  <si>
    <t>Período medio de cobro en días</t>
  </si>
  <si>
    <t>평균 매출채권회전일수</t>
  </si>
  <si>
    <t>平均存货周转天数</t>
  </si>
  <si>
    <t>平均存貨周轉天數</t>
  </si>
  <si>
    <t>Nombre moyen de jours d'inventaire en suspens</t>
  </si>
  <si>
    <t>Durchschnittliche Anzahl der Tage der ausstehenden Vorräte</t>
  </si>
  <si>
    <t>Giorni medi fuori inventario</t>
  </si>
  <si>
    <t>平均回転日数 - 棚卸資産</t>
  </si>
  <si>
    <t>Среднее количество дней оборачиваемости товарных запасов</t>
  </si>
  <si>
    <t>Periodo medio de rotación del inventario en días</t>
  </si>
  <si>
    <t xml:space="preserve">평균 재고자산회전일수 </t>
  </si>
  <si>
    <t>平均应付账款周转天数</t>
  </si>
  <si>
    <t>平均應付賬款周轉天數</t>
  </si>
  <si>
    <t>Nombre moyen de jours à payer impayés</t>
  </si>
  <si>
    <t>Durchschnittliche Anzahl der ausstehenden Tage zur Zahlung</t>
  </si>
  <si>
    <t>Giorni medi esigibili</t>
  </si>
  <si>
    <t>平均回転日数 - 仕入債務</t>
  </si>
  <si>
    <t>Período medio de pago en días</t>
  </si>
  <si>
    <t>평균 매입채무회전일수</t>
  </si>
  <si>
    <t>平均现金循环周期</t>
  </si>
  <si>
    <t>平均現金循環周期</t>
  </si>
  <si>
    <t>Cycle moyen de conversion des espèces</t>
  </si>
  <si>
    <t>Durchschnittlicher Barumwandlungszyklus</t>
  </si>
  <si>
    <t>Ciclo medio di conversione di cassa</t>
  </si>
  <si>
    <t>キャッシュ・コンバージョン・サイクル</t>
  </si>
  <si>
    <t>Средний цикл конверсии наличных денежных средств</t>
  </si>
  <si>
    <t>Ciclo de conversión del efectivo promedio</t>
  </si>
  <si>
    <t xml:space="preserve">평균 현금전환주기 </t>
  </si>
  <si>
    <t>总债务 / 权益</t>
  </si>
  <si>
    <t>總債務 / 權益</t>
  </si>
  <si>
    <t>Dette totale / capitaux propres</t>
  </si>
  <si>
    <t>Gesamtverschuldung/Eigenkapital</t>
  </si>
  <si>
    <t>Indebitamento totale/equity</t>
  </si>
  <si>
    <t>有利子負債 / 純資産 (%)</t>
  </si>
  <si>
    <t>Общая задолженность /Собственный капитал</t>
  </si>
  <si>
    <t>Deuda Total / Patrimonio</t>
  </si>
  <si>
    <t>총부채 / 자본총계 (%)</t>
  </si>
  <si>
    <t>总债务 / 资本</t>
  </si>
  <si>
    <t>總債務 / 資本</t>
  </si>
  <si>
    <t>Dette totale / capital</t>
  </si>
  <si>
    <t>Gesamtverschuldung/Kapital</t>
  </si>
  <si>
    <t>Indebitamento totale/capitale</t>
  </si>
  <si>
    <t>有利子負債 / 投下資本 (%)</t>
  </si>
  <si>
    <t>Общая задолженность /капитал</t>
  </si>
  <si>
    <t>Deuda Total / Capital</t>
  </si>
  <si>
    <t>총부채 / 투하자본 (%)</t>
  </si>
  <si>
    <t>长期债务/权益</t>
  </si>
  <si>
    <t>長期債務/權益</t>
  </si>
  <si>
    <t>Dette à long terme/capitaux propres</t>
  </si>
  <si>
    <t>Langfristige Schulden/ Eigenkapital</t>
  </si>
  <si>
    <t>Debito/equity a lungo termine</t>
  </si>
  <si>
    <t>長期有利子負債  / 純資産</t>
  </si>
  <si>
    <t>Долгосрочный долг/собственный капитал</t>
  </si>
  <si>
    <t>Deuda a largo plazo/capital social</t>
  </si>
  <si>
    <t>LT 채무/자본</t>
  </si>
  <si>
    <t>长期债务/资本</t>
  </si>
  <si>
    <t>長期債務/資本</t>
  </si>
  <si>
    <t>Dette à long terme/capital</t>
  </si>
  <si>
    <t>Langfristige Schulden/ Kapital</t>
  </si>
  <si>
    <t>Debito/capitale a lungo termine</t>
  </si>
  <si>
    <t>長期有利子負債/ 投下資本</t>
  </si>
  <si>
    <t>Долгосрочный долг/капитал</t>
  </si>
  <si>
    <t>Deuda/capital a largo plazo</t>
  </si>
  <si>
    <t>总负债/总资产</t>
  </si>
  <si>
    <t>總負債/總資產</t>
  </si>
  <si>
    <t>Passif total / Actif total</t>
  </si>
  <si>
    <t>Summe der Verbindlichkeiten/ Gesamtvermögen</t>
  </si>
  <si>
    <t>Totale passività/totale attività</t>
  </si>
  <si>
    <t>負債総額/総資産</t>
  </si>
  <si>
    <t>Всего обязательства / Всего активы</t>
  </si>
  <si>
    <t>Total de pasivos/total de activos</t>
  </si>
  <si>
    <t>총 채무/총 자산</t>
  </si>
  <si>
    <t>息稅前利潤 / 利息费用</t>
  </si>
  <si>
    <t>息稅前利潤 / 利息費用</t>
  </si>
  <si>
    <t>EBIT /charge d’intérêt</t>
  </si>
  <si>
    <t>EBIT/Zinsaufwand</t>
  </si>
  <si>
    <t>EBIT/Interesse passivo</t>
  </si>
  <si>
    <t>EBIT / 支払利息</t>
  </si>
  <si>
    <t>EBIT / Процентные расх.</t>
  </si>
  <si>
    <t>EBIT / Gastos por Intereses</t>
  </si>
  <si>
    <t>EBIT/이자 비용</t>
  </si>
  <si>
    <t>息税折旧摊销前利润 / 利息费用</t>
  </si>
  <si>
    <t>息稅折舊攤銷前利潤 / 利息費用</t>
  </si>
  <si>
    <t>EBITDA /charge d’intérêt</t>
  </si>
  <si>
    <t>EBITDA/Zinsaufwand</t>
  </si>
  <si>
    <t>EBITDA/Interesse passivo</t>
  </si>
  <si>
    <t>EBITDA / 支払利息</t>
  </si>
  <si>
    <t>EBITDA /Процентные расх.</t>
  </si>
  <si>
    <t>EBITDA / Gastos por Intereses</t>
  </si>
  <si>
    <t>EBITDA /이자 비용</t>
  </si>
  <si>
    <t>（息税折旧摊销前利润 - 资本支出） / 利息费用</t>
  </si>
  <si>
    <t>（息稅折舊攤銷前利潤 - 資本支出） / 利息費用</t>
  </si>
  <si>
    <t>(EBITDA-CAPEX) /charge d’intérêt</t>
  </si>
  <si>
    <t>(EBITDA-CAPEX)/Zinsaufwand</t>
  </si>
  <si>
    <t>(EBITDA-CAPEX)/Interesse passivo</t>
  </si>
  <si>
    <t>(EBITDA-設備投資) / 支払利息</t>
  </si>
  <si>
    <t>(EBITDA-CAPEX) / Процентные расх.</t>
  </si>
  <si>
    <t>(EBITDA-Gastos de capital) / Gastos por Intereses</t>
  </si>
  <si>
    <t>(EBITDA-CAPEX) /이자 비용</t>
  </si>
  <si>
    <t>(税息折旧及摊销前利润,不包括经营租赁- 资本支出)/利息费用</t>
  </si>
  <si>
    <t>(稅息折舊及攤銷前利潤,不包括經營租賃 - 資本支出)/利息費用</t>
  </si>
  <si>
    <t>(EBITDA, à l'exclusion du leasing opérationnel- CAPEX)/Charge d'intérêts</t>
  </si>
  <si>
    <t>(EBITDA, ohne Operating-Leasing – ANLAGEINVESTITIONEN)/Zinsaufwand</t>
  </si>
  <si>
    <t>(EBITDA, escl. locazioni operative- CAPEX)/Interessi passivi</t>
  </si>
  <si>
    <t>(EBITDA,次の値を除 オペレーティング・リース- 設備投資)/支払利息</t>
  </si>
  <si>
    <t>(EBITDA, исключая операционную аренду- CAPEX)/Процентные расходы</t>
  </si>
  <si>
    <t>(EBITDA, excluyendo arrendamientos operativos- CAPEX)/Gastos por intereses</t>
  </si>
  <si>
    <t>(EBITDA, 운용리스 제외- CAPEX)/이자비용</t>
  </si>
  <si>
    <t>Score Altman Z</t>
  </si>
  <si>
    <t>Z-Score nach Altman</t>
  </si>
  <si>
    <t>Altman punteggio zeta</t>
  </si>
  <si>
    <t xml:space="preserve"> アルトマンのZ値</t>
  </si>
  <si>
    <t>Альтман Z Оценка</t>
  </si>
  <si>
    <t>Puntuación Altman Z</t>
  </si>
  <si>
    <t>알트만 Z 스코어</t>
  </si>
  <si>
    <t>同比增长</t>
  </si>
  <si>
    <t>同比增長</t>
  </si>
  <si>
    <t>Croissance par rapport à l'année précédente</t>
  </si>
  <si>
    <t>Wachstum gegenüber dem Vorjahr</t>
  </si>
  <si>
    <t>Crescita rispetto all'anno precedente</t>
  </si>
  <si>
    <t>成長率(前年同期比較)</t>
  </si>
  <si>
    <t>Рост за предыдущий год</t>
  </si>
  <si>
    <t>Crecimiento con respecto al año anterior</t>
  </si>
  <si>
    <t xml:space="preserve">전년도 대비 성장률 </t>
  </si>
  <si>
    <t>摊薄每股盈利(不包括非经常性项目)</t>
  </si>
  <si>
    <t>bénéfices dilués par action avant Extra</t>
  </si>
  <si>
    <t>Verwässertes EPS vor Extra</t>
  </si>
  <si>
    <t>EPS diluito prima di Extra</t>
  </si>
  <si>
    <t>特別項目調整前希薄EPS</t>
  </si>
  <si>
    <t>Разводненная прибыль на одну акцию (EPS) до вычета чрезвычайных статей</t>
  </si>
  <si>
    <t xml:space="preserve"> Ganancias por acción diluidas antes de partidas extraordinarias</t>
  </si>
  <si>
    <t>특별손익 제외 희석 주당이익</t>
  </si>
  <si>
    <t>总资产</t>
  </si>
  <si>
    <t>總資産</t>
  </si>
  <si>
    <t>Total de l'actif</t>
  </si>
  <si>
    <t>Gesamtvermögen</t>
  </si>
  <si>
    <t>Totale attività</t>
  </si>
  <si>
    <t>総資産</t>
  </si>
  <si>
    <t>Всего активов</t>
  </si>
  <si>
    <t>Total de activos</t>
  </si>
  <si>
    <t>자산총계</t>
  </si>
  <si>
    <t>Dépenses en immobilisations</t>
  </si>
  <si>
    <t>設備投資</t>
  </si>
  <si>
    <t>杠杆自由现金流</t>
  </si>
  <si>
    <t>槓桿自由現金流</t>
  </si>
  <si>
    <t>Flux de trésorerie disponible</t>
  </si>
  <si>
    <t>Fremdfinanzierter freier Cashflow</t>
  </si>
  <si>
    <t>Flusso di cassa con leva</t>
  </si>
  <si>
    <t>レバード・フリー・キャッシュ・フロー</t>
  </si>
  <si>
    <t>Cвободный денежный поток с долговой нагрузкой</t>
  </si>
  <si>
    <t>El flujo de efectivo libre apalancado</t>
  </si>
  <si>
    <t>차입 잉여현금흐름</t>
  </si>
  <si>
    <t>非杠杆自由现金流</t>
  </si>
  <si>
    <t>非槓桿自由現金流</t>
  </si>
  <si>
    <t>Flux de trésorerie disponible sans désendettement</t>
  </si>
  <si>
    <t>Verfügbarer Geldfluss ohne Schulden</t>
  </si>
  <si>
    <t>Flusso di cassa libero unlevered</t>
  </si>
  <si>
    <t>アンレバードフリーキャッシュフロー</t>
  </si>
  <si>
    <t>Свободный денежный поток без учета финансовых обязательств</t>
  </si>
  <si>
    <t>Flujo de efectivo libre excluyendo pago de intereses</t>
  </si>
  <si>
    <t>기업잉여현금흐름 (Unlevered)</t>
  </si>
  <si>
    <t>资料来源: S&amp;P Capital IQ</t>
  </si>
  <si>
    <t>資料來源: S&amp;P Capital IQ</t>
  </si>
  <si>
    <t>Source : S&amp;P Capital IQ</t>
  </si>
  <si>
    <t>Quelle: S&amp;P Capital IQ</t>
  </si>
  <si>
    <t>Fonte: S&amp;P Capital IQ</t>
  </si>
  <si>
    <t>出所：S&amp;P Capital IQ</t>
  </si>
  <si>
    <t>Источник: S&amp;P Capital IQ</t>
  </si>
  <si>
    <t>Fuente: S&amp;P Capital IQ</t>
  </si>
  <si>
    <t>출처: S&amp;P Capital IQ</t>
  </si>
  <si>
    <t>审核公司名称</t>
  </si>
  <si>
    <t>審核公司名稱</t>
  </si>
  <si>
    <t>Nom de l'auditeur</t>
  </si>
  <si>
    <t>Name des Rechnungsprüfers</t>
  </si>
  <si>
    <t>Nome del revisore</t>
  </si>
  <si>
    <t>監査役の名前</t>
  </si>
  <si>
    <t>Имя аудитора</t>
  </si>
  <si>
    <t>Nombre del auditor</t>
  </si>
  <si>
    <t>감사인 이름</t>
  </si>
  <si>
    <t>审计意见</t>
  </si>
  <si>
    <t>審計意見</t>
  </si>
  <si>
    <t>Opinion du vérificateur</t>
  </si>
  <si>
    <t>Gutachten des Rechnungsprüfers</t>
  </si>
  <si>
    <t>Opinione del revisore</t>
  </si>
  <si>
    <t>監査意見</t>
  </si>
  <si>
    <t>Аудиторское заключение</t>
  </si>
  <si>
    <t>Opinión del auditor</t>
  </si>
  <si>
    <t>감사인 의견</t>
  </si>
  <si>
    <t>资产管理规模-权益</t>
  </si>
  <si>
    <t>資產管理規模-權益</t>
  </si>
  <si>
    <t>Actifs sous gestion - Actifs</t>
  </si>
  <si>
    <t>Verwaltetes Vermögen – Aktien</t>
  </si>
  <si>
    <t>Attività gestite - Equity</t>
  </si>
  <si>
    <t>運用資産 - 株式</t>
  </si>
  <si>
    <t>Активы в управлении - Активы</t>
  </si>
  <si>
    <t>Activos bajo gestión - Patrimonio</t>
  </si>
  <si>
    <t>운용 자산 - 주식</t>
  </si>
  <si>
    <t>资产管理规模-货币市场</t>
  </si>
  <si>
    <t>資產管理規模-貨幣市場</t>
  </si>
  <si>
    <t>Avoirs sous gestion - Marché monétaire</t>
  </si>
  <si>
    <t>Verwaltetes Vermögen – Geldmarktpapiere</t>
  </si>
  <si>
    <t>Attività gestite - Mercato monetario</t>
  </si>
  <si>
    <t>運用資産 - マネー・マーケット</t>
  </si>
  <si>
    <t>Активы в управлении - Денежный рынок</t>
  </si>
  <si>
    <t>Activos bajo gestión - Mercado de dinero</t>
  </si>
  <si>
    <t>운용 자산 - 금융시장</t>
  </si>
  <si>
    <t>资产管理规模-其他</t>
  </si>
  <si>
    <t>資產管理規模-其他</t>
  </si>
  <si>
    <t>Actifs sous gestion - Autres</t>
  </si>
  <si>
    <t>Verwaltetes Vermögen – Sonstiges</t>
  </si>
  <si>
    <t>Attività gestite - Altro</t>
  </si>
  <si>
    <t>運用資産 - その他</t>
  </si>
  <si>
    <t>Активы в управлении - Прочее</t>
  </si>
  <si>
    <t>Activos bajo gestión - Otros</t>
  </si>
  <si>
    <t>운용 자산 - 기타</t>
  </si>
  <si>
    <t>资产管理规模</t>
  </si>
  <si>
    <t>資產管理規模</t>
  </si>
  <si>
    <t>Actifs sous gestion</t>
  </si>
  <si>
    <t>Verwaltetes Vermögen</t>
  </si>
  <si>
    <t>Attività gestite</t>
  </si>
  <si>
    <t>運用資産</t>
  </si>
  <si>
    <t>Активы в управлении</t>
  </si>
  <si>
    <t>Activos bajo gestión</t>
  </si>
  <si>
    <t>운용 자산</t>
  </si>
  <si>
    <t>资产管理规模-私募股权</t>
  </si>
  <si>
    <t>資產管理規模-私募股權</t>
  </si>
  <si>
    <t>Actifs sous gestion - Capital-investissement</t>
  </si>
  <si>
    <t>Verwaltetes Vermögen – Private Equity</t>
  </si>
  <si>
    <t>Attività gestite - Private equity</t>
  </si>
  <si>
    <t>運用資産 - プライベート・エクイティ</t>
  </si>
  <si>
    <t>Активы в управлении - Частные инвестиции</t>
  </si>
  <si>
    <t>Activos bajo gestión - Capital privado</t>
  </si>
  <si>
    <t>운용 자산 - 사모펀드</t>
  </si>
  <si>
    <t>资产管理规模-房地产</t>
  </si>
  <si>
    <t>資產管理規模-房地產</t>
  </si>
  <si>
    <t>Actifs sous gestion - Immobilier</t>
  </si>
  <si>
    <t>Verwaltetes Vermögen – Immobilien</t>
  </si>
  <si>
    <t>Attività gestite - Immobiliare</t>
  </si>
  <si>
    <t>運用資産 - 不動産</t>
  </si>
  <si>
    <t>Активы в управлении - Недвижимость</t>
  </si>
  <si>
    <t>Activos bajo administración - Bienes raíces</t>
  </si>
  <si>
    <t>운용 자산 - 부동산</t>
  </si>
  <si>
    <t>资产管理规模-机构</t>
  </si>
  <si>
    <t>資產管理規模-機構</t>
  </si>
  <si>
    <t>Actifs sous gestion - Institutionnel</t>
  </si>
  <si>
    <t>Verwaltetes Vermögen – Institutionell</t>
  </si>
  <si>
    <t>Attività gestite - Istituzionale</t>
  </si>
  <si>
    <t>運用資産 - 機関投資家</t>
  </si>
  <si>
    <t>Активы в управлении - Институциональные</t>
  </si>
  <si>
    <t>Activos bajo gestión - Institucional</t>
  </si>
  <si>
    <t>운용 자산 - 기관</t>
  </si>
  <si>
    <t>资产管理规模-零售</t>
  </si>
  <si>
    <t>資產管理規模-零售</t>
  </si>
  <si>
    <t>Actifs sous gestion - Commerce de détail</t>
  </si>
  <si>
    <t>Verwaltetes Vermögen – Einzelhandel</t>
  </si>
  <si>
    <t>Attività gestite - Retail</t>
  </si>
  <si>
    <t>運用資産 - 小売</t>
  </si>
  <si>
    <t>Активы в управлении - Розничная торговля</t>
  </si>
  <si>
    <t>Activos bajo gestión - Venta al por menor</t>
  </si>
  <si>
    <t>운용 자산 - 소매</t>
  </si>
  <si>
    <t>资产管理规模-高净额</t>
  </si>
  <si>
    <t>資產管理規模-高淨額</t>
  </si>
  <si>
    <t>Actifs sous gestion - Valeur nette élevée</t>
  </si>
  <si>
    <t>Verwaltetes Vermögen – Großvermögen</t>
  </si>
  <si>
    <t>Attività gestite - Patrimoni ingenti</t>
  </si>
  <si>
    <t>運用資産 - 富裕層</t>
  </si>
  <si>
    <t>Активы в управлении - Высокая чистая стоимость</t>
  </si>
  <si>
    <t>Activos bajo gestión - Alto Valor Neto</t>
  </si>
  <si>
    <t>운용 자산 - 고액 순자산</t>
  </si>
  <si>
    <t>资产管理规模-其他客户</t>
  </si>
  <si>
    <t>資產管理規模-其他客戶</t>
  </si>
  <si>
    <t>Actifs sous gestion - Autres clients</t>
  </si>
  <si>
    <t>Verwaltetes Vermögen – Andere Kunden</t>
  </si>
  <si>
    <t>Attività gestite - Altri clienti</t>
  </si>
  <si>
    <t>運用資産 - その他のクライアント</t>
  </si>
  <si>
    <t>Активы в управлении - Другие клиенты</t>
  </si>
  <si>
    <t>Activos bajo gestión - Otros clientes</t>
  </si>
  <si>
    <t>운용 자산 - 기타 고객</t>
  </si>
  <si>
    <t>资产管理规模-国内</t>
  </si>
  <si>
    <t>資產管理規模-國內</t>
  </si>
  <si>
    <t>Actifs sous gestion - National</t>
  </si>
  <si>
    <t>Verwaltetes Vermögen – Inland</t>
  </si>
  <si>
    <t>Attività gestite - Nazionale</t>
  </si>
  <si>
    <t>運用資産 - 国内</t>
  </si>
  <si>
    <t>Активы в управлении - Национальные</t>
  </si>
  <si>
    <t>Activos bajo gestión - Nacionales</t>
  </si>
  <si>
    <t>운용 자산 - 국내</t>
  </si>
  <si>
    <t>资产管理规模-外国</t>
  </si>
  <si>
    <t>資產管理規模-外國</t>
  </si>
  <si>
    <t>Actifs sous gestion - étrangers</t>
  </si>
  <si>
    <t>Verwaltetes Vermögen – Ausland</t>
  </si>
  <si>
    <t>Attività gestite - Estero</t>
  </si>
  <si>
    <t>運用資産 - 外国</t>
  </si>
  <si>
    <t>Активы в управлении - зарубежные</t>
  </si>
  <si>
    <t>Activos bajo gestión - Extranjero</t>
  </si>
  <si>
    <t>운용 자산 - 외국</t>
  </si>
  <si>
    <t>资产管理规模-费用收入</t>
  </si>
  <si>
    <t>資產管理規模-費用收入</t>
  </si>
  <si>
    <t>Actifs sous gestion - Revenus d'honoraires</t>
  </si>
  <si>
    <t>Verwaltetes Vermögen – Gebührenerlöse</t>
  </si>
  <si>
    <t>Attività gestite - Con introiti propri</t>
  </si>
  <si>
    <t>運用資産 - 手数料稼ぎ</t>
  </si>
  <si>
    <t>Активы в управлении - Комиссионные доходы</t>
  </si>
  <si>
    <t>Activos bajo gestión - Ganancia de honorarios</t>
  </si>
  <si>
    <t>운용 자산 - 수수료 수익</t>
  </si>
  <si>
    <t>资产管理规模-非费用收入</t>
  </si>
  <si>
    <t>資產管理規模-非費用收入</t>
  </si>
  <si>
    <t>Actifs sous gestion - Impayés</t>
  </si>
  <si>
    <t>Verwaltetes Vermögen – Andere Erlöse</t>
  </si>
  <si>
    <t>Attività gestite - Senza introiti propri</t>
  </si>
  <si>
    <t>運用資産 - 手数料稼ぎなし</t>
  </si>
  <si>
    <t>Активы в управлении - Неоплаченные</t>
  </si>
  <si>
    <t>Activos bajo gestión - No remunerados</t>
  </si>
  <si>
    <t>운용 자산 - 비수수료 수익</t>
  </si>
  <si>
    <t>资产管理规模-零售客户</t>
  </si>
  <si>
    <t>資產管理規模-零售客戶</t>
  </si>
  <si>
    <t>Actifs sous gestion - Clients de détail</t>
  </si>
  <si>
    <t>Verwaltetes Vermögen – Privatkunden</t>
  </si>
  <si>
    <t>Attività gestite - Clienti retail</t>
  </si>
  <si>
    <t>運用資産 - 小売顧客</t>
  </si>
  <si>
    <t>Активы в управлении - Розничные клиенты</t>
  </si>
  <si>
    <t>Activos bajo gestión - Clientes minoristas</t>
  </si>
  <si>
    <t>운용 자산 - 소매 고객</t>
  </si>
  <si>
    <t>资产管理规模-机构客户</t>
  </si>
  <si>
    <t>資產管理規模-機構客戶</t>
  </si>
  <si>
    <t>Actifs sous gestion - Clients institutionnels</t>
  </si>
  <si>
    <t>Verwaltetes Vermögen – Institutionelle Kunden</t>
  </si>
  <si>
    <t>Attività gestite - Clienti istituzionali</t>
  </si>
  <si>
    <t>運用資産 - 機関顧客</t>
  </si>
  <si>
    <t>Активы в управлении - Институциональные клиенты</t>
  </si>
  <si>
    <t>Activos bajo gestión - Clientes institucionales</t>
  </si>
  <si>
    <t>운용 자산 - 기관 고객</t>
  </si>
  <si>
    <t>资产管理规模-中小型企业客户</t>
  </si>
  <si>
    <t>資產管理規模-中小型企業客戶</t>
  </si>
  <si>
    <t>Actifs sous gestion - Clients des petites et moyennes entreprises</t>
  </si>
  <si>
    <t>Verwaltetes Vermögen – Kleine, mittlere Unternehmenskunden</t>
  </si>
  <si>
    <t>Attività gestite - Piccole e medie imprese</t>
  </si>
  <si>
    <t>運用資産 - 小・中企業顧客</t>
  </si>
  <si>
    <t>Активы в управлении - клиенты малого и среднего бизнеса</t>
  </si>
  <si>
    <t>Activos bajo gestión - Clientes de pequeñas y medianas empresas</t>
  </si>
  <si>
    <t>운용 자산 - 중소기업 고객</t>
  </si>
  <si>
    <t>運用資産 - その他の顧客</t>
  </si>
  <si>
    <t>资产管理规模-客户总数</t>
  </si>
  <si>
    <t>資產管理規模-客戶總數</t>
  </si>
  <si>
    <t>Actifs sous gestion - Total des clients</t>
  </si>
  <si>
    <t>Verwaltetes Vermögen – Kunden insgesamt</t>
  </si>
  <si>
    <t>Attività gestite - Totale clienti</t>
  </si>
  <si>
    <t>運用資産 - 総顧客</t>
  </si>
  <si>
    <t>Активы в управлении - Всего клиентов</t>
  </si>
  <si>
    <t>Activos bajo gestión - Total de clientes</t>
  </si>
  <si>
    <t>운용 자산 - 총 고객</t>
  </si>
  <si>
    <t>资产管理规模-期初</t>
  </si>
  <si>
    <t>資產管理規模-期初</t>
  </si>
  <si>
    <t>Actifs sous gestion - Début de la période</t>
  </si>
  <si>
    <t>Verwaltetes Vermögen – Periodenbeginn</t>
  </si>
  <si>
    <t>Attività gestite - Inizio periodo</t>
  </si>
  <si>
    <t>運用資産 - 開始期間</t>
  </si>
  <si>
    <t>Активы в управлении - Начало периода</t>
  </si>
  <si>
    <t>Activos bajo gestión - Inicio del período</t>
  </si>
  <si>
    <t>운용 자산 - 기간 시작</t>
  </si>
  <si>
    <t>资产管理规模-流入</t>
  </si>
  <si>
    <t>資產管理規模-流入</t>
  </si>
  <si>
    <t>Actifs sous gestion - Entrées</t>
  </si>
  <si>
    <t>Verwaltetes Vermögen – Zuflüsse</t>
  </si>
  <si>
    <t>Attività gestite - Afflussi</t>
  </si>
  <si>
    <t>運用資産 - 流入額</t>
  </si>
  <si>
    <t>Активы в управлении - Потоки</t>
  </si>
  <si>
    <t>Activos bajo gestión - Entradas</t>
  </si>
  <si>
    <t>운용 자산 - 유입</t>
  </si>
  <si>
    <t>资产管理规模-流出</t>
  </si>
  <si>
    <t>資產管理規模-流出</t>
  </si>
  <si>
    <t>Actifs sous gestion - Sorties</t>
  </si>
  <si>
    <t>Verwaltetes Vermögen – Abflüsse</t>
  </si>
  <si>
    <t>Attività gestite - Deflussi</t>
  </si>
  <si>
    <t>運用資産 - 流出額</t>
  </si>
  <si>
    <t>Активы в управлении - Оттоки</t>
  </si>
  <si>
    <t>Activos bajo gestión - Salidas</t>
  </si>
  <si>
    <t>운용 자산 - 유출</t>
  </si>
  <si>
    <t>资产管理规模-净流入/（流出）</t>
  </si>
  <si>
    <t>資產管理規模-淨流入/（流出）</t>
  </si>
  <si>
    <t>Actifs sous gestion - Entrées / (sorties) nettes</t>
  </si>
  <si>
    <t>Verwaltetes Vermögen – Nettozuflüsse / (Abflüsse)</t>
  </si>
  <si>
    <t>Attività gestite - Afflussi netti/(deflussi)</t>
  </si>
  <si>
    <t>運用資産 - 純流入・（流出額）</t>
  </si>
  <si>
    <t>Активы в управлении - Чистые притоки / (Оттоки)</t>
  </si>
  <si>
    <t>Activos bajo gestión - Entradas / (Salidas) netas</t>
  </si>
  <si>
    <t>운용 자산 - 순 유입/(유출)</t>
  </si>
  <si>
    <t>资产管理规模-现金流量和股息</t>
  </si>
  <si>
    <t>資產管理規模-現金流量和股息</t>
  </si>
  <si>
    <t>Actifs sous gestion - Flux de trésorerie et dividendes</t>
  </si>
  <si>
    <t>Verwaltetes Vermögen – Cashflows und Dividenden</t>
  </si>
  <si>
    <t>Attività gestite - Flussi di cassa e dividendi</t>
  </si>
  <si>
    <t>運用資産 - キャッシュ・フロー・配当</t>
  </si>
  <si>
    <t>Активы в управлении - Денежные потоки и дивиденды</t>
  </si>
  <si>
    <t>Activos bajo gestión - Flujos de efectivo y dividendos</t>
  </si>
  <si>
    <t>운용 자산 - 현금 흐름 및 배당금</t>
  </si>
  <si>
    <t>资产管理规模-市场升值/（折旧）</t>
  </si>
  <si>
    <t>資產管理規模-市場升值/（折舊）</t>
  </si>
  <si>
    <t xml:space="preserve">Actifs sous gestion - Appréciation du marché/(Amortissement) </t>
  </si>
  <si>
    <t>Verwaltetes Vermögen – Marktwertsteigerung/ (-rückgang)</t>
  </si>
  <si>
    <t>Attività gestite - Apprezzamento mercato/(deprezzamento)</t>
  </si>
  <si>
    <t>運用資産 - 市場上昇/（低下）</t>
  </si>
  <si>
    <t>Активы в управлении - Рыночная стоимость / (износ)</t>
  </si>
  <si>
    <t xml:space="preserve">Activos bajo gestión - Apreciación/(Depreciación) del mercado </t>
  </si>
  <si>
    <t>운용 자산 - 시장 증가/(감가상각)</t>
  </si>
  <si>
    <t>资产管理规模-收购和转让</t>
  </si>
  <si>
    <t>資產管理規模-收購和轉讓</t>
  </si>
  <si>
    <t>Actifs sous gestion - Acquisitions et transferts</t>
  </si>
  <si>
    <t>Verwaltetes Vermögen – Übernahmen und Transfers</t>
  </si>
  <si>
    <t>Attività gestite - Acquisizioni e trasferimenti</t>
  </si>
  <si>
    <t>運用資産 - 買収および譲渡</t>
  </si>
  <si>
    <t>Активы в управлении - Приобретения и передача активов</t>
  </si>
  <si>
    <t>Activos bajo gestión - Adquisiciones y transferencias</t>
  </si>
  <si>
    <t>운용 자산 - 인수 및 양도</t>
  </si>
  <si>
    <t>资产管理规模-其他调整</t>
  </si>
  <si>
    <t>資產管理規模-其他調整</t>
  </si>
  <si>
    <t>Actifs sous gestion - Autres ajustements</t>
  </si>
  <si>
    <t>Verwaltetes Vermögen – Andere Anpassungen</t>
  </si>
  <si>
    <t>Attività gestite - Altre rettifiche</t>
  </si>
  <si>
    <t>運用資産 - その他の調整</t>
  </si>
  <si>
    <t>Активы в управлении - прочие корректировки</t>
  </si>
  <si>
    <t>Activos bajo gestión - Otros ajustes</t>
  </si>
  <si>
    <t>운용 자산 - 기타 조정</t>
  </si>
  <si>
    <t>资产管理规模-期末</t>
  </si>
  <si>
    <t>資產管理規模-期末</t>
  </si>
  <si>
    <t>Actifs sous gestion - Fin de période</t>
  </si>
  <si>
    <t>Verwaltetes Vermögen – Periodenende</t>
  </si>
  <si>
    <t>Attività gestite - Fine periodo</t>
  </si>
  <si>
    <t>運用資産 - 終了期間</t>
  </si>
  <si>
    <t>Активы в управлении - конец периода</t>
  </si>
  <si>
    <t>Activos bajo gestión - Fin del período</t>
  </si>
  <si>
    <t>운용 자산 - 기간 끝</t>
  </si>
  <si>
    <t>资产管理规模-平均</t>
  </si>
  <si>
    <t>資產管理規模-平均</t>
  </si>
  <si>
    <t>Actifs sous gestion - Moyenne</t>
  </si>
  <si>
    <t>Verwaltetes Vermögen – Durchschnitt</t>
  </si>
  <si>
    <t>Attività gestite - Media</t>
  </si>
  <si>
    <t>運用資産 - 平均</t>
  </si>
  <si>
    <t>Активы в управлении - Средний</t>
  </si>
  <si>
    <t>Activos bajo gestión - Promedio</t>
  </si>
  <si>
    <t>운용 자산 - 평균</t>
  </si>
  <si>
    <t>资产管理规模-净变动</t>
  </si>
  <si>
    <t>資產管理規模-淨變動</t>
  </si>
  <si>
    <t>Actifs sous gestion - Variation nette</t>
  </si>
  <si>
    <t>Verwaltetes Vermögen – Nettoveränderung</t>
  </si>
  <si>
    <t>Attività gestite - Variazione netta</t>
  </si>
  <si>
    <t>運用資産 - 純変化</t>
  </si>
  <si>
    <t>Активы в управлении - чистое изменение</t>
  </si>
  <si>
    <t>Activos bajo gestión - Cambio neto</t>
  </si>
  <si>
    <t>운용 자산 - 전일대비</t>
  </si>
  <si>
    <t>共同基金-期初</t>
  </si>
  <si>
    <t>Fonds d'investissement - Début de la période</t>
  </si>
  <si>
    <t>Investmentfonds – Periodenanfang</t>
  </si>
  <si>
    <t>Fondo comune - Inizio periodo</t>
  </si>
  <si>
    <t>投資信託 - 開始期間</t>
  </si>
  <si>
    <t>Паевой фонд - начало периода</t>
  </si>
  <si>
    <t>Fondo de Inversión - Inicio del período</t>
  </si>
  <si>
    <t>뮤추얼펀드 - 기간 시작</t>
  </si>
  <si>
    <t>共同基金-销售</t>
  </si>
  <si>
    <t>共同基金-銷售</t>
  </si>
  <si>
    <t>Fonds d'investissement - Ventes</t>
  </si>
  <si>
    <t>Investmentfonds – Umsatz</t>
  </si>
  <si>
    <t>Fondo comune - Vendite</t>
  </si>
  <si>
    <t>投資信託 - 販売</t>
  </si>
  <si>
    <t>Паевой фонд - Продажи</t>
  </si>
  <si>
    <t>Fondo de inversión - Ventas</t>
  </si>
  <si>
    <t>뮤추얼펀드 - 매출</t>
  </si>
  <si>
    <t>共同基金-赎回</t>
  </si>
  <si>
    <t>共同基金-贖回</t>
  </si>
  <si>
    <t>Fonds d'investissement - Remboursements</t>
  </si>
  <si>
    <t>Investmentfonds – Rücknahmen</t>
  </si>
  <si>
    <t>Fondo comune - Rimborsi</t>
  </si>
  <si>
    <t>投資信託 - 償還</t>
  </si>
  <si>
    <t>Паевой фонд - Изъятия</t>
  </si>
  <si>
    <t>Fondo de inversión - Reembolsos</t>
  </si>
  <si>
    <t>뮤추얼펀드 - 상환</t>
  </si>
  <si>
    <t>共同基金-净销售额</t>
  </si>
  <si>
    <t>共同基金-淨銷售額</t>
  </si>
  <si>
    <t>Fonds d'investissement - Ventes nettes</t>
  </si>
  <si>
    <t>Investmentfonds – Nettoumsatz</t>
  </si>
  <si>
    <t>Fondo comune - Vendite nette</t>
  </si>
  <si>
    <t>投資信託 - 売上高</t>
  </si>
  <si>
    <t>Паевой фонд - чистые продажи</t>
  </si>
  <si>
    <t>Fondo de Inversión - Ventas netas</t>
  </si>
  <si>
    <t>뮤추얼펀드 - 순매출</t>
  </si>
  <si>
    <t>共同基金-市场升值/（折旧）</t>
  </si>
  <si>
    <t>共同基金-市場升值/（折舊）</t>
  </si>
  <si>
    <t>Fonds d'investissement - Appréciation du marché / (Amortissement)</t>
  </si>
  <si>
    <t>Investmentfond – Marktwertsteigerung / (Abschreibungen)</t>
  </si>
  <si>
    <t>Fondo comune - Apprezzamento mercato/(deprezzamento)</t>
  </si>
  <si>
    <t>投資信託 - 市場上昇/（低下）</t>
  </si>
  <si>
    <t>Паевой фонд - Рыночная оценка / (амортизация)</t>
  </si>
  <si>
    <t>Fondo de Inversión - Apreciación del mercado / (Depreciación)</t>
  </si>
  <si>
    <t>뮤추얼펀드 - 시장 증가/(감가상각)</t>
  </si>
  <si>
    <t>共同基金-收购及其他</t>
  </si>
  <si>
    <t>共同基金-收購及其他</t>
  </si>
  <si>
    <t>Fonds d'investissement - Acquisitions et autres</t>
  </si>
  <si>
    <t>Investmentfonds – Erwerbe und Sonstiges</t>
  </si>
  <si>
    <t>Fondo comune - Acquisizioni e altro</t>
  </si>
  <si>
    <t>投資信託 - 買収及びその他</t>
  </si>
  <si>
    <t>Паевой фонд - Приобретения и прочее</t>
  </si>
  <si>
    <t>Fondo de Inversión - Adquisiciones y otros</t>
  </si>
  <si>
    <t>뮤추얼펀드 - 인수 및 기타</t>
  </si>
  <si>
    <t>共同基金-期末</t>
  </si>
  <si>
    <t>Fonds d'investissement - Fin de la période</t>
  </si>
  <si>
    <t>Investmentfonds – Periodenende</t>
  </si>
  <si>
    <t>Fondo comune - Fine periodo</t>
  </si>
  <si>
    <t>終了期間</t>
  </si>
  <si>
    <t>Паевой фонд - конец периода</t>
  </si>
  <si>
    <t>Fondo de Inversión - Fin del período</t>
  </si>
  <si>
    <t>뮤추얼펀드 - 시간 끝</t>
  </si>
  <si>
    <t>每日平均收益交易</t>
  </si>
  <si>
    <t>Revenu quotidien moyen des opérations</t>
  </si>
  <si>
    <t>Täglicher Durchschnittserlös aus Trades</t>
  </si>
  <si>
    <t>Rendimento medio giornaliero scambi (DART)</t>
  </si>
  <si>
    <t>日平均収入取引</t>
  </si>
  <si>
    <t>Среднесуточный доход от операций с ценными бумагами</t>
  </si>
  <si>
    <t>Promedio diario de ingresos de operaciones</t>
  </si>
  <si>
    <t>일일 평균 수익 거래</t>
  </si>
  <si>
    <t>交易数量</t>
  </si>
  <si>
    <t>交易數量</t>
  </si>
  <si>
    <t>Nombre d'opérations exécutées</t>
  </si>
  <si>
    <t>Anzahl der ausgeführten Trades</t>
  </si>
  <si>
    <t>Numero di scambi eseguiti</t>
  </si>
  <si>
    <t>取引執行数</t>
  </si>
  <si>
    <t>Количество совершенных сделок</t>
  </si>
  <si>
    <t>Número de operaciones ejecutadas</t>
  </si>
  <si>
    <t>실행 거래 수</t>
  </si>
  <si>
    <t>有机增长率</t>
  </si>
  <si>
    <t>有機增長率</t>
  </si>
  <si>
    <t>Taux de croissance organique</t>
  </si>
  <si>
    <t>Rate des organischen Wachstums</t>
  </si>
  <si>
    <t>Tasso di crescita organico</t>
  </si>
  <si>
    <t>有機的成長率</t>
  </si>
  <si>
    <t>Скорость органического роста</t>
  </si>
  <si>
    <t>Tasa de crecimiento orgánico</t>
  </si>
  <si>
    <t>유기적 성장률</t>
  </si>
  <si>
    <t>新客户净资产</t>
  </si>
  <si>
    <t>新客戶淨資產</t>
  </si>
  <si>
    <t>Actifs nets des nouveaux clients</t>
  </si>
  <si>
    <t>Netto-Neukundenvermögen</t>
  </si>
  <si>
    <t>Nuove attività cliente netto</t>
  </si>
  <si>
    <t>純新顧客資産</t>
  </si>
  <si>
    <t>Чистые новые клиентские активы</t>
  </si>
  <si>
    <t>Nuevos activos netos de los clientes</t>
  </si>
  <si>
    <t>순 신규고객 자산</t>
  </si>
  <si>
    <t>每笔交易的平均收入</t>
  </si>
  <si>
    <t>每筆交易的平均收入</t>
  </si>
  <si>
    <t>Revenu moyen par opération</t>
  </si>
  <si>
    <t>Durchschnittserlös pro Trade</t>
  </si>
  <si>
    <t>Rendimento medio per scambio</t>
  </si>
  <si>
    <t>平均一件取引当たりの収入</t>
  </si>
  <si>
    <t>Средний доход на торговлю</t>
  </si>
  <si>
    <t>Ingreso promedio por operación</t>
  </si>
  <si>
    <t>거래 당 평균 수익</t>
  </si>
  <si>
    <t>管理资产</t>
  </si>
  <si>
    <t>管理資產</t>
  </si>
  <si>
    <t>管理資産</t>
  </si>
  <si>
    <t>Активы под управлением</t>
  </si>
  <si>
    <t>Activos bajo administración</t>
  </si>
  <si>
    <t>관리 중인 자산(AUA)</t>
  </si>
  <si>
    <t>客户资产价值</t>
  </si>
  <si>
    <t>客戶資產價值</t>
  </si>
  <si>
    <t>Valeur des actifs des clients</t>
  </si>
  <si>
    <t>Wert des Kundenvermögens</t>
  </si>
  <si>
    <t>Valore attività cliente</t>
  </si>
  <si>
    <t>顧客資産の価値</t>
  </si>
  <si>
    <t>Стоимость активов клиента</t>
  </si>
  <si>
    <t>Valor de los activos del cliente</t>
  </si>
  <si>
    <t>고객 자산 가치</t>
  </si>
  <si>
    <t>资产管理增长率</t>
  </si>
  <si>
    <t>資產管理增長率</t>
  </si>
  <si>
    <t>Taux de croissance des actifs sous gestion</t>
  </si>
  <si>
    <t>Wachstumsrate des verwalteten Vermögens</t>
  </si>
  <si>
    <t>Tasso crescita patrimonio gestito</t>
  </si>
  <si>
    <t>運用資産の成長率</t>
  </si>
  <si>
    <t>Скорость роста управляемых активов</t>
  </si>
  <si>
    <t>Tasa de crecimiento de los activos gestionados</t>
  </si>
  <si>
    <t>자산 관리 성장률</t>
  </si>
  <si>
    <t>资本租赁资产-毛额</t>
  </si>
  <si>
    <t>資本租賃資產-毛額</t>
  </si>
  <si>
    <t>Actifs sous contrat de location-financement - bruts</t>
  </si>
  <si>
    <t>Vermögenswerte unter Finanzierungsleasing – Brutto</t>
  </si>
  <si>
    <t>Attività in leasing finanziario - lorde</t>
  </si>
  <si>
    <t>キャピタル・リースによる資産 - 総額</t>
  </si>
  <si>
    <t>Активы по капитальной аренде - валовые</t>
  </si>
  <si>
    <t>Activos en arrendamiento financiero - Bruto</t>
  </si>
  <si>
    <t>금융리스 자산 - 총계</t>
  </si>
  <si>
    <t>经营租赁资产-毛额</t>
  </si>
  <si>
    <t>經營租賃資產-毛額</t>
  </si>
  <si>
    <t>Actifs en leasing opérationnel - bruts</t>
  </si>
  <si>
    <t>Vermögenswerte aus Operating-Leasing – Brutto</t>
  </si>
  <si>
    <t>Attività in locazione operativa - Lordo</t>
  </si>
  <si>
    <t>オペレーティング・リースによる資産 - 総額</t>
  </si>
  <si>
    <t>Активы по операционной аренде - валовые</t>
  </si>
  <si>
    <t>Activos en arrendamiento operativo - Bruto</t>
  </si>
  <si>
    <t>운용리스 자산 - 총계</t>
  </si>
  <si>
    <t>累计备抵坏账</t>
  </si>
  <si>
    <t>累計備抵壞帳</t>
  </si>
  <si>
    <t>Provision cumulée pour comptes douteux</t>
  </si>
  <si>
    <t>Aufgelaufene Einzelwertberichtigung auf zweifelhafte Forderungen</t>
  </si>
  <si>
    <t>Fondo accumulato per svalutazione crediti</t>
  </si>
  <si>
    <t>不良債権に対する貸倒引当金総額</t>
  </si>
  <si>
    <t>Накопленная резервная сумма для сомнительных счетов</t>
  </si>
  <si>
    <t>Reserva acumulada para cuentas dudosas</t>
  </si>
  <si>
    <t>대손 충당금 누계액</t>
  </si>
  <si>
    <t>利息资本化，期初</t>
  </si>
  <si>
    <t>利息資本化，期初</t>
  </si>
  <si>
    <t>Intérêts capitalisés, début de la période</t>
  </si>
  <si>
    <t>Aktivierte Zinsen, Periodenanfang</t>
  </si>
  <si>
    <t>Interesse capitalizzato, inizio periodo</t>
  </si>
  <si>
    <t>資産された利息、初期</t>
  </si>
  <si>
    <t>Капитализированные проценты, начало периода</t>
  </si>
  <si>
    <t>Interés capitalizado, Al principio del período</t>
  </si>
  <si>
    <t>원금 가산 이자, 기간 시작</t>
  </si>
  <si>
    <t>利息资本化，已支出</t>
  </si>
  <si>
    <t>利息資本化，已支出</t>
  </si>
  <si>
    <t>Intérêts capitalisés, dépensés</t>
  </si>
  <si>
    <t>Aktivierte Zinsen, ertragswirksam</t>
  </si>
  <si>
    <t>Interesse capitalizzato, spesato</t>
  </si>
  <si>
    <t>資産された利息、費用処理</t>
  </si>
  <si>
    <t>Капитализированные проценты, расходы</t>
  </si>
  <si>
    <t>Intereses capitalizados, gastos</t>
  </si>
  <si>
    <t>원금 가산 이자, 지출</t>
  </si>
  <si>
    <t>利息资本化，注销</t>
  </si>
  <si>
    <t>利息資本化，註銷</t>
  </si>
  <si>
    <t>Intérêts capitalisés, amortis</t>
  </si>
  <si>
    <t>Aktivierte, abgeschriebene Zinsen</t>
  </si>
  <si>
    <t>Interesse capitalizzato, estinto</t>
  </si>
  <si>
    <t>資産された利息、償却</t>
  </si>
  <si>
    <t>Капитализированные проценты, списание</t>
  </si>
  <si>
    <t>Interés capitalizado, cancelado</t>
  </si>
  <si>
    <t>원금 가산 이자, 상각됨</t>
  </si>
  <si>
    <t>利息资本化，其他调整</t>
  </si>
  <si>
    <t>利息資本化，其他調整</t>
  </si>
  <si>
    <t>Intérêts capitalisés, autres ajustés</t>
  </si>
  <si>
    <t>Aktivierte Zinsen, andere Anpassungen</t>
  </si>
  <si>
    <t>Interesse capitalizzato, altre rett.</t>
  </si>
  <si>
    <t>資産された利息、その他の修正</t>
  </si>
  <si>
    <t>Капитализированные проценты, прочие скорректированные</t>
  </si>
  <si>
    <t>Intereses capitalizados, otros ajustes</t>
  </si>
  <si>
    <t>원금 가산 이자, 기타 조정</t>
  </si>
  <si>
    <t>利息资本化，期末</t>
  </si>
  <si>
    <t>利息資本化，期末</t>
  </si>
  <si>
    <t>Intérêts capitalisés, fin de période</t>
  </si>
  <si>
    <t>Aktivierte Zinsen, Periodenende</t>
  </si>
  <si>
    <t>Interesse capitalizzato, fine periodo</t>
  </si>
  <si>
    <t>資産された利息、終期</t>
  </si>
  <si>
    <t>Капитализированные проценты, конец периода</t>
  </si>
  <si>
    <t>Interés capitalizado, Final del período</t>
  </si>
  <si>
    <t>원금 가산 이자, 기간 끝</t>
  </si>
  <si>
    <t>净营业亏损结转，本年度</t>
  </si>
  <si>
    <t>淨營業虧損結轉，本年度</t>
  </si>
  <si>
    <t>Perte d'exploitation nette reportée (NOL C / F), année en cours</t>
  </si>
  <si>
    <t>NOL C/F, Laufendes Jahr</t>
  </si>
  <si>
    <t>Riporto perdite operativo netto, anno corrente</t>
  </si>
  <si>
    <t>純営業欠損金繰越、今年</t>
  </si>
  <si>
    <t>Чистый операционный убыток, перенесенный на будущие периоды (NOL C / F), текущий год</t>
  </si>
  <si>
    <t>Pérdidas operativas netas arrastradas (NOL C / F), año en curso</t>
  </si>
  <si>
    <t>NOL C/F, 금년도</t>
  </si>
  <si>
    <t>净经营亏损结转，本年度+1</t>
  </si>
  <si>
    <t>淨經營虧損結轉，本年度+1</t>
  </si>
  <si>
    <t>Perte d'exploitation nette reportée (NOL C / F), Année en cours + 1</t>
  </si>
  <si>
    <t>NOL C/F, Laufendes Jahr + 1</t>
  </si>
  <si>
    <t>Riporto perdite operativo netto, anno corrente + 1</t>
  </si>
  <si>
    <t>純営業欠損金繰越、今年+1</t>
  </si>
  <si>
    <t>Чистый операционный убыток, перенесенный на будущие периоды (NOL C / F), текущий год + 1</t>
  </si>
  <si>
    <t>Pérdidas operativas netas arrastradas (NOL C / F), Año en curso + 1</t>
  </si>
  <si>
    <t>NOL C/F, 금년도 + 1</t>
  </si>
  <si>
    <t>净经营亏损结转，本年度+2</t>
  </si>
  <si>
    <t>淨經營虧損結轉，本年度+2</t>
  </si>
  <si>
    <t>Perte d'exploitation nette reportée (NOL C / F), Année en cours + 2</t>
  </si>
  <si>
    <t>NOL C/F, Laufendes Jahr + 2</t>
  </si>
  <si>
    <t>Riporto perdite operativo netto, anno corrente + 2</t>
  </si>
  <si>
    <t>純営業欠損金繰越、今年+2</t>
  </si>
  <si>
    <t>Чистый операционный убыток, перенесенный на будущие периоды (NOL C / F), текущий год + 2</t>
  </si>
  <si>
    <t>Pérdidas operativas netas arrastradas (NOL C / F), Año en curso + 2</t>
  </si>
  <si>
    <t>NOL C/F, 금년도 + 2</t>
  </si>
  <si>
    <t>净经营亏损结转，本年度+3</t>
  </si>
  <si>
    <t>淨經營虧損結轉，本年度+3</t>
  </si>
  <si>
    <t>Perte d'exploitation nette reportée (NOL C / F), Année en cours + 3</t>
  </si>
  <si>
    <t>NOL C/F, Laufendes Jahr + 3</t>
  </si>
  <si>
    <t>Riporto perdite operativo netto, anno corrente + 3</t>
  </si>
  <si>
    <t>純営業欠損金繰越、今年+3</t>
  </si>
  <si>
    <t>Чистый операционный убыток, перенесенный на будущие периоды (NOL C / F), текущий год + 3</t>
  </si>
  <si>
    <t>Pérdidas operativas netas arrastradas (NOL C / F), Año en curso + 3</t>
  </si>
  <si>
    <t>NOL C/F, 금년도 + 3</t>
  </si>
  <si>
    <t>净经营亏损结转，本年度+4</t>
  </si>
  <si>
    <t>淨經營虧損結轉，本年度+4</t>
  </si>
  <si>
    <t>Perte d'exploitation nette reportée (NOL C / F), Année en cours + 4</t>
  </si>
  <si>
    <t>NOL C/F, Laufendes Jahr + 4</t>
  </si>
  <si>
    <t>Riporto perdite operativo netto, anno corrente + 4</t>
  </si>
  <si>
    <t>純営業欠損金繰越、今年+4</t>
  </si>
  <si>
    <t>Чистый операционный убыток, перенесенный на будущие периоды (NOL C / F), текущий год + 4</t>
  </si>
  <si>
    <t>Pérdidas operativas netas arrastradas (NOL C / F), Año en curso + 4</t>
  </si>
  <si>
    <t>NOL C/F, 금년도 + 4</t>
  </si>
  <si>
    <t>净经营亏损结转，五年后</t>
  </si>
  <si>
    <t>淨經營虧損結轉，五年後</t>
  </si>
  <si>
    <t>Perte d'exploitation nette reportée (NOL C / F), après cinq ans</t>
  </si>
  <si>
    <t>NOL C/F, nach fünf Jahren</t>
  </si>
  <si>
    <t>Riporto perdite operativo netto, dopo cinque anni</t>
  </si>
  <si>
    <t>純営業欠損金繰越、5年間後</t>
  </si>
  <si>
    <t>Отложенный чистый операционный убыток (NOL C / F), по истечении пяти лет</t>
  </si>
  <si>
    <t>Pérdidas operativas netas arrastradas (NOL C / F), después de cinco años</t>
  </si>
  <si>
    <t>NOL C/F, 5년 후</t>
  </si>
  <si>
    <t>净经营亏损结转，无过期</t>
  </si>
  <si>
    <t>淨經營虧損結轉，無過期</t>
  </si>
  <si>
    <t>Report de pertes d'exploitation nettes (NOL C / F), sans expiration</t>
  </si>
  <si>
    <t>NOL C/F, unendlich</t>
  </si>
  <si>
    <t>Riporto perdite operativo netto, senza scadenza</t>
  </si>
  <si>
    <t>純営業欠損金繰越、期限なし</t>
  </si>
  <si>
    <t>Чистый операционный убыток, перенесенный на будущие периоды (NOL C / F), истекший.</t>
  </si>
  <si>
    <t>Pérdidas operativas netas arrastradas (NOL C / F), No Expiración</t>
  </si>
  <si>
    <t>NOL C/F, 만기 없음</t>
  </si>
  <si>
    <t>净总经营亏损结转</t>
  </si>
  <si>
    <t>淨總經營虧損結轉</t>
  </si>
  <si>
    <t>Total des pertes d'exploitation nettes reportées (NOL C / F)</t>
  </si>
  <si>
    <t>Summe NOL C/F</t>
  </si>
  <si>
    <t>Totale riporto perdite operativo netto</t>
  </si>
  <si>
    <t>純営業欠損金繰越総額</t>
  </si>
  <si>
    <t>Итого чистые операционные убытки, перенесенные на будущие периоды (NOL C / F)</t>
  </si>
  <si>
    <t>Total Pérdidas operativas netas arrastradas (NOL C / F)</t>
  </si>
  <si>
    <t>총 NOL C/F</t>
  </si>
  <si>
    <t>净营业亏损结转的最高年份</t>
  </si>
  <si>
    <t>淨營業虧損結轉的最高年份</t>
  </si>
  <si>
    <t>Maximum annuel pour le report des pertes d'exploitation nettes (NOL C / F)</t>
  </si>
  <si>
    <t>Max. Jahre für NOL C/F</t>
  </si>
  <si>
    <t>Max. anno per riporto perdite operativo netto</t>
  </si>
  <si>
    <t>純営業欠損金繰越の最大年</t>
  </si>
  <si>
    <t>Максимальный годовой перенос чистых операционных убытков (NOL C / F)</t>
  </si>
  <si>
    <t>Año Máximo para Pérdidas operativas netas arrastradas (NOL C / F)</t>
  </si>
  <si>
    <t>NOL C/F 최대 연도</t>
  </si>
  <si>
    <t>资本损失结转，本年度</t>
  </si>
  <si>
    <t>資本損失結轉，本年度</t>
  </si>
  <si>
    <t>Perte en capital C/F, année en cours</t>
  </si>
  <si>
    <t>Kapitalverlust C/F, laufendes Jahr</t>
  </si>
  <si>
    <t>Riporto perdite capitale, anno corrente</t>
  </si>
  <si>
    <t>資本損失、今年</t>
  </si>
  <si>
    <t>Убыток капитала C/F, текущий год</t>
  </si>
  <si>
    <t>Pérdida de capital C/F, año en curso</t>
  </si>
  <si>
    <t>자본 손실 C/F, 금년도</t>
  </si>
  <si>
    <t>资本损失结转，本年度+ 1</t>
  </si>
  <si>
    <t>資本損失結轉，本年度+ 1</t>
  </si>
  <si>
    <t>Perte en capital C/F, année en cours + 1</t>
  </si>
  <si>
    <t>Kapitalverlust C/F, laufendes Jahr + 1</t>
  </si>
  <si>
    <t>Riporto perdite capitale, anno corrente + 1</t>
  </si>
  <si>
    <t>資本損失、今年+1</t>
  </si>
  <si>
    <t>Убыток капитала C/F, текущий год + 1</t>
  </si>
  <si>
    <t>Pérdida de capital C/F, año en curso + 1</t>
  </si>
  <si>
    <t>자본 손실 C/F, 금년도 + 1</t>
  </si>
  <si>
    <t>资本损失结转，本年度+ 2</t>
  </si>
  <si>
    <t>資本損失結轉，本年度+ 2</t>
  </si>
  <si>
    <t>Perte en capital C/F, année en cours + 2</t>
  </si>
  <si>
    <t>Kapitalverlust C/F, laufendes Jahr + 2</t>
  </si>
  <si>
    <t>Riporto perdite capitale, anno corrente + 2</t>
  </si>
  <si>
    <t>資本損失、今年+2</t>
  </si>
  <si>
    <t>Убыток капитала C/F, текущий год + 2</t>
  </si>
  <si>
    <t>Pérdida de capital C/F, año en curso + 2</t>
  </si>
  <si>
    <t>자본 손실 C/F, 금년도 + 2</t>
  </si>
  <si>
    <t>资本损失结转，本年度+ 3</t>
  </si>
  <si>
    <t>資本損失結轉，本年度+ 3</t>
  </si>
  <si>
    <t>Perte en capital C/F, année en cours + 3</t>
  </si>
  <si>
    <t>Kapitalverlust C/F, laufendes Jahr + 3</t>
  </si>
  <si>
    <t>Riporto perdite capitale, anno corrente + 3</t>
  </si>
  <si>
    <t>資本損失、今年+3</t>
  </si>
  <si>
    <t>Убыток капитала C/F, текущий год + 3</t>
  </si>
  <si>
    <t>Pérdida de capital C/F, año en curso + 3</t>
  </si>
  <si>
    <t>자본 손실 C/F, 금년도 + 3</t>
  </si>
  <si>
    <t>资本损失结转，本年度+ 4</t>
  </si>
  <si>
    <t>資本損失結轉，本年度+ 4</t>
  </si>
  <si>
    <t>Perte en capital C/F, année en cours + 4</t>
  </si>
  <si>
    <t>Kapitalverlust C/F, laufendes Jahr + 4</t>
  </si>
  <si>
    <t>Riporto perdite capitale, anno corrente + 4</t>
  </si>
  <si>
    <t>資本損失、今年+4</t>
  </si>
  <si>
    <t>Убыток капитала C/F, текущий год + 4</t>
  </si>
  <si>
    <t>Pérdida de capital C/F, año en curso + 4</t>
  </si>
  <si>
    <t>자본 손실 C/F, 금년도 + 4</t>
  </si>
  <si>
    <t>资本损失结转，五年后</t>
  </si>
  <si>
    <t>資本損失結轉，五年後</t>
  </si>
  <si>
    <t>Perte en capital C/F, après cinq ans</t>
  </si>
  <si>
    <t>Kapitalverlust C/F, nach fünf Jahren</t>
  </si>
  <si>
    <t>Riporto perdite capitale, dopo cinque anni</t>
  </si>
  <si>
    <t>資本損失、5年間後</t>
  </si>
  <si>
    <t>Потеря капитала C/F, через пять лет</t>
  </si>
  <si>
    <t>Pérdida de capital C/F, después de cinco años</t>
  </si>
  <si>
    <t>자본 손실 C/F, 5년 후</t>
  </si>
  <si>
    <t>资本亏损结转，不过期</t>
  </si>
  <si>
    <t>資本虧損結轉，不過期</t>
  </si>
  <si>
    <t>Perte de capital C/F, sans échéance</t>
  </si>
  <si>
    <t>Kapitalverlust C/F, unendlich</t>
  </si>
  <si>
    <t>Riporto perdite capitale, senza scadenza</t>
  </si>
  <si>
    <t>資本損失、期限なし</t>
  </si>
  <si>
    <t>Убыток капитала C/F, без срока погашения</t>
  </si>
  <si>
    <t>Pérdida de capital C/F, sin vencimiento</t>
  </si>
  <si>
    <t>자본 손실 C/F, 만기 없음</t>
  </si>
  <si>
    <t>总资本亏损结转</t>
  </si>
  <si>
    <t>總資本虧損結轉</t>
  </si>
  <si>
    <t>Perte totale de capital C/F</t>
  </si>
  <si>
    <t>Summe Kapitalverlust C/F</t>
  </si>
  <si>
    <t>Totale riporto perdite capitale</t>
  </si>
  <si>
    <t>資本損失総額</t>
  </si>
  <si>
    <t>Общий убыток капитала C/F</t>
  </si>
  <si>
    <t>Pérdida total de capital C/F</t>
  </si>
  <si>
    <t>총 자본 손실 C/F</t>
  </si>
  <si>
    <t>最高资本亏损结转年数</t>
  </si>
  <si>
    <t>最高資本虧損結轉年數</t>
  </si>
  <si>
    <t>Année Maximum de la perte en capital C/F</t>
  </si>
  <si>
    <t>Max. Jahre für Kapitalverlust C/F</t>
  </si>
  <si>
    <t>Max. anno per riporto perdite capitale</t>
  </si>
  <si>
    <t>資本損失の最大年</t>
  </si>
  <si>
    <t>Год Максимальных потерь капитала C/F</t>
  </si>
  <si>
    <t>Año Máximo para la pérdida de capital C/F</t>
  </si>
  <si>
    <t>자본 손실 C/F 최대 연도</t>
  </si>
  <si>
    <t>税收利益结转，本年度</t>
  </si>
  <si>
    <t>稅收利益結轉，本年度</t>
  </si>
  <si>
    <t>Avantage fiscal C/F, année en cours</t>
  </si>
  <si>
    <t>Steuergutschrift C/F, laufendes Jahr</t>
  </si>
  <si>
    <t>Riporto benefici fiscali, anno corrente</t>
  </si>
  <si>
    <t>税制優遇、今年</t>
  </si>
  <si>
    <t>C/F налоговая льгота, текущий год</t>
  </si>
  <si>
    <t>Beneficio fiscal C/F, año en curso</t>
  </si>
  <si>
    <t>세제혜택 C/F, 금년도</t>
  </si>
  <si>
    <t>税收利益结转，本年度+1</t>
  </si>
  <si>
    <t>稅收利益結轉，本年度+1</t>
  </si>
  <si>
    <t>Avantage fiscal C/F, année en cours + 1</t>
  </si>
  <si>
    <t>Steuergutschrift C/F, laufendes Jahr + 1</t>
  </si>
  <si>
    <t>Riporto benefici fiscali, anno corrente + 1</t>
  </si>
  <si>
    <t>税制優遇、今年+1</t>
  </si>
  <si>
    <t>C/F налоговая льгота, текущий год + 1</t>
  </si>
  <si>
    <t>Beneficio fiscal C/F, año en curso + 1</t>
  </si>
  <si>
    <t>세제혜택 C/F, 금년도 + 1</t>
  </si>
  <si>
    <t>税收利益结转，本年度+2</t>
  </si>
  <si>
    <t>稅收利益結轉，本年度+2</t>
  </si>
  <si>
    <t>Avantage fiscal C/F, année en cours + 2</t>
  </si>
  <si>
    <t>Steuergutschrift C/F, laufendes Jahr + 2</t>
  </si>
  <si>
    <t>Riporto benefici fiscali, anno corrente + 2</t>
  </si>
  <si>
    <t>税制優遇、今年+2</t>
  </si>
  <si>
    <t>C/F налоговая льгота, текущий год + 2</t>
  </si>
  <si>
    <t>Beneficio fiscal C/F, año en curso + 2</t>
  </si>
  <si>
    <t>세제혜택 C/F, 금년도 + 2</t>
  </si>
  <si>
    <t>税收利益结转，本年度+3</t>
  </si>
  <si>
    <t>稅收利益結轉，本年度+3</t>
  </si>
  <si>
    <t>Avantage fiscal C/F, année en cours + 3</t>
  </si>
  <si>
    <t>Steuergutschrift C/F, laufendes Jahr + 3</t>
  </si>
  <si>
    <t>Riporto benefici fiscali, anno corrente + 3</t>
  </si>
  <si>
    <t>税制優遇、今年+3</t>
  </si>
  <si>
    <t>C/F налоговая льгота, текущий год + 3</t>
  </si>
  <si>
    <t>Beneficio fiscal C/F, año en curso + 3</t>
  </si>
  <si>
    <t>세제혜택 C/F, 금년도 + 3</t>
  </si>
  <si>
    <t>税收利益结转，本年度+4</t>
  </si>
  <si>
    <t>稅收利益結轉，本年度+4</t>
  </si>
  <si>
    <t>Avantage fiscal C/F, année en cours + 4</t>
  </si>
  <si>
    <t>Steuergutschrift C/F, laufendes Jahr + 4</t>
  </si>
  <si>
    <t>Riporto benefici fiscali, anno corrente + 4</t>
  </si>
  <si>
    <t>税制優遇、今年+4</t>
  </si>
  <si>
    <t>C/F налоговая льгота, текущий год + 4</t>
  </si>
  <si>
    <t>Beneficio fiscal C/F, año en curso + 4</t>
  </si>
  <si>
    <t>세제혜택 C/F, 금년도 + 4</t>
  </si>
  <si>
    <t>税收利益结转，五年后</t>
  </si>
  <si>
    <t>稅收利益結轉，五年後</t>
  </si>
  <si>
    <t>Avantage fiscal C/F, après cinq ans</t>
  </si>
  <si>
    <t>Steuergutschrift C/F, nach fünf Jahren</t>
  </si>
  <si>
    <t>Riporto benefici fiscali, dopo cinque anni</t>
  </si>
  <si>
    <t>税制優遇、5年間後</t>
  </si>
  <si>
    <t>C/F налоговая льгота, через пять лет</t>
  </si>
  <si>
    <t>Beneficio fiscal C/F, después de cinco años</t>
  </si>
  <si>
    <t>세제혜택 C/F, 5년 후</t>
  </si>
  <si>
    <t>税收优惠结转，无过期</t>
  </si>
  <si>
    <t>稅收優惠結轉，無過期</t>
  </si>
  <si>
    <t>Avantage fiscal C/F, sans date d'expiration</t>
  </si>
  <si>
    <t>Steuergutschrift C/F, unendlich</t>
  </si>
  <si>
    <t>Riporto benefici fiscali, senza scadenza</t>
  </si>
  <si>
    <t>税制優遇、期限なし</t>
  </si>
  <si>
    <t>C/F налоговая льгота, нет срока годности</t>
  </si>
  <si>
    <t>Beneficio fiscal C/F, sin vencimiento</t>
  </si>
  <si>
    <t>세제혜택 C/F, 만기 없음</t>
  </si>
  <si>
    <t>总税收利益结转</t>
  </si>
  <si>
    <t>總稅收利益結轉</t>
  </si>
  <si>
    <t>Total de l'avantage fiscal C/F</t>
  </si>
  <si>
    <t>Summe Steuergutschrift C/F</t>
  </si>
  <si>
    <t>Totale riporto benefici fiscali</t>
  </si>
  <si>
    <t>税制優遇総額</t>
  </si>
  <si>
    <t>Общая налоговая выгода C/F</t>
  </si>
  <si>
    <t>Beneficio fiscal total C/F</t>
  </si>
  <si>
    <t>총 세제혜택 C/F</t>
  </si>
  <si>
    <t>税收利益结转的最高年份</t>
  </si>
  <si>
    <t>稅收利益結轉的最高年份</t>
  </si>
  <si>
    <t>Année Maximum pour l'avantage fiscal C/F</t>
  </si>
  <si>
    <t>Max. Jahre für Steuergutschrift C/F</t>
  </si>
  <si>
    <t>Max. anno per riporto benefici fiscali</t>
  </si>
  <si>
    <t>税制優遇の最大年</t>
  </si>
  <si>
    <t>Год максимального размера налоговой льготы C/F</t>
  </si>
  <si>
    <t>Año Máximo para el beneficio fiscal C/F</t>
  </si>
  <si>
    <t>세제혜택 C/F 최대 연도</t>
  </si>
  <si>
    <t>限制性股票补偿费用，税前</t>
  </si>
  <si>
    <t>限制性股票補償費用，稅前</t>
  </si>
  <si>
    <t>Restructuration Frais de rémunération en actions, avant impôt</t>
  </si>
  <si>
    <t>Aufwand für Aktienvergütungen mit Sperrfrist, vor Steuern</t>
  </si>
  <si>
    <t>Spese comp. azioni vincolate, al lordo delle imposte</t>
  </si>
  <si>
    <t>譲渡制限付株式報酬費用(税引前)</t>
  </si>
  <si>
    <t>Реструктуризация компенсаций по акциям Расходы до налогообложения</t>
  </si>
  <si>
    <t>Gastos de compensación de acciones restringidos, antes de impuestos</t>
  </si>
  <si>
    <t>양도제한 주식 보상비, 세전</t>
  </si>
  <si>
    <t>限制性股票补偿费用，税后</t>
  </si>
  <si>
    <t>限制性股票補償費用，稅後</t>
  </si>
  <si>
    <t>Restructuration Frais de rémunération en actions, après impôts</t>
  </si>
  <si>
    <t>Aufwand für Aktienvergütungen mit Sperrfrist, nach Steuern</t>
  </si>
  <si>
    <t>Spese comp. azioni vincolate, al netto delle imposte</t>
  </si>
  <si>
    <t>譲渡制限付株式報酬費用(税引後)</t>
  </si>
  <si>
    <t>Реструктуризация компенсаций по акциям Расходы после налогообложения</t>
  </si>
  <si>
    <t>Gastos de compensación de acciones restringidos, después de impuestos</t>
  </si>
  <si>
    <t>양도제한 주식 보상비, 세후</t>
  </si>
  <si>
    <t>税前股票期权补偿费用</t>
  </si>
  <si>
    <t>稅前股票期權補償費用</t>
  </si>
  <si>
    <t>Frais de rémunération des options d'achat d'actions, avant impôt</t>
  </si>
  <si>
    <t>Aufwand für Vergütung mit Aktienoptionen, vor Steuern</t>
  </si>
  <si>
    <t>Spese comp. opzioni su azioni, al lordo delle imposte</t>
  </si>
  <si>
    <t>ストック・オプション付与による賞与支払(税引前)</t>
  </si>
  <si>
    <t>Компенсация опционов на акции Расходы до налогообложения</t>
  </si>
  <si>
    <t>Gastos de compensación de opciones sobre acciones, antes de impuestos</t>
  </si>
  <si>
    <t>스톡옵션 보상비, 세전</t>
  </si>
  <si>
    <t>税后股票期权补偿费用</t>
  </si>
  <si>
    <t>稅後股票期權補償費用</t>
  </si>
  <si>
    <t>Frais de rémunération des options d'achat d'actions, après impôts</t>
  </si>
  <si>
    <t>Aufwand für Vergütung mit Aktienoptionen, nach Steuern</t>
  </si>
  <si>
    <t>Spese comp. opzioni su azioni, al netto delle imposte</t>
  </si>
  <si>
    <t>ストック・オプション付与による賞与支払(税引後)</t>
  </si>
  <si>
    <t>Компенсация опционов на акции Расходы, после уплаты налога</t>
  </si>
  <si>
    <t>Gastos de compensación de opciones sobre acciones, Después de impuestos</t>
  </si>
  <si>
    <t>스톡옵션 보상비, 세후</t>
  </si>
  <si>
    <t>税前基于股票的补偿费用</t>
  </si>
  <si>
    <t>稅前基於股票的補償費用</t>
  </si>
  <si>
    <t>Frais de rémunération à base d'actions, avant impôt</t>
  </si>
  <si>
    <t>Aufwand für Aktienvergütungen, vor Steuern</t>
  </si>
  <si>
    <t>Spese comp. basata su azioni, al lordo delle imposte</t>
  </si>
  <si>
    <t>株式報酬費用合計(税引前)</t>
  </si>
  <si>
    <t>Компенсация на основе акций Расходы до налогообложения</t>
  </si>
  <si>
    <t>Gastos de compensación basados ​​en acciones, antes de impuestos</t>
  </si>
  <si>
    <t>배당금수익 비용, 세전</t>
  </si>
  <si>
    <t>税后基于股票的补偿费用</t>
  </si>
  <si>
    <t>稅後基於股票的補償費用</t>
  </si>
  <si>
    <t>Frais de rémunération à base d'actions, après impôts</t>
  </si>
  <si>
    <t>Aufwand für Aktienvergütungen, nach Steuern</t>
  </si>
  <si>
    <t>Spese comp. basata su azioni, al netto delle imposte</t>
  </si>
  <si>
    <t>株式報酬費用合計(税引後)</t>
  </si>
  <si>
    <t>Компенсация на основе акций Расходы после уплаты налогов</t>
  </si>
  <si>
    <t>Gastos de compensación basados ​​en acciones, Después de impuestos</t>
  </si>
  <si>
    <t>배당금수익 비용, 세후</t>
  </si>
  <si>
    <t>通过FIN 48相关项目</t>
  </si>
  <si>
    <t>通過FIN 48相關項目</t>
  </si>
  <si>
    <t>Adoption des points liés à FIN 48</t>
  </si>
  <si>
    <t>Übernahme der mit FIN 48 verbundenen Posten</t>
  </si>
  <si>
    <t>Adozione di voci relative a FIN 48</t>
  </si>
  <si>
    <t>FIN 48関連アイテムの採用</t>
  </si>
  <si>
    <t>Утверждение пунктов, относящихся к стандарту FIN 48</t>
  </si>
  <si>
    <t>Adopción de los artículos relacionados con la FIN 48</t>
  </si>
  <si>
    <t>FIN 48 채택 관련 항목</t>
  </si>
  <si>
    <t>FIN 48对流动资产的交易影响</t>
  </si>
  <si>
    <t>FIN 48對流動資產的交易影響</t>
  </si>
  <si>
    <t>Impact de la transaction FIN 48 sur l'actif circulant</t>
  </si>
  <si>
    <t>Trans. Auswirkungen von FIN 48 auf das Umlaufvermögen</t>
  </si>
  <si>
    <t>Impatto trans. FIN 48 su attività correnti</t>
  </si>
  <si>
    <t>流動資産に与えるFIN 48 の取引影響</t>
  </si>
  <si>
    <t>Влияние операции по FIN 48 на оборотные активы</t>
  </si>
  <si>
    <t>Impacto De La Transacción de FIN 48 en los activos corrientes</t>
  </si>
  <si>
    <t>유동 자산에 미치는 FIN 48의 거래 영향</t>
  </si>
  <si>
    <t>FIN 48对长期资产的交易影响</t>
  </si>
  <si>
    <t>FIN 48對長期資產的交易影響</t>
  </si>
  <si>
    <t>Impact de la transaction FIN 48 sur les actifs à long terme</t>
  </si>
  <si>
    <t>Trans. Auswirkungen von FIN 48 auf langfristige Vermögenswerte</t>
  </si>
  <si>
    <t>Impatto trans. FIN 48 su attività a lungo termine</t>
  </si>
  <si>
    <t>固定資産に与えるFIN 48 の取引影響</t>
  </si>
  <si>
    <t>Влияние операции по FIN 48 на долгосрочные активы</t>
  </si>
  <si>
    <t>Impacto De La Transacción de FIN 48 en los activos a largo plazo</t>
  </si>
  <si>
    <t>장기 자산에 미치는 FIN 48의 거래 영향</t>
  </si>
  <si>
    <t>FIN 48对流动负债的交易影响</t>
  </si>
  <si>
    <t>FIN 48對流動負債的交易影響</t>
  </si>
  <si>
    <t>Impact de la transaction FIN 48 sur les passifs courants</t>
  </si>
  <si>
    <t>Trans. Auswirkungen von FIN 48 auf kurzfristige Verbindlichkeiten</t>
  </si>
  <si>
    <t>Impatto trans. FIN 48 su passività correnti</t>
  </si>
  <si>
    <t>流動負債に与えるFIN 48 の取引影響</t>
  </si>
  <si>
    <t>Влияние операции по FIN 48 на текущие обязательства</t>
  </si>
  <si>
    <t>Impacto De La Transacción de FIN 48 en el pasivo corriente</t>
  </si>
  <si>
    <t>유동 부채에 미치는 FIN 48의 거래 영향</t>
  </si>
  <si>
    <t>FIN 48对非流动负债的交易影响</t>
  </si>
  <si>
    <t>FIN 48對非流動負債的交易影響</t>
  </si>
  <si>
    <t>Impact de la transaction FIN 48 sur les passifs non courants</t>
  </si>
  <si>
    <t>Trans. Auswirkungen von FIN 48 auf nicht kurzfristige Verbindlichkeiten</t>
  </si>
  <si>
    <t>Impatto trans. FIN 48 su passività non correnti</t>
  </si>
  <si>
    <t>固定負債に与えるFIN 48 の取引影響</t>
  </si>
  <si>
    <t>Влияние операции по FIN 48 на долгосрочные обязательства</t>
  </si>
  <si>
    <t>Impacto De La Transacción de FIN 48 en el pasivo no corriente</t>
  </si>
  <si>
    <t>비유동 부채에 미치는 FIN 48의 거래 영향</t>
  </si>
  <si>
    <t>交易FIN 48对保留收益的影响</t>
  </si>
  <si>
    <t>交易FIN 48對保留收益的影響</t>
  </si>
  <si>
    <t>Impact de la transaction FIN 48 sur les bénéfices non distribués</t>
  </si>
  <si>
    <t>Trans. Auswirkungen von FIN 48 auf die einbehaltene Gewinne</t>
  </si>
  <si>
    <t>Impatto trans. FIN 48 su utili non distribuiti</t>
  </si>
  <si>
    <t>留保利益に与えるFIN 48 の取引影響</t>
  </si>
  <si>
    <t>Влияние операции по FIN 48 на нераспределенную прибыль</t>
  </si>
  <si>
    <t>Impacto De La Transacción de FIN 48 en las ganancias retenidas</t>
  </si>
  <si>
    <t>사내유보에 미치는 FIN 48의 거래 영향</t>
  </si>
  <si>
    <t>期初未确认的税收优惠</t>
  </si>
  <si>
    <t>期初未確認的稅收優惠</t>
  </si>
  <si>
    <t>Avantages fiscaux Non comptabilisé, début de la période</t>
  </si>
  <si>
    <t>Nicht aktivierte Steuergutschriften, Periodenanfang</t>
  </si>
  <si>
    <t>Benefici fiscali non ric., inizio periodo</t>
  </si>
  <si>
    <t>未認識税務ベネフィット、初期</t>
  </si>
  <si>
    <t>Неучтенные налоговые льготы, начало периода</t>
  </si>
  <si>
    <t>Beneficios fiscales No reconocidos, comienzo del período</t>
  </si>
  <si>
    <t>인식되지 않은 세제혜택, 기간 시작</t>
  </si>
  <si>
    <t>根据税收状况的增加-本年度</t>
  </si>
  <si>
    <t>根據稅收狀況的增加-本年度</t>
  </si>
  <si>
    <t>Ajouts basés sur les postes fiscaux - année en cours</t>
  </si>
  <si>
    <t>Zugänge aufgrund von Steuerpositionen – laufendes Jahr.</t>
  </si>
  <si>
    <t>Aggiunte basate su posizioni fiscali - Anno corrente</t>
  </si>
  <si>
    <t>税務ポジションに基づく増加、今年</t>
  </si>
  <si>
    <t>Поправки по статьям налога - текущий год</t>
  </si>
  <si>
    <t>Adiciones basadas en posiciones de impuestos - Año actual</t>
  </si>
  <si>
    <t>세무입장 기준 추가사항 - 금년도</t>
  </si>
  <si>
    <t>基于税收状况的减少-本年度</t>
  </si>
  <si>
    <t>基於稅收狀況的減少-本年度</t>
  </si>
  <si>
    <t>Réductions basées sur les positions fiscales - année en cours</t>
  </si>
  <si>
    <t>Abgänge aufgrund von Steuerpositionen – laufendes Jahr</t>
  </si>
  <si>
    <t>Riduzioni basate su posizioni fiscali - Anno corrente</t>
  </si>
  <si>
    <t>税務ポジションに基づく削減、今年</t>
  </si>
  <si>
    <t>Снижения на основе налоговых позиций - текущий год</t>
  </si>
  <si>
    <t>Reducciones Basadas en Posiciones Fiscales - Año Actual</t>
  </si>
  <si>
    <t>세무입장 기준 감소사항 - 금년도</t>
  </si>
  <si>
    <t>新增税务状况-往年</t>
  </si>
  <si>
    <t>新增稅務狀況-往年</t>
  </si>
  <si>
    <t>Ajouts pour les positions fiscales - Années précédentes</t>
  </si>
  <si>
    <t>Zugänge für Steuerpositionen – Vorjahre</t>
  </si>
  <si>
    <t>Aggiunte per posizioni fiscali - Anni precedenti</t>
  </si>
  <si>
    <t>税務ポジションに基づく増加、前年</t>
  </si>
  <si>
    <t>Поправки на налоговые позиции - Предыдущие годы</t>
  </si>
  <si>
    <t>Adiciones para  Posiciones Fiscales - años anteriores</t>
  </si>
  <si>
    <t>세무입장의 추가사항 - 이전 연도</t>
  </si>
  <si>
    <t>减少税务状况-往年</t>
  </si>
  <si>
    <t>減少稅務狀況-往年</t>
  </si>
  <si>
    <t>Réductions pour les postes fiscaux - Années antérieures</t>
  </si>
  <si>
    <t>Abgänge für Steuerpositionen – Vorjahre</t>
  </si>
  <si>
    <t>Riduzioni per posizioni fiscali - Anni precedenti</t>
  </si>
  <si>
    <t>税務ポジションに基づく削減、前年</t>
  </si>
  <si>
    <t>Снижения по статьям налога - Предыдущие годы</t>
  </si>
  <si>
    <t>Reducciones para para  Posiciones Fiscales - años anteriores</t>
  </si>
  <si>
    <t>세무입장의 감소사항 - 이전 연도</t>
  </si>
  <si>
    <t>与税务机关的和解</t>
  </si>
  <si>
    <t>與稅務機關的和解</t>
  </si>
  <si>
    <t>Règlements avec les autorités fiscales</t>
  </si>
  <si>
    <t>Vergleiche mit Steuerbehörden</t>
  </si>
  <si>
    <t>Accordi con le autorità fiscali</t>
  </si>
  <si>
    <t>税務当局間の解決</t>
  </si>
  <si>
    <t>Расчеты с налоговыми органами</t>
  </si>
  <si>
    <t>Asentamientos con las autoridades fiscales</t>
  </si>
  <si>
    <t>세무 당국과 결산</t>
  </si>
  <si>
    <t>时效法规的失效</t>
  </si>
  <si>
    <t>時效法規的失效</t>
  </si>
  <si>
    <t>Déchéance de la prescription</t>
  </si>
  <si>
    <t>Ablauf von Verjährungsfristen</t>
  </si>
  <si>
    <t>Scadenza del periodo di prescrizione</t>
  </si>
  <si>
    <t>出訴期限法の経過</t>
  </si>
  <si>
    <t>Ликвидация срока давности</t>
  </si>
  <si>
    <t>Lapso del Estatuto de Limitaciones</t>
  </si>
  <si>
    <t>소멸시효 경과</t>
  </si>
  <si>
    <t>无法确认的税收优惠-其他调整</t>
  </si>
  <si>
    <t>無法確認的稅收優惠-其他調整</t>
  </si>
  <si>
    <t>Avantages fiscaux non reconnus - Autres ajustements</t>
  </si>
  <si>
    <t>Nicht aktivierte Steuergutschriften – Andere Anpassungen</t>
  </si>
  <si>
    <t>Benefici fiscali non ric. - Altre rett.</t>
  </si>
  <si>
    <t>未認識税務ベネフィット - その他の修正</t>
  </si>
  <si>
    <t>Непризнанные налоговые льготы - Прочие корректировки</t>
  </si>
  <si>
    <t>Beneficios fiscales no reconocidos - Otros ajustes</t>
  </si>
  <si>
    <t>인식되지 않은 세제혜택 - 기타 조정</t>
  </si>
  <si>
    <t>期末未确认的税收优惠</t>
  </si>
  <si>
    <t>期末未確認的稅收優惠</t>
  </si>
  <si>
    <t>Avantages fiscaux non reconnus, fin de la période</t>
  </si>
  <si>
    <t>Nicht aktivierte Steuergutschriften, Periodenende</t>
  </si>
  <si>
    <t>Benefici fiscali non ric., fine periodo</t>
  </si>
  <si>
    <t>未認識税務ベネフィット、終期</t>
  </si>
  <si>
    <t>Непризнанные налоговые льготы, конец периода</t>
  </si>
  <si>
    <t>Beneficios fiscales no reconocidos, fin del período</t>
  </si>
  <si>
    <t>인식되지 않은 세제혜택, 기간 끝</t>
  </si>
  <si>
    <t>帐户代码-利息和罚款</t>
  </si>
  <si>
    <t>帳戶代碼-利息和罰款</t>
  </si>
  <si>
    <t>Code de compte - Intérêts et pénalités</t>
  </si>
  <si>
    <t>Kontencode – Zinsen und Strafen</t>
  </si>
  <si>
    <t>Codice conto - Interesse e penali</t>
  </si>
  <si>
    <t>勘定コード - 利息および罰金</t>
  </si>
  <si>
    <t>Код счета - Проценты и штрафы</t>
  </si>
  <si>
    <t>Código de cuenta - Intereses y multas</t>
  </si>
  <si>
    <t>계정부호 - 이자 및 벌과금</t>
  </si>
  <si>
    <t>损益表中确认的利息和罚款-税前</t>
  </si>
  <si>
    <t>損益表中確認的利息和罰款-稅前</t>
  </si>
  <si>
    <t>Intérêts et pénalités comptabilisés dans les états des résultats - avant impôt</t>
  </si>
  <si>
    <t>Zinsen und Strafen Aktivierung in GuV – vor Steuern</t>
  </si>
  <si>
    <t>Interesse e penali riconosciuti IS - Al lordo delle imposte</t>
  </si>
  <si>
    <t>損益計算書で認識された罰金および利息 - 税引前</t>
  </si>
  <si>
    <t>Проценты и штрафы, отраженные в отчете о прибылях и убытках - до налогообложения</t>
  </si>
  <si>
    <t>Intereses y multas reconocidos en el estado de resultados - antes de impuestos</t>
  </si>
  <si>
    <t>IS에서 인식된 이자 및 벌과금 - 세전</t>
  </si>
  <si>
    <t>损益表中确认的利息和罚款-税后</t>
  </si>
  <si>
    <t>損益表中確認的利息和罰款-稅後</t>
  </si>
  <si>
    <t>Intérêts et pénalités comptabilisés dans l'état des résultats - après impôt</t>
  </si>
  <si>
    <t>Zinsen und Strafen Aktivierung in GuV – nach Steuern</t>
  </si>
  <si>
    <t>Interesse e penali riconosciuti IS - Al netto delle imposte</t>
  </si>
  <si>
    <t>損益計算書で認識された罰金および利息 - 税引後</t>
  </si>
  <si>
    <t>Проценты и штрафы, отраженные в отчете о прибылях и убытках - за вычетом налогов</t>
  </si>
  <si>
    <t>Intereses y multas reconocidos en el estado de resultados - Después de impuestos</t>
  </si>
  <si>
    <t>IS에서 인식된 이자 및 벌과금 - 세후</t>
  </si>
  <si>
    <t>资产负债表上确认的利息和罚款-税前</t>
  </si>
  <si>
    <t>資產負債表上確認的利息和罰款-稅前</t>
  </si>
  <si>
    <t>Intérêts et pénalités comptabilisés au bilan - avant impôt</t>
  </si>
  <si>
    <t>Zinsen und Strafen Aktivierung in Bilanz – vor Steuern</t>
  </si>
  <si>
    <t>Interesse e penali riconosciuti BS - Al lordo delle imposte</t>
  </si>
  <si>
    <t>貸借対照表で認識された罰金および利息 - 税引前</t>
  </si>
  <si>
    <t>Проценты и штрафы, отраженные в бухгалтерском балансе - до вычета налогов</t>
  </si>
  <si>
    <t>Intereses y multas reconocidos en la hoja de Balace - Antes de impuestos</t>
  </si>
  <si>
    <t>BS에서 인식된 이자 및 벌과금 - 세전</t>
  </si>
  <si>
    <t>资产负债表上确认的利息和罚款-税后</t>
  </si>
  <si>
    <t>資產負債表上確認的利息和罰款-稅後</t>
  </si>
  <si>
    <t>Intérêts et pénalités comptabilisés au bilan - après impôt</t>
  </si>
  <si>
    <t>Zinsen und Strafen Aktivierung in Bilanz – nach Steuern</t>
  </si>
  <si>
    <t>Interesse e penali riconosciuti BS - Al netto delle imposte</t>
  </si>
  <si>
    <t>貸借対照表で認識された罰金および利息 - 税引後</t>
  </si>
  <si>
    <t>Проценты и штрафы, отраженные в бухгалтерском балансе - после уплаты налогов</t>
  </si>
  <si>
    <t>Intereses y multas reconocidos en la hoja de Balace - Después de impuestos</t>
  </si>
  <si>
    <t>BS에서 인식된 이자 및 벌과금 - 세후</t>
  </si>
  <si>
    <t>报告日期后一年内未确认税收优惠的变化-最小值</t>
  </si>
  <si>
    <t>報告日期後一年內未確認稅收優惠的變化-最小值</t>
  </si>
  <si>
    <t>Modifications de l'avantage fiscal non comptabilisé dans l'année suivant la date de la déclaration - Min</t>
  </si>
  <si>
    <t>Veränderung der nicht aktivierten Steuergutschriften innerhalb eines Jahres nach dem Datum der Erklärung – Min</t>
  </si>
  <si>
    <t>Variazioni nei benefici fiscali non ric. entro un anno dalla data di rep. - Min</t>
  </si>
  <si>
    <t>報告日付の年以内の未認識税務ベネフィット増減 - 最小限</t>
  </si>
  <si>
    <t>Изменения в непризнанной налоговой льготе в течение года, следующего за датой возврата - Мин.</t>
  </si>
  <si>
    <t>Cambios en el beneficio fiscal no reconocido dentro del año del representante. Fecha - Min</t>
  </si>
  <si>
    <t>대표 날짜의 연도 내 인식되지 않은 세제혜택 변경 - 최소</t>
  </si>
  <si>
    <t>报告日期后一年内未确认税收优惠的变化-最大值</t>
  </si>
  <si>
    <t>報告日期後一年內未確認稅收優惠的變化-最大值</t>
  </si>
  <si>
    <t>Modifications de l'avantage fiscal non comptabilisé dans l'année suivant la date de la déclaration - Max</t>
  </si>
  <si>
    <t>Veränderung der nicht aktivierten Steuergutschriften innerhalb eines Jahres nach dem Datum der Erklärung – Max</t>
  </si>
  <si>
    <t>Variazioni nei benefici fiscali non ric. entro un anno dalla data di rep. - Max</t>
  </si>
  <si>
    <t>報告日付の年以内の未認識税務ベネフィット増減 - 最大限</t>
  </si>
  <si>
    <t>Изменения в непризнанной налоговой льготе в течение года, следующего за датой возврата - Макс.</t>
  </si>
  <si>
    <t>Cambios en el beneficio fiscal no reconocido dentro del año del representante. Fecha - Max</t>
  </si>
  <si>
    <t>대표 날짜의 연도 내 인식되지 않은 세제혜택 변경 - 최대</t>
  </si>
  <si>
    <t>未确认的税收优惠对有效税率的影响</t>
  </si>
  <si>
    <t>未確認的稅收優惠對有效稅率的影響</t>
  </si>
  <si>
    <t>Impact de l'avantage fiscal non comptabilisé sur le taux d'imposition effectif</t>
  </si>
  <si>
    <t>Auswirkungen von nicht aktivierten Steuergutschriften auf den effektiven Steuersatz</t>
  </si>
  <si>
    <t>Impatto dei benefici fiscali non ric. sul tasso di imposta effettivo</t>
  </si>
  <si>
    <t>実効税率に未認識税務ベネフィットの影響</t>
  </si>
  <si>
    <t>Влияние непризнанной налоговой выгоды на эффективную ставку налога</t>
  </si>
  <si>
    <t>Impacto del beneficio fiscal no reconocido en la tasa impositiva efectiva</t>
  </si>
  <si>
    <t>유효 세율에 인식되지 않은 세제혜택이 미치는 영향</t>
  </si>
  <si>
    <t>养老金</t>
  </si>
  <si>
    <t>養老金</t>
  </si>
  <si>
    <t>Pensioni</t>
  </si>
  <si>
    <t>年金</t>
  </si>
  <si>
    <t>Пенсия</t>
  </si>
  <si>
    <t>Pensión</t>
  </si>
  <si>
    <t>연금</t>
  </si>
  <si>
    <t>设定受益净定期费用</t>
  </si>
  <si>
    <t>設定受益淨定期費用</t>
  </si>
  <si>
    <t>Coût périodique net des prestations définies</t>
  </si>
  <si>
    <t>Netto-Periodenkosten im leistungsorientierten Pensionsprogramm</t>
  </si>
  <si>
    <t>Costo periodico netto benefici definiti</t>
  </si>
  <si>
    <t>確定給付 - 純期間費用</t>
  </si>
  <si>
    <t>Установленное пособие Чистая периодическая стоимость</t>
  </si>
  <si>
    <t>Beneficio definido Costo periódico neto</t>
  </si>
  <si>
    <t>확정급여형 연금 순 정기 비용</t>
  </si>
  <si>
    <t>补充计划设定受益总费用</t>
  </si>
  <si>
    <t>補充計劃設定受益總費用</t>
  </si>
  <si>
    <t>Coût total des régimes complémentaires à prestations définies</t>
  </si>
  <si>
    <t>Leistungsorientiertes Pensionsprogramm, Gesamtkosten für Zusatzpläne</t>
  </si>
  <si>
    <t>Costo totale piani flessibili benefici def.</t>
  </si>
  <si>
    <t>確定給付 - 補足的プランの総費用</t>
  </si>
  <si>
    <t>Установленное пособие Итого Стоимость дополнительных планов</t>
  </si>
  <si>
    <t>Beneficio Definido Costo total de los planes de suplementos</t>
  </si>
  <si>
    <t>확정급여형 연금 총 부가 계획 비용</t>
  </si>
  <si>
    <t>确定提拨费用</t>
  </si>
  <si>
    <t>確定提撥費用</t>
  </si>
  <si>
    <t>Coût des contributions définies</t>
  </si>
  <si>
    <t>Beitragsorientiertes Pensionsprogramm, Kosten</t>
  </si>
  <si>
    <t>Costo contribuzione def.</t>
  </si>
  <si>
    <t>確定拠出 - 総費用</t>
  </si>
  <si>
    <t>Расходы по установленным взносам</t>
  </si>
  <si>
    <t>Costo de la contribución Definido</t>
  </si>
  <si>
    <t>확정기여형 연금 비용</t>
  </si>
  <si>
    <t>养老金总支出</t>
  </si>
  <si>
    <t>養老金總支出</t>
  </si>
  <si>
    <t>Total des dépenses de pension</t>
  </si>
  <si>
    <t>Summe der Pensionsaufwendungen</t>
  </si>
  <si>
    <t>Totale spese pensioni</t>
  </si>
  <si>
    <t>総年金費用</t>
  </si>
  <si>
    <t>Общие пенсионные расходы</t>
  </si>
  <si>
    <t>Gasto total en pensiones</t>
  </si>
  <si>
    <t>총 연금 비용</t>
  </si>
  <si>
    <t>设定受益义务</t>
  </si>
  <si>
    <t>設定受益義務</t>
  </si>
  <si>
    <t>Obligation de prestations définies</t>
  </si>
  <si>
    <t>Verpflichtung im leistungsorientierten Pensionsprogramm</t>
  </si>
  <si>
    <t>Obbligazioni benefici def.</t>
  </si>
  <si>
    <t>確定給付債務</t>
  </si>
  <si>
    <t>Обязательство по выплатам с установленными выплатами</t>
  </si>
  <si>
    <t>Obligación de prestaciones definidas</t>
  </si>
  <si>
    <t>확정급여형 연금 채무</t>
  </si>
  <si>
    <t>设定受益服务成本</t>
  </si>
  <si>
    <t>設定受益服務成本</t>
  </si>
  <si>
    <t>Coût des services à prestations définies</t>
  </si>
  <si>
    <t>Betriebskosten im leistungsorientierten Pensionsprogramm</t>
  </si>
  <si>
    <t>Costo servizi benefici def.</t>
  </si>
  <si>
    <t>確定給付 - サービス費用</t>
  </si>
  <si>
    <t>Установленное пособие Стоимость обслуживания</t>
  </si>
  <si>
    <t>Beneficio Definido Costo del Servicio</t>
  </si>
  <si>
    <t>확정급여형 연금 서비스 비용</t>
  </si>
  <si>
    <t>已付设定受益</t>
  </si>
  <si>
    <t>已付設定受益</t>
  </si>
  <si>
    <t>Prestations définies versées</t>
  </si>
  <si>
    <t>Leistungen aus dem leistungsorientierten Pensionsprogramm</t>
  </si>
  <si>
    <t>Benefici def. pagati</t>
  </si>
  <si>
    <t>確定給付支出</t>
  </si>
  <si>
    <t>Выплаченные фиксированные пособия</t>
  </si>
  <si>
    <t>Beneficios definidos pagados</t>
  </si>
  <si>
    <t>지불된 확정급여형 연금</t>
  </si>
  <si>
    <t>退休基金资产</t>
  </si>
  <si>
    <t>退休基金資產</t>
  </si>
  <si>
    <t>Actifs du régime</t>
  </si>
  <si>
    <t>Planvermögen</t>
  </si>
  <si>
    <t>Attività a servizio del piano</t>
  </si>
  <si>
    <t>制度資産</t>
  </si>
  <si>
    <t>Плановые активы</t>
  </si>
  <si>
    <t>Activos del Plan</t>
  </si>
  <si>
    <t>계획 자산</t>
  </si>
  <si>
    <t>净周期成本的加权平均假设</t>
  </si>
  <si>
    <t>淨週期成本的加權平均假設</t>
  </si>
  <si>
    <t>Hypothèses moyennes pondérées sur le coût périodique net</t>
  </si>
  <si>
    <t>Gewichtete durchschnittliche Annahmen zu den Nettoperiodenkosten</t>
  </si>
  <si>
    <t>Media ponderata ipotesi costo periodico netto</t>
  </si>
  <si>
    <t>加重平均純期間費用の仮定</t>
  </si>
  <si>
    <t>Средневзвешенные допущения по чистой периодической стоимости</t>
  </si>
  <si>
    <t>El promedio ponderado Supuestos sobre el costo periódico neto</t>
  </si>
  <si>
    <t>순 정기 비용의 가중평균 가정</t>
  </si>
  <si>
    <t>补偿率增加-最高</t>
  </si>
  <si>
    <t>補償率增加-最高</t>
  </si>
  <si>
    <t>Augmentation du taux de rémunération - Max</t>
  </si>
  <si>
    <t>Rate der Vergütungszunahme – Max</t>
  </si>
  <si>
    <t>Tasso di aumento comp. - Max</t>
  </si>
  <si>
    <t>コンプの割合増加 - 最大限</t>
  </si>
  <si>
    <t>Скорость компенсирования  - Макс.</t>
  </si>
  <si>
    <t>Tasa de Componentes Aumento - Máximo</t>
  </si>
  <si>
    <t>구상환율 인상 - 최대</t>
  </si>
  <si>
    <t>计划资产明细</t>
  </si>
  <si>
    <t>計劃資產明細</t>
  </si>
  <si>
    <t>Composition des actifs du régime</t>
  </si>
  <si>
    <t>Aufschlüsselung des Planvermögens</t>
  </si>
  <si>
    <t>Ripartizione attività piano</t>
  </si>
  <si>
    <t>制度資産の内訳</t>
  </si>
  <si>
    <t>Анализ плановых активов</t>
  </si>
  <si>
    <t>Desglose de los activos del Plan</t>
  </si>
  <si>
    <t>계획 자산 분석</t>
  </si>
  <si>
    <t>计划资产-权益（％）</t>
  </si>
  <si>
    <t>計劃資產-權益（％）</t>
  </si>
  <si>
    <t>Actifs du régime - Actions (%)</t>
  </si>
  <si>
    <t>Planvermögen – Aktien (%)</t>
  </si>
  <si>
    <t>Attività a servizio del piano - Equity (%)</t>
  </si>
  <si>
    <t>制度資産 - 株式（％）</t>
  </si>
  <si>
    <t>Плановые активы - Акции (%)</t>
  </si>
  <si>
    <t>Activos del Plan - Acciones (%)</t>
  </si>
  <si>
    <t>계획 자산 - 주식(%)</t>
  </si>
  <si>
    <t>计划资产-固定收益（％）</t>
  </si>
  <si>
    <t>計劃資產-固定收益（％）</t>
  </si>
  <si>
    <t>Actifs du régime - Revenu fixe (%)</t>
  </si>
  <si>
    <t>Planvermögen – Rentenpapiere (%)</t>
  </si>
  <si>
    <t>Attività a servizio del piano - Reddito fisso (%)</t>
  </si>
  <si>
    <t>制度資産 - 債券（％）</t>
  </si>
  <si>
    <t>Плановые активы - фиксированный доход (%)</t>
  </si>
  <si>
    <t>Activos del Plan - Renta fija (%)</t>
  </si>
  <si>
    <t>계획 자산 - 고정 수익(%)</t>
  </si>
  <si>
    <t>计划资产-房地产（％）</t>
  </si>
  <si>
    <t>計劃資產-房地產（％）</t>
  </si>
  <si>
    <t>Actifs du régime - Immobilier (%)</t>
  </si>
  <si>
    <t>Planvermögen – Immobilien (%)</t>
  </si>
  <si>
    <t>Attività a servizio del piano - Immobiliare (%)</t>
  </si>
  <si>
    <t>プラン資産̶不動産（％）</t>
  </si>
  <si>
    <t>Плановые активы - Недвижимость (%)</t>
  </si>
  <si>
    <t>Activos del plan - Bienes inmuebles (%)</t>
  </si>
  <si>
    <t>계획 자산 - 부동산(%)</t>
  </si>
  <si>
    <t>其他计划资产（％）</t>
  </si>
  <si>
    <t>其他計劃資產（％）</t>
  </si>
  <si>
    <t>Autres actifs du régime (%)</t>
  </si>
  <si>
    <t>Sonstiges Planvermögen (%)</t>
  </si>
  <si>
    <t>Altre attività a servizio del piano (%)</t>
  </si>
  <si>
    <t>その他の制度資産（％）</t>
  </si>
  <si>
    <t>Прочие плановые активы (%)</t>
  </si>
  <si>
    <t>Otros activos del Plan (%)</t>
  </si>
  <si>
    <t>기타 계획 자산(%)</t>
  </si>
  <si>
    <t>资产负债表中确认的其他综合收益金额明细</t>
  </si>
  <si>
    <t>資產負債表中確認的其他綜合收益金額明細</t>
  </si>
  <si>
    <t>Ventilation des montants comptabilisés dans les autres éléments du résultat global au bilan</t>
  </si>
  <si>
    <t>Aufschlüsselung der im Sonstigen Gesamtergebnis aktivierten Beträge in BS</t>
  </si>
  <si>
    <t>Ripartizione degli importi rilevati in altre componenti reddituali in BS</t>
  </si>
  <si>
    <t>貸借対照表のその他の包括利益で認識された金額の内訳</t>
  </si>
  <si>
    <t>Распределение сумм, отраженных в составе прочего совокупного дохода в бухгалтерском балансе</t>
  </si>
  <si>
    <t>Desglose de los importes reconocidos en Otros ingresos globales en el Balance</t>
  </si>
  <si>
    <t>BS의 기타 포괄 손익에서 인식된 금액 분석</t>
  </si>
  <si>
    <t>净精算损失/收益–综合收益</t>
  </si>
  <si>
    <t>淨精算損失/收益–綜合收益</t>
  </si>
  <si>
    <t>Perte/gain actuariel net - Résultat global</t>
  </si>
  <si>
    <t>Versicherungsmathematischer Nettoverlust/-ertrag – Gesamtergebnis</t>
  </si>
  <si>
    <t>Perdite/Utili attuariali netti – Conto econ. compl.</t>
  </si>
  <si>
    <t>数理計算上の純損益 - 包括利益</t>
  </si>
  <si>
    <t>Чистые актуарные убытки/прибыль - совокупный доход</t>
  </si>
  <si>
    <t>Pérdida/Ganancia actuarial neta - Resultado Integral</t>
  </si>
  <si>
    <t>순 보험 계리사 손실/이익 – 포괄 손익</t>
  </si>
  <si>
    <t>事前服务成本/收益–综合收益</t>
  </si>
  <si>
    <t>事前服務成本/收益–綜合收益</t>
  </si>
  <si>
    <t>Coût/bénéfice des services antérieurs - Résultat global</t>
  </si>
  <si>
    <t>Kosten/Leistungen ehemals Beschäftigter – Gesamtergebnis</t>
  </si>
  <si>
    <t>Costo/Beneficio per servizio precedente – Conto econ. compl.</t>
  </si>
  <si>
    <t>過去勤務損益 - 包括利益</t>
  </si>
  <si>
    <t>Затраты/выгоды, связанные с предыдущим обслуживанием - совокупный доход</t>
  </si>
  <si>
    <t>Costo/beneficio del servicio anterior - Resultado Integral</t>
  </si>
  <si>
    <t>이전 서비스 비용/급여 – 포괄 손익</t>
  </si>
  <si>
    <t>过渡资产/债务–综合收益</t>
  </si>
  <si>
    <t>過渡資產/債務–綜合收益</t>
  </si>
  <si>
    <t>Actif/obligation de transition - Résultat global</t>
  </si>
  <si>
    <t>Übergangsvermögen/-verbindlichkeiten – Gesamtergebnis</t>
  </si>
  <si>
    <t>Obbligo/Attività transizione – Conto econ. compl.</t>
  </si>
  <si>
    <t>移行資産・債務 - 包括利益</t>
  </si>
  <si>
    <t>Переходные активы/обязательства - совокупный доход</t>
  </si>
  <si>
    <t>Activo de transición/Obligación - Resultado Integral</t>
  </si>
  <si>
    <t>전환 자산/채무 – 포괄 손익</t>
  </si>
  <si>
    <t>其他杂项调整-综合收益</t>
  </si>
  <si>
    <t>其他雜項調整-綜合收益</t>
  </si>
  <si>
    <t>Autres Divers Ajusté - Résultat global</t>
  </si>
  <si>
    <t>Verschiedene sonstige Anpassungen – Gesamtergebnis</t>
  </si>
  <si>
    <t>Altre rett. varie – Conto econ. compl.</t>
  </si>
  <si>
    <t>その他の雑用修正 - 包括利益</t>
  </si>
  <si>
    <t>Прочее скорректировано - совокупный доход</t>
  </si>
  <si>
    <t>Otros Ajustes Miscelaneos - Resultado Integral</t>
  </si>
  <si>
    <t>기타 조정 – 포괄 손익</t>
  </si>
  <si>
    <t>确认的净额–综合收益</t>
  </si>
  <si>
    <t>確認的淨額–綜合收益</t>
  </si>
  <si>
    <t>Montant net comptabilisé - Résultat global</t>
  </si>
  <si>
    <t>Aktivierter Nettobetrag – Gesamtergebnis</t>
  </si>
  <si>
    <t>Importo netto riconosciuto – Conto econ. compl.</t>
  </si>
  <si>
    <t>認識された純金額 - 包括利益</t>
  </si>
  <si>
    <t>Чистая признанная сумма - совокупный доход</t>
  </si>
  <si>
    <t>Monto neto reconocido - Resultado Integral</t>
  </si>
  <si>
    <t>순 인식 금액 – 포괄 손익</t>
  </si>
  <si>
    <t>预计将在明年确认为周期性定期福利费用净额的组成部分</t>
  </si>
  <si>
    <t>預計將在明年確認為周期性定期福利費用淨額的組成部分</t>
  </si>
  <si>
    <t>Prévu pour être comptabilisé comme un élément du coût net des prestations périodiques au cours de l'année suivante</t>
  </si>
  <si>
    <t>Erwartungsgemäß im nächsten Jahr als Komponenten der Periodenleistungskosten aktivierte Beträge</t>
  </si>
  <si>
    <t>Previsto essere riconosciuto come componente del costo del beneficio periodico netto nel prossimo anno</t>
  </si>
  <si>
    <t>来年の純期間給付・費用の構成要素として認識される予定</t>
  </si>
  <si>
    <t>Ожидается, что в предстоящем году в качестве компонентов чистых расходов на периодические пособия и льготы будут учитываться следующие компоненты</t>
  </si>
  <si>
    <t>Se espera que se reconozcan como componentes del costo neto de las prestaciones periódicas en el próximo año</t>
  </si>
  <si>
    <t>내년에 순 주기 급여 비용의 구성 요소로 인식될 것으로 예상됨</t>
  </si>
  <si>
    <t>先前确认的先前服务费用/收益</t>
  </si>
  <si>
    <t>先前確認的先前服務費用/收益</t>
  </si>
  <si>
    <t>Reconnaissance du coût/bénéfice du service antérieur Prochaine période</t>
  </si>
  <si>
    <t>Kosten/Leistungen ehemals Beschäftigter, die in der nächsten Periode aktiviert werden</t>
  </si>
  <si>
    <t>Costo per servizio precedente/Beneficio riconosciuto periodo succ.</t>
  </si>
  <si>
    <t>次期認識される過去勤務損益</t>
  </si>
  <si>
    <t>Учет затрат/выгод от предыдущей услуги последующий период</t>
  </si>
  <si>
    <t>Reconocimiento del costo/beneficio del servicio anterior. Próximo período</t>
  </si>
  <si>
    <t>다음 기간 인식된 이전 서비스 비용/급여</t>
  </si>
  <si>
    <t>下一期间的净精算损失/收益确认</t>
  </si>
  <si>
    <t>下一期間的淨精算損失/收益確認</t>
  </si>
  <si>
    <t>Gain/perte actuariel(le) net(le) de reconnaissance. Prochaine période</t>
  </si>
  <si>
    <t>Versicherungsmathematischer Nettoverlust/-gewinn, der in der nächsten Periode aktiviert wird</t>
  </si>
  <si>
    <t>Perdita attuariale netta/Utile riconosciuto periodo succ.</t>
  </si>
  <si>
    <t>次期認識される数理計算上の純損益</t>
  </si>
  <si>
    <t>Актуарные прибыли/убытки за вычетом признанных расходов. последующий период</t>
  </si>
  <si>
    <t>Pérdida/Ganancia actuarial neta de reconocimiento. Próximo período</t>
  </si>
  <si>
    <t>다음 기간 인식된 순 보험 계리사 손실/이익</t>
  </si>
  <si>
    <t>下一时期确认的过渡资产/债务</t>
  </si>
  <si>
    <t>下一時期確認的過渡資產/債務</t>
  </si>
  <si>
    <t>Reconnaissance des actifs de transition/obligation. Prochaine période</t>
  </si>
  <si>
    <t>Übergang Vermögens-/Verbindlichkeitsaktivierung in der nächsten Periode</t>
  </si>
  <si>
    <t>Attività/Obbligo transizione riconosciuti periodo successivo</t>
  </si>
  <si>
    <t>次期認識される移行資産・債務</t>
  </si>
  <si>
    <t>Признание переходных/обязательных активов. последующий период</t>
  </si>
  <si>
    <t>Reconocimiento de Activos de Transición/Obligación. Próximo período</t>
  </si>
  <si>
    <t>다음 기간 인식된 전환 자산/채무</t>
  </si>
  <si>
    <t>下一期间将确认的总金额</t>
  </si>
  <si>
    <t>下一期間將確認的總金額</t>
  </si>
  <si>
    <t>Montant total à comptabiliser dans la période suivante</t>
  </si>
  <si>
    <t>Gesamtbetrag, der in der nächsten Periode aktiviert wird</t>
  </si>
  <si>
    <t>Importo totale riconosciuto periodo successivo</t>
  </si>
  <si>
    <t>次期認識される総額</t>
  </si>
  <si>
    <t>Итого сумма, подлежащая признанию в следующем периоде</t>
  </si>
  <si>
    <t>Cantidad total que se reconocerá en el próximo período</t>
  </si>
  <si>
    <t>다음 기간 인식될 총 금액</t>
  </si>
  <si>
    <t>设定受益义务的加权平均假设</t>
  </si>
  <si>
    <t>設定受益義務的加權平均假設</t>
  </si>
  <si>
    <t>La moyenne pondérée des hypothèses dans l'obligation de prestations définies</t>
  </si>
  <si>
    <t>Gewichtete durchschnittliche Annahmen zu den Leistungsverpflichtungen</t>
  </si>
  <si>
    <t>Media ponderata ipotesi obbligo benefici def.</t>
  </si>
  <si>
    <t>確定給付債務の加重平均仮定</t>
  </si>
  <si>
    <t>Средневзвешенные допущения в обязательствах по выплатам с установленными выплатами</t>
  </si>
  <si>
    <t>El promedio ponderado Supuestos en Obligación de prestaciones definidas</t>
  </si>
  <si>
    <t>확정급여형 연금 채무의 가중평균 가정</t>
  </si>
  <si>
    <t>预计支付的未来收益</t>
  </si>
  <si>
    <t>預計支付的未來收益</t>
  </si>
  <si>
    <t>Estimation des prestations futures versées</t>
  </si>
  <si>
    <t>Geschätzte zukünftige Leistungszahlungen</t>
  </si>
  <si>
    <t>Benefici futuri stimati pagati</t>
  </si>
  <si>
    <t>予測将来給付支出</t>
  </si>
  <si>
    <t>Предполагаемые будущие пособия Оплаченные</t>
  </si>
  <si>
    <t>Estimación de los beneficios futuros pagados</t>
  </si>
  <si>
    <t>예상 지급 미래 급여</t>
  </si>
  <si>
    <t>资产负债表对帐项目</t>
  </si>
  <si>
    <t>資產負債表對帳項目</t>
  </si>
  <si>
    <t>Éléments de réconciliation du bilan</t>
  </si>
  <si>
    <t>Bilanzabstimmungsposten</t>
  </si>
  <si>
    <t>Voci di riconciliazione bilancio</t>
  </si>
  <si>
    <t>貸借対照表調整項目</t>
  </si>
  <si>
    <t>Примирительные элементы баланса</t>
  </si>
  <si>
    <t>Partidas de conciliación del balance</t>
  </si>
  <si>
    <t>대차대조표 조정 항목</t>
  </si>
  <si>
    <t>长期资产</t>
  </si>
  <si>
    <t>長期資產</t>
  </si>
  <si>
    <t>Actifs à long terme</t>
  </si>
  <si>
    <t>Vermögenswerte, langfristig</t>
  </si>
  <si>
    <t>Attività a lungo termine</t>
  </si>
  <si>
    <t>長期資産</t>
  </si>
  <si>
    <t>Долгосрочные активы</t>
  </si>
  <si>
    <t>Activos a largo plazo</t>
  </si>
  <si>
    <t>장기 자산</t>
  </si>
  <si>
    <t>流动负债</t>
  </si>
  <si>
    <t>流動負債</t>
  </si>
  <si>
    <t>Passif à court terme</t>
  </si>
  <si>
    <t>Kurzfristige Verbindlichkeiten</t>
  </si>
  <si>
    <t>Passività correnti</t>
  </si>
  <si>
    <t>Текущие обязательства</t>
  </si>
  <si>
    <t>Pasivos actuales</t>
  </si>
  <si>
    <t>유동부채</t>
  </si>
  <si>
    <t>长期负债</t>
  </si>
  <si>
    <t>長期負債</t>
  </si>
  <si>
    <t>Passif à long terme</t>
  </si>
  <si>
    <t>Verbindlichkeiten, langfristig</t>
  </si>
  <si>
    <t>Passività a lungo termine</t>
  </si>
  <si>
    <t>長期の負債</t>
  </si>
  <si>
    <t>Долгосрочные обязательства</t>
  </si>
  <si>
    <t>Pasivos a largo plazo</t>
  </si>
  <si>
    <t>资产负债表上已确认的负债调整</t>
  </si>
  <si>
    <t>資產負債表上已確認的負債調整</t>
  </si>
  <si>
    <t>Ajustement du passif comptabilisé au bilan</t>
  </si>
  <si>
    <t>Anpassung um die in der Bilanz ausgewiesenen Verbindlichkeiten</t>
  </si>
  <si>
    <t>Rett. per passività riconosciuta in bilancio</t>
  </si>
  <si>
    <t>貸借対照表で認識された債務で修正されている</t>
  </si>
  <si>
    <t>Скорректировано для обязательств, признанных в балансе.</t>
  </si>
  <si>
    <t>Ajuste de la responsabilidad reconocida en el balance</t>
  </si>
  <si>
    <t>대차대조표에서 인식된 부채 조정</t>
  </si>
  <si>
    <t>其他养老金相关项目</t>
  </si>
  <si>
    <t>其他養老金相關項目</t>
  </si>
  <si>
    <t>Autres articles relatifs à la pension</t>
  </si>
  <si>
    <t>Sonstige Posten mit Pensionsbezug</t>
  </si>
  <si>
    <t>Altre voci relative alle pensioni</t>
  </si>
  <si>
    <t>その他の年金関連アイテム</t>
  </si>
  <si>
    <t>Другие статьи пенсионного обеспечения</t>
  </si>
  <si>
    <t>Otros artículos relacionados con la pensión</t>
  </si>
  <si>
    <t>기타 연금 관련 항목</t>
  </si>
  <si>
    <t>无资金和归属的养老金负债</t>
  </si>
  <si>
    <t>無資金和歸屬的養老金負債</t>
  </si>
  <si>
    <t xml:space="preserve">Engagements de retraite non capitalisés et acquis </t>
  </si>
  <si>
    <t>Nicht gedeckte und unverfallbare Pensionsverbindlichkeiten</t>
  </si>
  <si>
    <t>Pass. pensioni non finanziate e diritti acquisiti</t>
  </si>
  <si>
    <t>未積立・受給権付与済み年金債務</t>
  </si>
  <si>
    <t xml:space="preserve">Нефинансируемые и гарантированные пенсионные обязательства </t>
  </si>
  <si>
    <t xml:space="preserve">Pasivos de Pensiones no financiados y adquiridos </t>
  </si>
  <si>
    <t>미적립식 및 귀속확정 연금 부채</t>
  </si>
  <si>
    <t>福利信息日期</t>
  </si>
  <si>
    <t>Date d'information sur les prestations</t>
  </si>
  <si>
    <t>Datum der Leistungsinformation</t>
  </si>
  <si>
    <t>Data informazioni benefici</t>
  </si>
  <si>
    <t>給付インフォの日付</t>
  </si>
  <si>
    <t>Дата предоставления информации о льготах</t>
  </si>
  <si>
    <t>Fecha de información de beneficios</t>
  </si>
  <si>
    <t>급여 정보 날짜</t>
  </si>
  <si>
    <t>其他离职后福利</t>
  </si>
  <si>
    <t>其他離職後福利</t>
  </si>
  <si>
    <t>Autres bénéfices postérieurs à l'emploi (OPEB)</t>
  </si>
  <si>
    <t>OPEB (Altri benefici post-impiego)</t>
  </si>
  <si>
    <t>その他の退職給付</t>
  </si>
  <si>
    <t>Другие пособия по окончании трудовой деятельности (OPEB)</t>
  </si>
  <si>
    <t>Otros beneficios post-empleo (OPEB)</t>
  </si>
  <si>
    <t>设定受益总成本</t>
  </si>
  <si>
    <t>設定受益總成本</t>
  </si>
  <si>
    <t>Prestations définies Coût total</t>
  </si>
  <si>
    <t>Gesamtkosten im leistungsorientierten Pensionsprogramm</t>
  </si>
  <si>
    <t>Costo totale benefici def.</t>
  </si>
  <si>
    <t>確定給付 - 給付総費用</t>
  </si>
  <si>
    <t>Суммарные затраты на выплату пособий с установленными выплатами</t>
  </si>
  <si>
    <t>Beneficio Definido Beneficio Costo total</t>
  </si>
  <si>
    <t>확정급여형 연금 혜택 총 비용</t>
  </si>
  <si>
    <t>其他离职后福利费用合计</t>
  </si>
  <si>
    <t>其他離職後福利費用合計</t>
  </si>
  <si>
    <t>Total des autres dépenses liées aux bénéfices post-emploi</t>
  </si>
  <si>
    <t>Summe der OPEB-Aufwendungen</t>
  </si>
  <si>
    <t>Totale spese OPEB</t>
  </si>
  <si>
    <t>その他の退職給付総額</t>
  </si>
  <si>
    <t>Всего Прочие расходы на выплату пособий по окончании трудовой деятельности</t>
  </si>
  <si>
    <t>Gastos totales de Otros beneficios post-empleo (OPEB)</t>
  </si>
  <si>
    <t>총 OPEB 비용</t>
  </si>
  <si>
    <t>预计福利义务</t>
  </si>
  <si>
    <t>預計福利義務</t>
  </si>
  <si>
    <t>Obligation de prestations projetées</t>
  </si>
  <si>
    <t>Voraussichtliche Leistungsverpflichtung</t>
  </si>
  <si>
    <t>Obbligo a benefici programmato</t>
  </si>
  <si>
    <t>予測給付債務</t>
  </si>
  <si>
    <t>Обязательство по прогнозируемым выплатам</t>
  </si>
  <si>
    <t>Obligación de beneficios proyectados</t>
  </si>
  <si>
    <t>예측급여채무</t>
  </si>
  <si>
    <t>效益敏感性分析</t>
  </si>
  <si>
    <t>Analyse de sensibilité des avantages</t>
  </si>
  <si>
    <t>Sensitivitätsanalyse für Leistungen</t>
  </si>
  <si>
    <t>Analisi sensibilità benefit</t>
  </si>
  <si>
    <t>メリット感度分析</t>
  </si>
  <si>
    <t>Анализ чувствительности к выплатам</t>
  </si>
  <si>
    <t>Beneficios Análisis de sensibilidad</t>
  </si>
  <si>
    <t>혜택 민감도 분석</t>
  </si>
  <si>
    <t>其他退休后福利相关项目</t>
  </si>
  <si>
    <t>其他退休後福利相關項目</t>
  </si>
  <si>
    <t>Autres éléments liés aux avantages postérieurs à la retraite</t>
  </si>
  <si>
    <t>Andere Posten im Zusammenhang mit Pensionsleistungen</t>
  </si>
  <si>
    <t>Altre voci relative ai benefici post-impiego</t>
  </si>
  <si>
    <t>その他の退職後給付関連アイテム</t>
  </si>
  <si>
    <t>Другие статьи, связанные с выплатами после выхода на пенсию</t>
  </si>
  <si>
    <t>Otros artículos relacionados con las prestaciones posteriores a la jubilación</t>
  </si>
  <si>
    <t>기타 은퇴 후 혜택 관련 항목</t>
  </si>
  <si>
    <t>初始医疗费用趋势率</t>
  </si>
  <si>
    <t>初始醫療費用趨勢率</t>
  </si>
  <si>
    <t>Taux d'évolution des coûts des soins de santé, initial</t>
  </si>
  <si>
    <t>Gesundheitskostentrend, anfänglich</t>
  </si>
  <si>
    <t>Tasso tendenza costo assistenza sanitaria, iniziale</t>
  </si>
  <si>
    <t>ヘルスケアコストトレンドレート、初期</t>
  </si>
  <si>
    <t>Тенденция изменения стоимости медицинского обслуживания, начальное значение</t>
  </si>
  <si>
    <t>Tasa de tendencia del costo de la atención médica, inicial</t>
  </si>
  <si>
    <t>건강 관리 비용 추세 비율, 초기</t>
  </si>
  <si>
    <t>最终医疗费用趋势率</t>
  </si>
  <si>
    <t>最終醫療費用趨勢率</t>
  </si>
  <si>
    <t>Taux d'évolution des coûts des soins de santé, ultime</t>
  </si>
  <si>
    <t>Gesundheitskostentrend, ultimativ</t>
  </si>
  <si>
    <t>Tasso tendenza costo assistenza sanitaria, definitivo</t>
  </si>
  <si>
    <t>ヘルスケアコストトレンドレート、究極</t>
  </si>
  <si>
    <t>Тенденция изменения стоимости медицинского обслуживания, конечная цена</t>
  </si>
  <si>
    <t>Tasa de tendencia del costo de la atención médica, última</t>
  </si>
  <si>
    <t>건강 관리 비용 추세 비율, 최종</t>
  </si>
  <si>
    <t>养老金-国内</t>
  </si>
  <si>
    <t>養老金-國內</t>
  </si>
  <si>
    <t>Pension - domestique</t>
  </si>
  <si>
    <t>Rente – Inland</t>
  </si>
  <si>
    <t>Pensioni - Nazionale</t>
  </si>
  <si>
    <t>年金 - 国内</t>
  </si>
  <si>
    <t>Пенсионный - Национальный</t>
  </si>
  <si>
    <t>Pensión - Doméstica</t>
  </si>
  <si>
    <t>연금 - 국내</t>
  </si>
  <si>
    <t>设定受益利息成本</t>
  </si>
  <si>
    <t>設定受益利息成本</t>
  </si>
  <si>
    <t>Coût des intérêts des prestations définies</t>
  </si>
  <si>
    <t>Zinsaufwand im leistungsorientierten Pensionsprogramm</t>
  </si>
  <si>
    <t>Costo interessi benefici def.</t>
  </si>
  <si>
    <t>確定給付 - 利息費用</t>
  </si>
  <si>
    <t xml:space="preserve">Установленное пособие Проценты </t>
  </si>
  <si>
    <t>Beneficio Definido Costo de Interés</t>
  </si>
  <si>
    <t>확정급여형 연금 이자 비용</t>
  </si>
  <si>
    <t>设定受益资产收益率</t>
  </si>
  <si>
    <t>設定受益資產收益率</t>
  </si>
  <si>
    <t>Rendement des actifs à prestations définies</t>
  </si>
  <si>
    <t>Vermögensrendite im leistungsorientierten Pensionsprogramm</t>
  </si>
  <si>
    <t>Rendimento delle attività benefici def.</t>
  </si>
  <si>
    <t>確定給付 - 資産収益率</t>
  </si>
  <si>
    <t>Установленное пособие Рентабельность активов</t>
  </si>
  <si>
    <t>Beneficio Definido Retorno de los activos</t>
  </si>
  <si>
    <t>확정급여형 연금 자산 이익률</t>
  </si>
  <si>
    <t>设定受益其他成本</t>
  </si>
  <si>
    <t>設定受益其他成本</t>
  </si>
  <si>
    <t>Prestations définies Autres coûts</t>
  </si>
  <si>
    <t>Sonstige Kosten im leistungsorientierten Pensionsprogramm</t>
  </si>
  <si>
    <t>Altri costi benefici def.</t>
  </si>
  <si>
    <t>確定給付 - その他の費用</t>
  </si>
  <si>
    <t>Установленное пособие Другие расходы</t>
  </si>
  <si>
    <t>Beneficio Definido Otros costos</t>
  </si>
  <si>
    <t>확정급여형 연금 기타 비용</t>
  </si>
  <si>
    <t>Coût total des prestations définies</t>
  </si>
  <si>
    <t>確定給付 - 総費用</t>
  </si>
  <si>
    <t>Установленное пособие Итого Стоимость</t>
  </si>
  <si>
    <t>Beneficio Definido Costo total</t>
  </si>
  <si>
    <t>확정급여형 연금 총 비용</t>
  </si>
  <si>
    <t>确定福利总成本，包括补充计划</t>
  </si>
  <si>
    <t>確定福利總成本，包括補充計劃</t>
  </si>
  <si>
    <t>Coût total des régimes à prestations définies, y compris les régimes complémentaires</t>
  </si>
  <si>
    <t>Leistungsorientiertes Pensionsprogramm, Gesamtkosten inkl. Zusatzplänen</t>
  </si>
  <si>
    <t>Costo totale benefici def. incl. piani flessibili</t>
  </si>
  <si>
    <t>確定給付 - 給付総費用(補足的なプラン含む)</t>
  </si>
  <si>
    <t>Общая стоимость планов с установленными выплатами, включая дополнительные планы</t>
  </si>
  <si>
    <t>Beneficio Definido Costo total incluyendo planes suplementarios</t>
  </si>
  <si>
    <t>확정급여형 연금 부가 계획 포함 총 비용</t>
  </si>
  <si>
    <t>期初设定受益义务</t>
  </si>
  <si>
    <t>期初設定受益義務</t>
  </si>
  <si>
    <t>Obligation initiale de prestations définies</t>
  </si>
  <si>
    <t>Anfängliche Verpflichtung im leistungsorientierten Pensionsprogramm</t>
  </si>
  <si>
    <t>Obbligazioni benefici def. iniz.</t>
  </si>
  <si>
    <t>年初確定給付債務</t>
  </si>
  <si>
    <t>Начальные обязательства по выплатам с установленными выплатами</t>
  </si>
  <si>
    <t>Obligación de prestaciones Definido</t>
  </si>
  <si>
    <t>시작 확정급여형 연금 채무</t>
  </si>
  <si>
    <t>设定受益员工提存</t>
  </si>
  <si>
    <t>設定受益員工提存</t>
  </si>
  <si>
    <t>Cotisations des employés à prestations définies</t>
  </si>
  <si>
    <t>Mitarbeiterbeiträge im leistungsorientierten Pensionsprogramm</t>
  </si>
  <si>
    <t>Contribuzioni dipendenti benefici def.</t>
  </si>
  <si>
    <t>確定給付 - 従業員拠出</t>
  </si>
  <si>
    <t>Взносы сотрудников по установленным выплатам</t>
  </si>
  <si>
    <t>Def. Aportaciones de los empleados a las prestaciones</t>
  </si>
  <si>
    <t>확정급여형 연금 직원 기여도</t>
  </si>
  <si>
    <t>设定受益精算收益/亏损</t>
  </si>
  <si>
    <t>設定受益精算收益/虧損</t>
  </si>
  <si>
    <t>Gains/pertes actuariels à prestations définies</t>
  </si>
  <si>
    <t>Versicherungsmathematischer Gewinn/Verlust im leistungsorientierten Pensionsprogramm</t>
  </si>
  <si>
    <t>Utili/Perdite attuariali benefici def.</t>
  </si>
  <si>
    <t>確定給付 - 数理計算上の損益</t>
  </si>
  <si>
    <t>Актуарная прибыль/убытки по пенсионному плану с установленными выплатами</t>
  </si>
  <si>
    <t>Beneficio Definido Ganancias/Pérdidas actuariales</t>
  </si>
  <si>
    <t>확정급여형 연금 보험 계리사 이익/손실</t>
  </si>
  <si>
    <t>Ajusté en fonction du taux de change</t>
  </si>
  <si>
    <t>Wechselkursanpassung</t>
  </si>
  <si>
    <t>Rettif. tasso di cambio</t>
  </si>
  <si>
    <t>為替換算調整</t>
  </si>
  <si>
    <t>Скорректированный обменный курс</t>
  </si>
  <si>
    <t>Ajuste de Divisas</t>
  </si>
  <si>
    <t>子公司给付义务</t>
  </si>
  <si>
    <t>子公司給付義務</t>
  </si>
  <si>
    <t>Obligation de prestation acquise</t>
  </si>
  <si>
    <t>Aufgelaufene Leistungsverpflichtungen</t>
  </si>
  <si>
    <t>Obbligo a benefici acq.</t>
  </si>
  <si>
    <t>取得給付 - 債務</t>
  </si>
  <si>
    <t>Обязательства по приобретенным пособиям</t>
  </si>
  <si>
    <t>Obligación de beneficios adqueridos</t>
  </si>
  <si>
    <t>인수급여채무</t>
  </si>
  <si>
    <t>设定受益结算/削減</t>
  </si>
  <si>
    <t>設定受益結算/縮減</t>
  </si>
  <si>
    <t>Liquidation/réduction des prestations définies</t>
  </si>
  <si>
    <t>Abwicklung/Kürzung im leistungsorientierten Pensionsprogramm</t>
  </si>
  <si>
    <t>Riduzione/Estensione benefici def.</t>
  </si>
  <si>
    <t>確定給付 - 決済・削減</t>
  </si>
  <si>
    <t>Урегулирование/расхождение пенсионного плана с установленными выплатами</t>
  </si>
  <si>
    <t>Liquidación de beneficios Definidos / Reducción de beneficios</t>
  </si>
  <si>
    <t>확정급여형 연금 결산/삭감</t>
  </si>
  <si>
    <t>设定受益义务的其他调整</t>
  </si>
  <si>
    <t>設定受益義務的其他調整</t>
  </si>
  <si>
    <t>Autres ajustements à l'obligation de prestations définies</t>
  </si>
  <si>
    <t>Andere Anpassungen im leistungsorientierten Pensionsprogramm</t>
  </si>
  <si>
    <t>Altre rett. all'obbligo a benefici def.</t>
  </si>
  <si>
    <t>確定給付 - その他の修正</t>
  </si>
  <si>
    <t>Прочее скорректированное до обязательства по пенсионному плану с установленными выплатами</t>
  </si>
  <si>
    <t>Otro ajuste a la definición de Obligación de prestaciones</t>
  </si>
  <si>
    <t>기타 확정급여형 연금 채무 조절</t>
  </si>
  <si>
    <t>预期结付义务</t>
  </si>
  <si>
    <t>預期結付義務</t>
  </si>
  <si>
    <t>Vorhergesagte Leistungsverpflichtung</t>
  </si>
  <si>
    <t>Obbligo a benefici prog.</t>
  </si>
  <si>
    <t>Обязательство по прогнозируемым выгодам</t>
  </si>
  <si>
    <t>Obligación de prestaciones Proyectados</t>
  </si>
  <si>
    <t>初始退休基金资产</t>
  </si>
  <si>
    <t>初始退休基金資產</t>
  </si>
  <si>
    <t>Actifs du régime initial</t>
  </si>
  <si>
    <t>Anfängliches Planvermögen</t>
  </si>
  <si>
    <t>Attività a servizio del piano in.</t>
  </si>
  <si>
    <t>期初制度資産</t>
  </si>
  <si>
    <t>Начальные плановые активы</t>
  </si>
  <si>
    <t>Activos del Plan al principio</t>
  </si>
  <si>
    <t>시작 계획 자산</t>
  </si>
  <si>
    <t>退休基金资产的实际收益</t>
  </si>
  <si>
    <t>退休基金資產的實際收益</t>
  </si>
  <si>
    <t>Rendement réel des actifs du régime</t>
  </si>
  <si>
    <t>Tatsächliche Rendite auf das Planvermögen</t>
  </si>
  <si>
    <t>Rendimento attuale su attività a servizio del piano</t>
  </si>
  <si>
    <t>制度資産の実際収益</t>
  </si>
  <si>
    <t>Фактическая рентабельность плановых активов</t>
  </si>
  <si>
    <t>Rendimiento Actual de los activos del Plan</t>
  </si>
  <si>
    <t>실제 계획 자산 이익률</t>
  </si>
  <si>
    <t>雇主供款</t>
  </si>
  <si>
    <t>Cotisations de l'employeur</t>
  </si>
  <si>
    <t>Arbeitgeberbeiträge</t>
  </si>
  <si>
    <t>Contributi dipendenti</t>
  </si>
  <si>
    <t>雇用者拠出</t>
  </si>
  <si>
    <t>Взносы работодателей</t>
  </si>
  <si>
    <t>Contribuciones del empleador</t>
  </si>
  <si>
    <t>고용주 기여도</t>
  </si>
  <si>
    <t>参与者提存</t>
  </si>
  <si>
    <t>參與者提存</t>
  </si>
  <si>
    <t>Contributions des participants</t>
  </si>
  <si>
    <t>Mitgliedsbeiträge</t>
  </si>
  <si>
    <t>Contributi partecipanti</t>
  </si>
  <si>
    <t>参加者拠出</t>
  </si>
  <si>
    <t>Взносы участников</t>
  </si>
  <si>
    <t>Contribuciones de los participantes</t>
  </si>
  <si>
    <t>참가자 기여도</t>
  </si>
  <si>
    <t>福利支付</t>
  </si>
  <si>
    <t>Prestations versées</t>
  </si>
  <si>
    <t>Gezahlte Leistungen</t>
  </si>
  <si>
    <t>Benefici pagati</t>
  </si>
  <si>
    <t>給付支出</t>
  </si>
  <si>
    <t>Выплаченные средства</t>
  </si>
  <si>
    <t>Beneficios pagados</t>
  </si>
  <si>
    <t>지불된 급여</t>
  </si>
  <si>
    <t>外国為替の調整</t>
  </si>
  <si>
    <t>Валютные корректировки</t>
  </si>
  <si>
    <t>Ajustes de divisas</t>
  </si>
  <si>
    <t>子公司退休基金资产</t>
  </si>
  <si>
    <t>子公司退休基金資產</t>
  </si>
  <si>
    <t>Actifs de régime acquis</t>
  </si>
  <si>
    <t>Erworbenes Planvermögen</t>
  </si>
  <si>
    <t>Attività a servizio del piano acquisite</t>
  </si>
  <si>
    <t>買収制度資産</t>
  </si>
  <si>
    <t>Приобретенные плановые активы</t>
  </si>
  <si>
    <t>Activos Adquiridos del Plan</t>
  </si>
  <si>
    <t>인수된 계획 자산</t>
  </si>
  <si>
    <t>退休基金资产结算/削減</t>
  </si>
  <si>
    <t>退休基金資產結算/縮減</t>
  </si>
  <si>
    <t>Plan de règlement / réduction</t>
  </si>
  <si>
    <t>Planabwicklung/-kürzung</t>
  </si>
  <si>
    <t>Riduzione/Estensione del piano</t>
  </si>
  <si>
    <t>計画決済/縮小</t>
  </si>
  <si>
    <t>План урегулирования/сокращения</t>
  </si>
  <si>
    <t>Liquidación del Plan / Reducción</t>
  </si>
  <si>
    <t>계획 정산/삭감</t>
  </si>
  <si>
    <t>其他计划调整</t>
  </si>
  <si>
    <t>其他計劃調整</t>
  </si>
  <si>
    <t>Autres ajustements du régime</t>
  </si>
  <si>
    <t>Sonstige Plananpassungen</t>
  </si>
  <si>
    <t>Altre rettifiche del piano</t>
  </si>
  <si>
    <t>その他の計画の調整</t>
  </si>
  <si>
    <t>Другие корректировки плана</t>
  </si>
  <si>
    <t>Otros ajustes del plan</t>
  </si>
  <si>
    <t>기타 계획 조정</t>
  </si>
  <si>
    <t>计划总资产</t>
  </si>
  <si>
    <t>計劃總資產</t>
  </si>
  <si>
    <t>Total des actifs du régime</t>
  </si>
  <si>
    <t>Summe des Planvermögens</t>
  </si>
  <si>
    <t>Totale attività piano</t>
  </si>
  <si>
    <t>総制度資産</t>
  </si>
  <si>
    <t>Всего Плановые Активы</t>
  </si>
  <si>
    <t>Activos totales del Plan</t>
  </si>
  <si>
    <t>총 계획 자산</t>
  </si>
  <si>
    <t>养老金资产的预期收益</t>
  </si>
  <si>
    <t>養老金資產的預期收益</t>
  </si>
  <si>
    <t>Dépenses sur les actifs de pension</t>
  </si>
  <si>
    <t>Erwartete Rendite auf Pensionsvermögen</t>
  </si>
  <si>
    <t>Attività rit. pensione attese</t>
  </si>
  <si>
    <t>年金資産の期待収益率</t>
  </si>
  <si>
    <t>Расходы на пенсионные активы</t>
  </si>
  <si>
    <t>Gastos Sobre los activos de la pensión</t>
  </si>
  <si>
    <t>연금 자산의 예상 보유</t>
  </si>
  <si>
    <t>假定补偿增长率</t>
  </si>
  <si>
    <t>假定補償增長率</t>
  </si>
  <si>
    <t>Taux de croissance de la rémunération présumée</t>
  </si>
  <si>
    <t>Angenommene Leistungszuwachsrate</t>
  </si>
  <si>
    <t>Tasso crescita società supposto</t>
  </si>
  <si>
    <t>想定成長率</t>
  </si>
  <si>
    <t>Предполагаемая норма возмещения</t>
  </si>
  <si>
    <t>Supuesto Tasa de crecimiento integral</t>
  </si>
  <si>
    <t>가정된 회사 성장률</t>
  </si>
  <si>
    <t>净定期费用折扣率-最低</t>
  </si>
  <si>
    <t>淨定期費用折扣率-最低</t>
  </si>
  <si>
    <t>Taux de coût périodique net - Min</t>
  </si>
  <si>
    <t>Nettoperiodenkosten Abzinsungssatz – Min</t>
  </si>
  <si>
    <t>Tasso sconto costo periodico netto - Min</t>
  </si>
  <si>
    <t>純期間費用ディスクレート - 最小限</t>
  </si>
  <si>
    <t>Ставка чистой периодической стоимости - Мин.</t>
  </si>
  <si>
    <t>Costo periódico neto. Tasa - Mínimo</t>
  </si>
  <si>
    <t>순 정기 비용 할인율 - 최소</t>
  </si>
  <si>
    <t>净定期费用折扣率-最高</t>
  </si>
  <si>
    <t>淨定期費用折扣率-最高</t>
  </si>
  <si>
    <t>Taux de coût périodique net - Max</t>
  </si>
  <si>
    <t>Nettoperiodenkosten Abzinsungssatz – Max</t>
  </si>
  <si>
    <t>Tasso sconto costo periodico netto - Max</t>
  </si>
  <si>
    <t>純期間費用ディスクレート - 最大限</t>
  </si>
  <si>
    <t>Ставка чистой периодической стоимости - Макс.</t>
  </si>
  <si>
    <t>Costo periódico neto. Tasa - Máximo</t>
  </si>
  <si>
    <t>순 정기 비용 할인율 - 최대</t>
  </si>
  <si>
    <t>债务折现率</t>
  </si>
  <si>
    <t>債務折現率</t>
  </si>
  <si>
    <t>Taux d'actualisation sur les obligations</t>
  </si>
  <si>
    <t>Abzinsungssatz für Verpflichtungen</t>
  </si>
  <si>
    <t>Tasso di sconto sulle obbligazioni</t>
  </si>
  <si>
    <t>債務の割引率</t>
  </si>
  <si>
    <t>Ставка дисконта по обязательствам</t>
  </si>
  <si>
    <t>Tasa de descuento en las obligaciones</t>
  </si>
  <si>
    <t>채무 할인율</t>
  </si>
  <si>
    <t>补偿率增加-最低</t>
  </si>
  <si>
    <t>補償率增加-最低</t>
  </si>
  <si>
    <t>Augmentation du taux de rémunération - Min</t>
  </si>
  <si>
    <t>Rate der Vergütungszunahme – Min</t>
  </si>
  <si>
    <t>Tasso di aumento comp. - Min</t>
  </si>
  <si>
    <t>コンプの割合増加 - 最小限</t>
  </si>
  <si>
    <t>Скорость компенсирования  - Мин.</t>
  </si>
  <si>
    <t>Tasa de Componentes Incremento - Min</t>
  </si>
  <si>
    <t>구상환율 인상 - 최소</t>
  </si>
  <si>
    <t>预期长期资产收益率-最低</t>
  </si>
  <si>
    <t>預期長期資產收益率-最低</t>
  </si>
  <si>
    <t>Dépenses Taux de rendement à long terme des actifs - Min</t>
  </si>
  <si>
    <t>Erwartete langfristige Vermögensrendite – Min</t>
  </si>
  <si>
    <t>Tasso di rendimento sulle attività a lungo termine att. - Min</t>
  </si>
  <si>
    <t>資産の長期期待収益率 - 最小限</t>
  </si>
  <si>
    <t>Долгосрочная норма доходности активов - Мин.</t>
  </si>
  <si>
    <t>Exp.Tasa de Largo plazo ROA - Mínimo</t>
  </si>
  <si>
    <t>예상 장기 자산 이익률 - 최소</t>
  </si>
  <si>
    <t>预期长期资产收益率-最高</t>
  </si>
  <si>
    <t>預期長期資產收益率-最高</t>
  </si>
  <si>
    <t>Dépenses Taux de rendement à long terme des actifs - Max</t>
  </si>
  <si>
    <t>Erwartete langfristige Vermögensrendite – Max</t>
  </si>
  <si>
    <t>Tasso di rendimento sulle attività a lungo termine att. - Max</t>
  </si>
  <si>
    <t>資産の長期期待収益率 - 最大限</t>
  </si>
  <si>
    <t>Долгосрочная норма доходности активов - макс.</t>
  </si>
  <si>
    <t>Exp.Tasa de Largo plazo ROA - Máximo</t>
  </si>
  <si>
    <t>예상 장기 자산 이익률 - 최대</t>
  </si>
  <si>
    <t>计划资产-权益</t>
  </si>
  <si>
    <t>計劃資產-權益</t>
  </si>
  <si>
    <t>Actifs de régime - Actions</t>
  </si>
  <si>
    <t>Planvermögen – Aktien</t>
  </si>
  <si>
    <t>Attività a servizio del piano - Equity</t>
  </si>
  <si>
    <t>制度資産 - 株式</t>
  </si>
  <si>
    <t>Плановые активы - Акции</t>
  </si>
  <si>
    <t>Activos del Plan - Acciones</t>
  </si>
  <si>
    <t>계획 자산 - 주식</t>
  </si>
  <si>
    <t>计划资产-固定收益</t>
  </si>
  <si>
    <t>計劃資產-固定收益</t>
  </si>
  <si>
    <t>Actifs de régime - Revenu fixe</t>
  </si>
  <si>
    <t>Planvermögen – Rentenpapiere</t>
  </si>
  <si>
    <t>Attività a servizio del piano - Reddito fisso</t>
  </si>
  <si>
    <t>制度資産 - 債券</t>
  </si>
  <si>
    <t>Плановые активы - фиксированный доход</t>
  </si>
  <si>
    <t>Activos del Plan - Renta fija</t>
  </si>
  <si>
    <t>계획 자산 - 고정 수익</t>
  </si>
  <si>
    <t>计划资产-房地产</t>
  </si>
  <si>
    <t>計劃資產-房地產</t>
  </si>
  <si>
    <t>Actifs du régime - Immobilier</t>
  </si>
  <si>
    <t>Planvermögen – Immobilien</t>
  </si>
  <si>
    <t>Attività a servizio del piano - Immobiliare</t>
  </si>
  <si>
    <t>プラン資産̶不動産</t>
  </si>
  <si>
    <t>Плановые активы - Недвижимость</t>
  </si>
  <si>
    <t>Activos del plan - Bienes raíces</t>
  </si>
  <si>
    <t>계획 자산 - 부동산</t>
  </si>
  <si>
    <t>其他计划资产</t>
  </si>
  <si>
    <t>其他計劃資產</t>
  </si>
  <si>
    <t>Autres actifs du régime</t>
  </si>
  <si>
    <t>Sonstiges Planvermögen</t>
  </si>
  <si>
    <t>Altre attività a servizio del piano</t>
  </si>
  <si>
    <t>その他の制度資産</t>
  </si>
  <si>
    <t>Другие плановые активы</t>
  </si>
  <si>
    <t>Otros activos del Plan</t>
  </si>
  <si>
    <t>기타 계획 자산</t>
  </si>
  <si>
    <t>退休后福利义务假定回报率-最低</t>
  </si>
  <si>
    <t>退休後福利義務假定回報率-最低</t>
  </si>
  <si>
    <t>Taux de rendement supposé pour l'obligation de profit projeté - Minimum</t>
  </si>
  <si>
    <t>Angenommene PBO-Rendite – Min</t>
  </si>
  <si>
    <t>Tasso di rendimento supposto PBO - Min</t>
  </si>
  <si>
    <t>予測給付債務想定収益率 - 最小限</t>
  </si>
  <si>
    <t>Предполагаемая норма доходности для обязательства по прогнозируемой прибыли - Минимум</t>
  </si>
  <si>
    <t>Tasa de rendimiento asumida por el Obligación de beneficio proyectada - Mínima</t>
  </si>
  <si>
    <t>PBO 가정 이익률 - 최소</t>
  </si>
  <si>
    <t>退休后福利义务假定回报率-最高</t>
  </si>
  <si>
    <t>退休後福利義務假定回報率-最高</t>
  </si>
  <si>
    <t>Taux de rendement supposé pour l'obligation de prestation projetée - Maximum</t>
  </si>
  <si>
    <t>Angenommene PBO-Rendite – Max</t>
  </si>
  <si>
    <t>Tasso di rendimento supposto PBO - Max</t>
  </si>
  <si>
    <t>予測給付債務想定収益率 - 最大限</t>
  </si>
  <si>
    <t>Предполагаемая норма доходности для прогнозируемого обязательства по выплатам пособий - максимальная</t>
  </si>
  <si>
    <t>Tasa de rendimiento asumida por la Obligación de beneficio proyectada - Máximo</t>
  </si>
  <si>
    <t>PBO 가정 이익률 - 최대</t>
  </si>
  <si>
    <t>退休后福利义务补偿率-最低</t>
  </si>
  <si>
    <t>退休後福利義務補償率-最低</t>
  </si>
  <si>
    <t>Taux d'augmentation de la compensation pour l'obligation de prestation projetée - Minimum</t>
  </si>
  <si>
    <t>Geschwindigkeit der PBO-Vergütungszunahme – Min</t>
  </si>
  <si>
    <t>Tasso di incremento compensazione PBO - Min</t>
  </si>
  <si>
    <t>予測給付債務給与の上昇率 - 最小限</t>
  </si>
  <si>
    <t>Скорость увеличения компенсации по прогнозируемому обязательству по выплатам - Минимум</t>
  </si>
  <si>
    <t>Tasa de aumento de la compensación del Obligación de beneficio proyectada - Mínima</t>
  </si>
  <si>
    <t>PBO 구상환율 인상 - 최소</t>
  </si>
  <si>
    <t>退休后福利责任补偿率-最高</t>
  </si>
  <si>
    <t>退休後福利責任補償率-最高</t>
  </si>
  <si>
    <t>Taux d'augmentation de l'indemnité pour l'obligation de prestation projetée - Maximum</t>
  </si>
  <si>
    <t>Geschwindigkeit der PBO-Vergütungszunahme – Max</t>
  </si>
  <si>
    <t>Tasso di incremento compensazione PBO - Max</t>
  </si>
  <si>
    <t>予測給付債務給与の上昇率 - 最大限</t>
  </si>
  <si>
    <t>Скорость увеличения компенсации по обязательствам по прогнозируемым выплатам - Максимум</t>
  </si>
  <si>
    <t>Tasa de aumento de la compensación de la Obligación de beneficio proyectada - Máximo</t>
  </si>
  <si>
    <t>PBO 구상환율 인상 - 최대</t>
  </si>
  <si>
    <t>预计支付的未来收益-第1年</t>
  </si>
  <si>
    <t>預計支付的未來收益-第1年</t>
  </si>
  <si>
    <t>Estimation des prestations futures versées - 1ère année</t>
  </si>
  <si>
    <t>Geschätzte zukünftige Leistungszahlungen – Jahr 1</t>
  </si>
  <si>
    <t>Benefici futuri stim. pagati - 1° anno</t>
  </si>
  <si>
    <t>予測将来給付支出 - 1年</t>
  </si>
  <si>
    <t>Предполагаемые будущие пособия Оплаченные - 1 год</t>
  </si>
  <si>
    <t>Estimación Beneficios futuros pagados - 1er año</t>
  </si>
  <si>
    <t>예상 지급 미래 급여 - 첫 해</t>
  </si>
  <si>
    <t>预计支付的未来收益-第2年</t>
  </si>
  <si>
    <t>預計支付的未來收益-第2年</t>
  </si>
  <si>
    <t>Estimation des prestations futures versées - 2ème année</t>
  </si>
  <si>
    <t>Geschätzte zukünftige Leistungszahlungen – Jahr 2</t>
  </si>
  <si>
    <t>Benefici futuri stim. pagati - 2° anno</t>
  </si>
  <si>
    <t>予測将来給付支出 - 2年</t>
  </si>
  <si>
    <t>Предполагаемые будущие пособия Оплаченные - 2 года</t>
  </si>
  <si>
    <t>Estimación Beneficios futuros pagados - 2º año</t>
  </si>
  <si>
    <t>예상 지급 미래 급여 - 두 번째 해</t>
  </si>
  <si>
    <t>预计支付的未来收益-第3年</t>
  </si>
  <si>
    <t>預計支付的未來收益-第3年</t>
  </si>
  <si>
    <t>Estimation des prestations futures versées - 3ème année</t>
  </si>
  <si>
    <t>Geschätzte zukünftige Leistungszahlungen – Jahr 3</t>
  </si>
  <si>
    <t>Benefici futuri stim. pagati - 3° anno</t>
  </si>
  <si>
    <t>予測将来給付支出 - 3年</t>
  </si>
  <si>
    <t>Предполагаемые будущие пособия Оплаченные - 3 года</t>
  </si>
  <si>
    <t>Estimación Beneficios futuros pagados - 3er año</t>
  </si>
  <si>
    <t>예상 지급 미래 급여 - 세 번째 해</t>
  </si>
  <si>
    <t>预计支付的未来收益-第4年</t>
  </si>
  <si>
    <t>預計支付的未來收益-第4年</t>
  </si>
  <si>
    <t>Estimation des prestations futures versées - 4ème année</t>
  </si>
  <si>
    <t>Geschätzte zukünftige Leistungszahlungen – Jahr 4</t>
  </si>
  <si>
    <t>Benefici futuri stim. pagati - 4° anno</t>
  </si>
  <si>
    <t>予測将来給付支出 - 4年</t>
  </si>
  <si>
    <t>Предполагаемые будущие пособия Оплаченные - 4 года</t>
  </si>
  <si>
    <t>Estimación Beneficios futuros pagados - 4º año</t>
  </si>
  <si>
    <t>예상 지급 미래 급여 - 네 번째 해</t>
  </si>
  <si>
    <t>预计支付的未来收益-第5年</t>
  </si>
  <si>
    <t>預計支付的未來收益-第5年</t>
  </si>
  <si>
    <t>Estimation des prestations futures versées - 5ème année</t>
  </si>
  <si>
    <t>Geschätzte zukünftige Leistungszahlungen – Jahr 5</t>
  </si>
  <si>
    <t>Benefici futuri stim. pagati - 5° anno</t>
  </si>
  <si>
    <t>予測将来給付支出 - 5年</t>
  </si>
  <si>
    <t>Предполагаемые будущие выплаты Оплаченные - 5 лет</t>
  </si>
  <si>
    <t>Estimación Beneficios futuros pagados - 5º año</t>
  </si>
  <si>
    <t>예상 지급 미래 급여 - 다섯 번째 해</t>
  </si>
  <si>
    <t>预计支付的未来收益-之后</t>
  </si>
  <si>
    <t>預計支付的未來收益-之後</t>
  </si>
  <si>
    <t>Estimation des futures prestations versées - par la suite</t>
  </si>
  <si>
    <t>Geschätzte zukünftige Leistungszahlungen – ab dann</t>
  </si>
  <si>
    <t>Benefici futuri stim. pagati - Da lì in poi</t>
  </si>
  <si>
    <t>予測将来給付支出 - その後</t>
  </si>
  <si>
    <t>Предполагаемые будущие выплаты Оплаченные - В дальнейшем</t>
  </si>
  <si>
    <t>Estimación Beneficios futuros pagados - a partir de entonces</t>
  </si>
  <si>
    <t>예상 지급 미래 급여 - 그 이후</t>
  </si>
  <si>
    <t>预付福利成本</t>
  </si>
  <si>
    <t>預付福利成本</t>
  </si>
  <si>
    <t>Coût des prestations payées d'avance</t>
  </si>
  <si>
    <t>Kosten für Vorauszahlungen auf Leistungen</t>
  </si>
  <si>
    <t>Costo benefici prepagato</t>
  </si>
  <si>
    <t>プリペイド給付費用</t>
  </si>
  <si>
    <t>Стоимость предоплаченного пособия</t>
  </si>
  <si>
    <t>Costo de los beneficios prepagados</t>
  </si>
  <si>
    <t>선지급 급여 비용</t>
  </si>
  <si>
    <t>应计福利负债</t>
  </si>
  <si>
    <t>應計福利負債</t>
  </si>
  <si>
    <t>Responsabilité pour les prestations accumulées</t>
  </si>
  <si>
    <t>Passività benefici accumulata</t>
  </si>
  <si>
    <t>発生給付負債</t>
  </si>
  <si>
    <t>Обязательство по начисленным выплатам</t>
  </si>
  <si>
    <t>Responsabilidad por beneficios acumulados</t>
  </si>
  <si>
    <t>누적 급여 채무</t>
  </si>
  <si>
    <t>无形资产</t>
  </si>
  <si>
    <t>無形資產</t>
  </si>
  <si>
    <t>Actifs incorporels</t>
  </si>
  <si>
    <t>Immaterialvermögen</t>
  </si>
  <si>
    <t>Attività immateriali</t>
  </si>
  <si>
    <t>無形資産</t>
  </si>
  <si>
    <t>Нематериальные активы</t>
  </si>
  <si>
    <t>Activos intangibles</t>
  </si>
  <si>
    <t>무형자산</t>
  </si>
  <si>
    <t>累计其他补偿收入</t>
  </si>
  <si>
    <t>累計其他補償收入</t>
  </si>
  <si>
    <t xml:space="preserve">Autres éléments du résultat global cumulé </t>
  </si>
  <si>
    <t>Akkumulierter sonstiger Gesamtertrag</t>
  </si>
  <si>
    <t>Altre compon. reddit. accumul.</t>
  </si>
  <si>
    <t>累積その他の包括利益</t>
  </si>
  <si>
    <t xml:space="preserve">Накопленный прочий компенсационный доход </t>
  </si>
  <si>
    <t xml:space="preserve">Otros Ingresos Integrales Acumulados </t>
  </si>
  <si>
    <t>누적 기타 구상이익</t>
  </si>
  <si>
    <t>其他资产/负债</t>
  </si>
  <si>
    <t>其他資產/負債</t>
  </si>
  <si>
    <t>Autres actifs/passifs</t>
  </si>
  <si>
    <t>Sonstiges Vermögen/Verbindlichkeiten</t>
  </si>
  <si>
    <t>Altre attività/Passività</t>
  </si>
  <si>
    <t>その他の資産/負債</t>
  </si>
  <si>
    <t>Прочие активы/пассивы</t>
  </si>
  <si>
    <t>Otros activos/pasivos</t>
  </si>
  <si>
    <t>기타 자산/부채</t>
  </si>
  <si>
    <t>未确认的先前计划服务成本</t>
  </si>
  <si>
    <t>未確認的先前計劃服務成本</t>
  </si>
  <si>
    <t>Coût du service du régime précédent non reconnu</t>
  </si>
  <si>
    <t>Nicht aktivierte Leistungskosten des Plans aus Vorjahren</t>
  </si>
  <si>
    <t>Costo servizio piano precedente non ric.</t>
  </si>
  <si>
    <t>未認識過去勤務費用</t>
  </si>
  <si>
    <t>Непризнанная стоимость услуги по предыдущему плану</t>
  </si>
  <si>
    <t>No reconocido. Costo del servicio del plan previo</t>
  </si>
  <si>
    <t>인식되지 않은 이전 계획 서비스 비용</t>
  </si>
  <si>
    <t>其他调整（净收益资产/负债）</t>
  </si>
  <si>
    <t>其他調整（淨收益資產/負債）</t>
  </si>
  <si>
    <t>Autres ajustements (Bénéfice net sur l'actif/passif)</t>
  </si>
  <si>
    <t>Sonstige Anpassungen (Netto-Leistungsguthaben/-verpflichtungen)</t>
  </si>
  <si>
    <t>Altre rett. (Attività benefici nette/Pass.)</t>
  </si>
  <si>
    <t>その他の集積 (退職給付に係る資産・債務)</t>
  </si>
  <si>
    <t>Прочие корректировки (Чистая прибыль по активам/пассивам)</t>
  </si>
  <si>
    <t>Otros ajustes (Beneficio neto activo/pasivos)</t>
  </si>
  <si>
    <t>기타 조정(순 급여 자산/채무)</t>
  </si>
  <si>
    <t>资产负债表上确认的净资产/负债</t>
  </si>
  <si>
    <t>資產負債表上確認的淨資產/負債</t>
  </si>
  <si>
    <t>Actif/passif net comptabilisé au bilan</t>
  </si>
  <si>
    <t>In der Bilanz ausgewiesenes Nettovermögen/-verbindlichkeiten</t>
  </si>
  <si>
    <t>Passività/Attività nette riconosciute in bilancio</t>
  </si>
  <si>
    <t>貸借対照表上で認識された純資産/負債</t>
  </si>
  <si>
    <t>Чистые активы/обязательства, признанные в балансе</t>
  </si>
  <si>
    <t>Activo/pasivo neto reconocido en el balance</t>
  </si>
  <si>
    <t>대차대조표에서 인식된 순 자산/부채</t>
  </si>
  <si>
    <t>预计雇主提存-下年</t>
  </si>
  <si>
    <t>預計雇主提存-下年</t>
  </si>
  <si>
    <t>Estimation des contributions - Année prochaine</t>
  </si>
  <si>
    <t>Geschätzte Beiträge – Nächstes Jahr</t>
  </si>
  <si>
    <t>Contributi stimati - Anno successivo</t>
  </si>
  <si>
    <t>予測拠出額 - 来年</t>
  </si>
  <si>
    <t>Сметные взносы - в следующем году</t>
  </si>
  <si>
    <t>Contribuciones Estimadas - Próximo año</t>
  </si>
  <si>
    <t>예상 기여도 - 내년</t>
  </si>
  <si>
    <t>季度雇主提存</t>
  </si>
  <si>
    <t>Contribution trimestrielle de l'employeur</t>
  </si>
  <si>
    <t>Vierteljährlicher Arbeitgeberbeitrag</t>
  </si>
  <si>
    <t>Contributi datore di lavoro trimestrali</t>
  </si>
  <si>
    <t>四半期ごとの雇用者の貢献</t>
  </si>
  <si>
    <t>Ежеквартальный взнос работодателя</t>
  </si>
  <si>
    <t>Contribución trimestral del empleador</t>
  </si>
  <si>
    <t>분기별 고용주 기여도</t>
  </si>
  <si>
    <t>预计每季度额外提存</t>
  </si>
  <si>
    <t>預計每季度額外提存</t>
  </si>
  <si>
    <t>Des contributions supplémentaires attendues sur une base trimestrielle</t>
  </si>
  <si>
    <t>Erwartete vierteljährliche Zusatzbeiträge</t>
  </si>
  <si>
    <t>Contributi aggiuntivi trimestrali attesi</t>
  </si>
  <si>
    <t>四半期ごとの追加拠出期待</t>
  </si>
  <si>
    <t>Дополнительные взносы ожидаемые ежеквартально</t>
  </si>
  <si>
    <t>Se esperan contribuciones adicionales trimestrales</t>
  </si>
  <si>
    <t>예상된 분기별 추가 기여도</t>
  </si>
  <si>
    <t>无资金准备的额外最低负债</t>
  </si>
  <si>
    <t>無資金準備的額外最低負債</t>
  </si>
  <si>
    <t>Passif minimum non financé supplémentaire</t>
  </si>
  <si>
    <t>Nicht gedeckte zusätzliche Mindestverbindlichkeit</t>
  </si>
  <si>
    <t>Pass. minima aggiuntiva non finanziata</t>
  </si>
  <si>
    <t>未積立追加最小限の債務</t>
  </si>
  <si>
    <t>Дополнительный минимум необеспеченных обязательств</t>
  </si>
  <si>
    <t>Pasivos mínimos adicionales no financiados</t>
  </si>
  <si>
    <t>미적립식 추가 최소 부채</t>
  </si>
  <si>
    <t>其他离职后福利-国内</t>
  </si>
  <si>
    <t>其他離職後福利-國內</t>
  </si>
  <si>
    <t>Autres avantages postérieurs à l'emploi (OPEB) - national</t>
  </si>
  <si>
    <t>OPEB – Inland</t>
  </si>
  <si>
    <t>OPEB - Nazionale</t>
  </si>
  <si>
    <t>OPEB - 国内</t>
  </si>
  <si>
    <t>Другие пособия по окончании трудовой деятельности (OPEB) - национальные</t>
  </si>
  <si>
    <t>Otros beneficios post-empleo (OPEB) - Doméstico</t>
  </si>
  <si>
    <t>OPEB - 국내</t>
  </si>
  <si>
    <t>设定受益预期资产收益率</t>
  </si>
  <si>
    <t>設定受益預期資產收益率</t>
  </si>
  <si>
    <t>Prestations définies - Rendement attendu des actifs</t>
  </si>
  <si>
    <t>Erwartete Vermögensrendite im leistungsorientierten Pensionsprogramm</t>
  </si>
  <si>
    <t>Rendimento delle attività benefici def. atteso</t>
  </si>
  <si>
    <t>確定給付 - 資産の期待収益率</t>
  </si>
  <si>
    <t>Ожидаемая рентабельность активов по пенсионному плану с установленными выплатами</t>
  </si>
  <si>
    <t>Beneficio Definido Rendimiento esperado de los activos</t>
  </si>
  <si>
    <t>확정급여형 연금 예상 자산 이익률</t>
  </si>
  <si>
    <t>累积福利义务</t>
  </si>
  <si>
    <t>累積福利義務</t>
  </si>
  <si>
    <t>Obligation de prestations accumulées</t>
  </si>
  <si>
    <t>Akkumulierte Leistungsverpflichtung</t>
  </si>
  <si>
    <t>Obbligo a benefici accumulato</t>
  </si>
  <si>
    <t>累積給付債務</t>
  </si>
  <si>
    <t>Обязательство по выплатам накопленных пособий</t>
  </si>
  <si>
    <t>Obligación de beneficios acumulados</t>
  </si>
  <si>
    <t>누적급여채무</t>
  </si>
  <si>
    <t>增加1％-对服务和利息成本的影响</t>
  </si>
  <si>
    <t>增加1％-對服務和利息成本的影響</t>
  </si>
  <si>
    <t>Augmentation de 1% - Effet sur le coût des services et des intérêts</t>
  </si>
  <si>
    <t>Anstieg um 1 % – Auswirkungen auf Betriebs- und Zinskosten</t>
  </si>
  <si>
    <t>Aumento 1% - Effetto su costo interessi e servizio</t>
  </si>
  <si>
    <t>1％の増加 - サービス及び利息費用の影響</t>
  </si>
  <si>
    <t>Увеличение на 1% - Влияние на стоимость услуг и процентов</t>
  </si>
  <si>
    <t>Aumento del 1% - Efecto en el costo del servicio y los intereses</t>
  </si>
  <si>
    <t>1% 증가 - 서비스 및 이자 비용에 미치는 영향</t>
  </si>
  <si>
    <t>增加1％-对退休后福利义务的影响</t>
  </si>
  <si>
    <t>增加1％-對退休後福利義務的影響</t>
  </si>
  <si>
    <t>Augmentation de 1% - Effet sur l'obligation de prestations de retraite (PBO)</t>
  </si>
  <si>
    <t>Anstieg um 1% – Auswirkungen auf PBO</t>
  </si>
  <si>
    <t>Aumento 1% - Effetto su PBO</t>
  </si>
  <si>
    <t>1％の増加 - PBOへの影響</t>
  </si>
  <si>
    <t>1% увеличение - влияние на обязательства по выплатам после выхода на пенсию (PBO)</t>
  </si>
  <si>
    <t>Incremento del 1% - Efecto en la Obligación de beneficios posteriores a la jubilación (PBO)</t>
  </si>
  <si>
    <t>1% 증가 - PBO에 미치는 영향</t>
  </si>
  <si>
    <t>减少1％-对服务和利息成本的影响</t>
  </si>
  <si>
    <t>減少1％-對服務和利息成本的影響</t>
  </si>
  <si>
    <t>Diminution de 1% - Effet sur le coût des services et des intérêts</t>
  </si>
  <si>
    <t>Rückgang um 1 % – Auswirkungen auf Betriebs- und Zinskosten</t>
  </si>
  <si>
    <t>Decremento 1% - Effetto su costo interessi e servizio</t>
  </si>
  <si>
    <t>1％の減少 - サービス及び利息費用の影響</t>
  </si>
  <si>
    <t>1% Снижение - Влияние на стоимость услуг и процентов</t>
  </si>
  <si>
    <t>Disminución del 1% - Efecto en el costo del servicio y los intereses</t>
  </si>
  <si>
    <t>1% 감소 - 서비스 및 이자 비용에 미치는 영향</t>
  </si>
  <si>
    <t>减少1％-对退休后福利义务的影响</t>
  </si>
  <si>
    <t>減少1％-對退休後福利義務的影響</t>
  </si>
  <si>
    <t>Diminution de 1% - Effet sur l'obligation de prestations de retraite (PBO)</t>
  </si>
  <si>
    <t>Rückgang um 1% – Auswirkungen auf PBO</t>
  </si>
  <si>
    <t>Decremento 1% - Effetto su PBO</t>
  </si>
  <si>
    <t>1％の減少 - PBOへの影響</t>
  </si>
  <si>
    <t>1% Сокращение - влияние на обязательства по выплатам после выхода на пенсию (PBO)</t>
  </si>
  <si>
    <t>Disminución del 1% - Efecto en la Obligación de beneficios posteriores a la jubilación (PBO)</t>
  </si>
  <si>
    <t>1% 감소 - PBO에 미치는 영향</t>
  </si>
  <si>
    <t>养老金-外国</t>
  </si>
  <si>
    <t>養老金-外國</t>
  </si>
  <si>
    <t>Pension - Étranger</t>
  </si>
  <si>
    <t>Pension – Ausland</t>
  </si>
  <si>
    <t>Pensioni - Estero</t>
  </si>
  <si>
    <t>年金 - 外国</t>
  </si>
  <si>
    <t>Пенсионный - Иностранный</t>
  </si>
  <si>
    <t>Pensión - Extranjero</t>
  </si>
  <si>
    <t>연금 - 외국</t>
  </si>
  <si>
    <t>累积给付义务（养老金）</t>
  </si>
  <si>
    <t>累積給付義務（養老金）</t>
  </si>
  <si>
    <t>Obligation de prestations accumulées (pension)</t>
  </si>
  <si>
    <t>Akkumulierte Leistungsverpflichtung (Pension)</t>
  </si>
  <si>
    <t>Obbligo a benefici acc. (pensioni)</t>
  </si>
  <si>
    <t>累積給付債務（年金）</t>
  </si>
  <si>
    <t>Обязательство по накопленным выплатам (пенсия)</t>
  </si>
  <si>
    <t>Accum. Obligación de prestaciones (Pensión)</t>
  </si>
  <si>
    <t>누적급여채무(연금)</t>
  </si>
  <si>
    <t>其他离职后福利-外国</t>
  </si>
  <si>
    <t>其他離職後福利-外國</t>
  </si>
  <si>
    <t>Autres avantages postérieurs à l'emploi (APE) - étrangers</t>
  </si>
  <si>
    <t>OPEB – Ausland</t>
  </si>
  <si>
    <t>OPEB - Estero</t>
  </si>
  <si>
    <t>OPEB - 外国</t>
  </si>
  <si>
    <t>Другие пособия по окончании трудовой деятельности (OPEB) - иностранные</t>
  </si>
  <si>
    <t>Otros beneficios post-empleo (OPEB) - Extranjero</t>
  </si>
  <si>
    <t>OPEB - 외국</t>
  </si>
  <si>
    <t>财务年度结束</t>
  </si>
  <si>
    <t>財務年度結束</t>
  </si>
  <si>
    <t>Exercice clos,</t>
  </si>
  <si>
    <t>Das Geschäftsjahr endete,</t>
  </si>
  <si>
    <t>Anno fiscale chiuso</t>
  </si>
  <si>
    <t>会計年度期末,</t>
  </si>
  <si>
    <t>Финансовый год закончившийся</t>
  </si>
  <si>
    <t>Ejercicio fiscal terminado,</t>
  </si>
  <si>
    <t xml:space="preserve">회계연도 종료일 </t>
  </si>
  <si>
    <t>Identificazione</t>
  </si>
  <si>
    <t>IDENTIFICACIÓN</t>
  </si>
  <si>
    <t>攤薄每股盈利(不包括非經常性項目)</t>
  </si>
  <si>
    <t>bénéfices dilués par action hors éléments supplémentaires</t>
  </si>
  <si>
    <t>Verwässertes EPS ohne Extraposten</t>
  </si>
  <si>
    <t>EPS diluito (al netto delle voci non ricorrenti)</t>
  </si>
  <si>
    <t>潜在株式調整後　一株当たり当期純利益 (非継続事業からの損益等の異常項目を除く)</t>
  </si>
  <si>
    <t>Разводненная прибыль на одну акцию за вычетом чрезвычайных статей</t>
  </si>
  <si>
    <t>Ganancias por acción diluidas, excluyendo partidas extraordinarias</t>
  </si>
  <si>
    <t>희석주당이익(특별손익 제외)</t>
  </si>
  <si>
    <t>占收入百分比%</t>
  </si>
  <si>
    <t>佔收入百分比%</t>
  </si>
  <si>
    <t>Marge %</t>
  </si>
  <si>
    <t>Margine %</t>
  </si>
  <si>
    <t>マージン％</t>
  </si>
  <si>
    <t>Маржа %</t>
  </si>
  <si>
    <t>Margen %</t>
  </si>
  <si>
    <t>이익율 %</t>
  </si>
  <si>
    <t>Conversion</t>
  </si>
  <si>
    <t>汇率兑换</t>
  </si>
  <si>
    <t>匯率兌換</t>
  </si>
  <si>
    <t>Umwandlung</t>
  </si>
  <si>
    <t>Conversione</t>
  </si>
  <si>
    <t>換算レート</t>
  </si>
  <si>
    <t xml:space="preserve">Конвертация </t>
  </si>
  <si>
    <t>Conversión</t>
  </si>
  <si>
    <t>적용환율</t>
  </si>
  <si>
    <t>股价/有形账面价值</t>
  </si>
  <si>
    <t>股價/有形賬面價值</t>
  </si>
  <si>
    <t>Price/ valeur comptable corporelle</t>
  </si>
  <si>
    <t>Preis/materieller Buchwert</t>
  </si>
  <si>
    <t>Prezzo/Valore contabile Tang</t>
  </si>
  <si>
    <t>株価/一株当たり修正純資産</t>
  </si>
  <si>
    <t>Цена / Материальная балансовая стоимость</t>
  </si>
  <si>
    <t>Ratio Precio-Valor Contable Tangible</t>
  </si>
  <si>
    <t>주가 / 유형 장부가 (Tangible)</t>
  </si>
  <si>
    <t>保险结算（补充）</t>
  </si>
  <si>
    <t>保險結算（補充）</t>
  </si>
  <si>
    <t>Règlements d'assurance (Supplément)</t>
  </si>
  <si>
    <t>Versicherungsabrechnungen (Zus.)</t>
  </si>
  <si>
    <t>Indennizzi assicurativi (flessibile)</t>
  </si>
  <si>
    <t>保険差損益(注記)</t>
  </si>
  <si>
    <t>Страховые расчеты (дополнение)</t>
  </si>
  <si>
    <t>Acuerdos de seguros (Suplemento)</t>
  </si>
  <si>
    <t>보험 결산(부가)</t>
  </si>
  <si>
    <t>法律和解（补充）</t>
  </si>
  <si>
    <t>法律和解（補充）</t>
  </si>
  <si>
    <t>Règlements juridiques (Supplément)</t>
  </si>
  <si>
    <t>Verfahrensvergleiche (Zus.)</t>
  </si>
  <si>
    <t>Indennizzi legali (flessibile)</t>
  </si>
  <si>
    <t>法務費用(注記)</t>
  </si>
  <si>
    <t>Правовые расчеты (Дополнение)</t>
  </si>
  <si>
    <t>Acuerdos legales (Suplemento)</t>
  </si>
  <si>
    <t>법적 결산(부가)</t>
  </si>
  <si>
    <t>进行中的研发费用（补充）</t>
  </si>
  <si>
    <t>進行中的研發費用（補充）</t>
  </si>
  <si>
    <t>Dépenses de R &amp; D en cours (Supplément)</t>
  </si>
  <si>
    <t>Laufender F&amp;E-Aufwand (Zus.)</t>
  </si>
  <si>
    <t>Spese per ricerca e sviluppo in corso (flessibile)</t>
  </si>
  <si>
    <t>仕掛研究開発費(注記)</t>
  </si>
  <si>
    <t>Текущие расходы на НИОКР (Дополнение)</t>
  </si>
  <si>
    <t>Gastos de I+D en proceso (Suplemento)</t>
  </si>
  <si>
    <t>진행 중인 연구개발비(부가)</t>
  </si>
  <si>
    <t>廉价购买利益-补充</t>
  </si>
  <si>
    <t>廉價購買利益-補充</t>
  </si>
  <si>
    <t>Gain sur l'Acquisition de bonnes affaires - Supplément</t>
  </si>
  <si>
    <t>Gewinn beim Erwerb von Schnäppchen (Zus.)</t>
  </si>
  <si>
    <t>Utile per acquisto a prezzi favorevoli - Flessibile</t>
  </si>
  <si>
    <t>廉価買収益(注記)</t>
  </si>
  <si>
    <t>Прибыль от приобретения - Дополнение</t>
  </si>
  <si>
    <t>Ganar en la adquisición de negociación - Suplemento</t>
  </si>
  <si>
    <t>계약 인수 이익 - 부가</t>
  </si>
  <si>
    <t>资产减值, 总计（补充）</t>
  </si>
  <si>
    <t>資產減值, 總計（補充）</t>
  </si>
  <si>
    <t>Dépréciation d'actifs, total ( Supplément)</t>
  </si>
  <si>
    <t>Vermögensabschreibung, Summe (Zus.)</t>
  </si>
  <si>
    <t>Svalutazione delle immobilizzazioni, totale (flessibile)</t>
  </si>
  <si>
    <t>固定資産の減損損失(注記)</t>
  </si>
  <si>
    <t>Обесценение активов, всего (Дополнение)</t>
  </si>
  <si>
    <t>Reducción de activos, total (Suplemento)</t>
  </si>
  <si>
    <t>자산 상계액, 총계(부가)</t>
  </si>
  <si>
    <t>股票补偿, 勘探/钻探费用</t>
  </si>
  <si>
    <t>股票補償, 勘探/鑽探費用</t>
  </si>
  <si>
    <t>Rémunération à base d'actions, frais d'exploration/forage</t>
  </si>
  <si>
    <t>Aktienvergütungen, Explorations-/Bohrungensaufwendungen</t>
  </si>
  <si>
    <t>Comp. basata su azioni, spese di esplorazione/trivellazione</t>
  </si>
  <si>
    <t>株式報酬費用(踏査/掘削費)</t>
  </si>
  <si>
    <t>Компенсация на основе акций, расходы на геологоразведку/бурение</t>
  </si>
  <si>
    <t>Compensación basada en acciones, Gastos de Exploración y Perforación</t>
  </si>
  <si>
    <t>배당금수익, 탐사/시추 비용</t>
  </si>
  <si>
    <t>优先股-可转换债券的清算价值</t>
  </si>
  <si>
    <t>優先股-可轉換債券的清算價值</t>
  </si>
  <si>
    <t>Valeur de liquidation des actions privilégiées - Convertibles</t>
  </si>
  <si>
    <t>Liquidationswert von Vorzugsaktien – wandelbar</t>
  </si>
  <si>
    <t>Valore di liquidazione di azioni privilegiate - Convertibile</t>
  </si>
  <si>
    <t>(転換可能)優先株式の清算価値</t>
  </si>
  <si>
    <t>Ликвидационная стоимость привилегированных акций - конвертируемые акции</t>
  </si>
  <si>
    <t>Valor de liquidación de las acciones preferentes - Convertible</t>
  </si>
  <si>
    <t>우선주 청산가치 - 전환</t>
  </si>
  <si>
    <t>优先股的清算价值-不可赎回</t>
  </si>
  <si>
    <t>優先股的清算價值-不可贖回</t>
  </si>
  <si>
    <t>Valeur de liquidation des actions privilégiées - non remboursables</t>
  </si>
  <si>
    <t>Liquidationswert von Vorzugsaktien – nicht rückkaufbar</t>
  </si>
  <si>
    <t>Valore di liquidazione di azioni privilegiate - Non riscattabili</t>
  </si>
  <si>
    <t>(償還不能)優先株式の清算価値</t>
  </si>
  <si>
    <t>Ликвидационная стоимость привилегированных акций - не подлежащая выкупу</t>
  </si>
  <si>
    <t>Valor de liquidación de las acciones preferentes - No rescatables</t>
  </si>
  <si>
    <t>우선주 청산가치 - 비상환</t>
  </si>
  <si>
    <t>优先股的清算价值-可赎回</t>
  </si>
  <si>
    <t>優先股的清算價值-可贖回</t>
  </si>
  <si>
    <t>Valeur de liquidation des actions privilégiées - Remboursable</t>
  </si>
  <si>
    <t>Liquidationswert von Vorzugsaktien – rückkaufbar</t>
  </si>
  <si>
    <t>Valore di liquidazione di azioni privilegiate - Riscattabili</t>
  </si>
  <si>
    <t>(償還可能)優先株式の清算価値</t>
  </si>
  <si>
    <t>Ликвидационная стоимость привилегированных акций - подлежащая выкупу</t>
  </si>
  <si>
    <t>Valor de liquidación de las acciones preferentes - Redimible</t>
  </si>
  <si>
    <t>우선주 청산가치 - 상환</t>
  </si>
  <si>
    <t>净额结算及其他资产调整</t>
  </si>
  <si>
    <t>淨額結算及其他資產調整</t>
  </si>
  <si>
    <t>Compensation et autres ajustements à l'actif</t>
  </si>
  <si>
    <t>Saldierung und andere Vermögensanpassungen</t>
  </si>
  <si>
    <t>Netting e altre rettif. ad attività</t>
  </si>
  <si>
    <t>資産の公正価値(その他調整額)</t>
  </si>
  <si>
    <t>Неттинг и прочее скорректированые активы</t>
  </si>
  <si>
    <t>Compensación y otros ajustes a los activos</t>
  </si>
  <si>
    <t>네팅 및 기타 자산 조정</t>
  </si>
  <si>
    <t>净额结算及其他负债调整</t>
  </si>
  <si>
    <t>淨額結算及其他負債調整</t>
  </si>
  <si>
    <t>Corrections et autres ajustements au passif</t>
  </si>
  <si>
    <t>Saldierung und andere Anpassungen an Verbindlichkeiten</t>
  </si>
  <si>
    <t>Netting e altre rettif. a passività</t>
  </si>
  <si>
    <t>負債の公正価値(その他調整額)</t>
  </si>
  <si>
    <t>Неттинг и прочие корректировки обязательств</t>
  </si>
  <si>
    <t>Compensación y otros ajustes del pasivo</t>
  </si>
  <si>
    <t>네팅 및 기타 부채 조정</t>
  </si>
  <si>
    <t>研发费用(注脚)</t>
  </si>
  <si>
    <t>研發費用(註腳)</t>
  </si>
  <si>
    <t>Dépenses de R&amp;D (Note de bas de page)</t>
  </si>
  <si>
    <t>F&amp;E-Aufwendungen (Fußnote)</t>
  </si>
  <si>
    <t>Spese ricerca e sviluppo (Nota di bilancio)</t>
  </si>
  <si>
    <t>研究開発費(注記)</t>
  </si>
  <si>
    <t>Расходы на НИОКР (Примечание)</t>
  </si>
  <si>
    <t>Gastos de I+D (Nota al pie)</t>
  </si>
  <si>
    <t>R&amp;D 비용(주석)</t>
  </si>
  <si>
    <t>优先债和票据总额</t>
  </si>
  <si>
    <t>優先債和票據總額</t>
  </si>
  <si>
    <t>Total des obligations de premier rang et billets</t>
  </si>
  <si>
    <t>Summe der Anleihen und Schuldverschreibungen</t>
  </si>
  <si>
    <t>Totale note e obbligazioni senior</t>
  </si>
  <si>
    <t>シニアボンド・ノート総額</t>
  </si>
  <si>
    <t>Всего старших облигаций и векселей</t>
  </si>
  <si>
    <t>Total de obligaciones y bonos senior</t>
  </si>
  <si>
    <t>총 선순위 채권 및 어음</t>
  </si>
  <si>
    <t>未偿还债务总额</t>
  </si>
  <si>
    <t>未償還債務總額</t>
  </si>
  <si>
    <t>Total de la dette en cours</t>
  </si>
  <si>
    <t>Gesamte ausstehende Schulden</t>
  </si>
  <si>
    <t>Totale debiti in essere</t>
  </si>
  <si>
    <t>Всего непогашенная задолженность</t>
  </si>
  <si>
    <t>Deuda total pendiente</t>
  </si>
  <si>
    <t>미상환 사채총액</t>
  </si>
  <si>
    <t>Total Debt Outstanding</t>
  </si>
  <si>
    <t>总次级债</t>
  </si>
  <si>
    <t>總次級債</t>
  </si>
  <si>
    <t>Total subordonnée Dette</t>
  </si>
  <si>
    <t>Nachrangige Schulden insgesamt</t>
  </si>
  <si>
    <t>Totale indebitamento subordinato</t>
  </si>
  <si>
    <t>劣後債務合計額</t>
  </si>
  <si>
    <t>Всего субординированный долг</t>
  </si>
  <si>
    <t>Total deuda subordinada</t>
  </si>
  <si>
    <t>총 후순위 부채</t>
  </si>
  <si>
    <t>优先次级债</t>
  </si>
  <si>
    <t>優先次級債</t>
  </si>
  <si>
    <t>Sr. Sub. Dette</t>
  </si>
  <si>
    <t>Senior nachrangige Schulden</t>
  </si>
  <si>
    <t>Indebitamento subordinato senior</t>
  </si>
  <si>
    <t>シニア劣後債務</t>
  </si>
  <si>
    <t>Старший субординированный долг</t>
  </si>
  <si>
    <t>Deuda subordinada senior</t>
  </si>
  <si>
    <t>상위 후순위 부채</t>
  </si>
  <si>
    <t>次级债</t>
  </si>
  <si>
    <t>次級債</t>
  </si>
  <si>
    <t>Sous. Dette</t>
  </si>
  <si>
    <t>Nachrangige Schulden</t>
  </si>
  <si>
    <t>Indebitamento subordinato</t>
  </si>
  <si>
    <t>劣後債務</t>
  </si>
  <si>
    <t>Субординированный долг</t>
  </si>
  <si>
    <t>Deuda subordinada</t>
  </si>
  <si>
    <t>후순위 부채</t>
  </si>
  <si>
    <t>次顺位次级债</t>
  </si>
  <si>
    <t>次順位次級債</t>
  </si>
  <si>
    <t>Dette subordonnée de second rang</t>
  </si>
  <si>
    <t>Junior nachrangige Schulden</t>
  </si>
  <si>
    <t>Indebitamento subordinato junior</t>
  </si>
  <si>
    <t>ジュニア劣後債務</t>
  </si>
  <si>
    <t>Младший субординированный долг</t>
  </si>
  <si>
    <t>Deuda subordinada junior</t>
  </si>
  <si>
    <t>하위 후순위 부채</t>
  </si>
  <si>
    <t>企业总价值</t>
  </si>
  <si>
    <t>企業總價值</t>
  </si>
  <si>
    <t>Valeur totale de l'entreprise</t>
  </si>
  <si>
    <t>総企業価値</t>
  </si>
  <si>
    <t>Valor total de la empresa</t>
  </si>
  <si>
    <t>총 기업 가치</t>
  </si>
  <si>
    <t>In Currency</t>
  </si>
  <si>
    <t>Key Financials</t>
  </si>
  <si>
    <t>股价/每股收益LTM</t>
  </si>
  <si>
    <t>股價/每股收益 LTM</t>
  </si>
  <si>
    <t>Cours / Bénéfice par action LTM</t>
  </si>
  <si>
    <t>Preis/LTM EPS</t>
  </si>
  <si>
    <t>Prezzo/EPS LTM</t>
  </si>
  <si>
    <t>株価／LTM EPS</t>
  </si>
  <si>
    <t>Цена / прибыль на акцию LTM</t>
  </si>
  <si>
    <t>Precio /Ganancias por acción LTM</t>
  </si>
  <si>
    <t>가격/ 주당순이익LTM</t>
  </si>
  <si>
    <t>LTM EBITDA</t>
  </si>
  <si>
    <t>过去十二个月息税折旧摊销前利润</t>
  </si>
  <si>
    <t>過去十二個月息稅折舊攤銷前利潤</t>
  </si>
  <si>
    <t>EBITDA de 12 Derniers Mois</t>
  </si>
  <si>
    <t>Letzte zwölf Monate - Ergebnis vor Zinsen, Steuern und Abschreibungen</t>
  </si>
  <si>
    <t>EBITDA За Последние 12 Месяцев</t>
  </si>
  <si>
    <t>EBITDA de los Últimos 12 Meses</t>
  </si>
  <si>
    <t>Preis / Buchwert</t>
  </si>
  <si>
    <t>Prezzo / Valore contabile</t>
  </si>
  <si>
    <t>株価 / 一株当たり純資産</t>
  </si>
  <si>
    <t>预估市净率(股价/账面价值)</t>
  </si>
  <si>
    <t>預估市淨率(股價/賬面價值)</t>
  </si>
  <si>
    <t>Cours à terme / valeur comptable</t>
  </si>
  <si>
    <t>Forward-Preis/Buchwert</t>
  </si>
  <si>
    <t>Prezzo/Valore contabile atteso</t>
  </si>
  <si>
    <t>予想 株価/一株当たり純資産</t>
  </si>
  <si>
    <t>Форвард цена / Балансовая стоимость</t>
  </si>
  <si>
    <t>Ratio Precio-Valor Contable estimado</t>
  </si>
  <si>
    <t>주가 / 예상 장부가</t>
  </si>
  <si>
    <t>Prix/valeur comptable tangible</t>
  </si>
  <si>
    <t>P/BV des Materialvermögens</t>
  </si>
  <si>
    <t>P/BV tangibile</t>
  </si>
  <si>
    <t>株価 / 有形純資産額</t>
  </si>
  <si>
    <t>Цена / материальная балансовая стоимость</t>
  </si>
  <si>
    <t>Precio / valor contable tangible</t>
  </si>
  <si>
    <t>P/유형 BV</t>
  </si>
  <si>
    <t>经营租赁资产-累计折旧</t>
  </si>
  <si>
    <t>經營租賃資產-累計折舊</t>
  </si>
  <si>
    <t>Actifs en leasing opérationnel - Amortissement cumulé</t>
  </si>
  <si>
    <t>Vermögenswerte aus Operating-Leasing – kumulierte Abschreibung</t>
  </si>
  <si>
    <t>Attività su locazioni operative - Fondo ammortamenti</t>
  </si>
  <si>
    <t>オペレーティング・リースによる資産 - 累計額</t>
  </si>
  <si>
    <t>Активы по операционной аренде - накопленная амортизация</t>
  </si>
  <si>
    <t>Activos en arrendamiento operativo - Depreciación Acumulada</t>
  </si>
  <si>
    <t>운용리스 자산 - 누적 감가상각</t>
  </si>
  <si>
    <t>资本租赁资产-累计折旧</t>
  </si>
  <si>
    <t>資本租賃資產-累計折舊</t>
  </si>
  <si>
    <t>Biens détenus en location-financement - Amortissements cumulés</t>
  </si>
  <si>
    <t>Vermögenswerte unter Kapitalleasing – kumulierte Abschreibung</t>
  </si>
  <si>
    <t>Attività in leasing finanziario - Dep. accumulati</t>
  </si>
  <si>
    <t>キャピタル・リースによる資産 - 累計額</t>
  </si>
  <si>
    <t>Активы по капитальной аренде - накопленная амортизация</t>
  </si>
  <si>
    <t>Activos en arrendamiento financiero - Depreciación Acumulada</t>
  </si>
  <si>
    <t>금융리스 자산 - 누적 감가상각</t>
  </si>
  <si>
    <t>Portuguese</t>
  </si>
  <si>
    <t>Moeda</t>
  </si>
  <si>
    <t>Conversão</t>
  </si>
  <si>
    <t>Receita Total</t>
  </si>
  <si>
    <t>Lucro Bruto</t>
  </si>
  <si>
    <t>Ganhos de Operações Recorrentes</t>
  </si>
  <si>
    <t>Lucro Líquido</t>
  </si>
  <si>
    <t>TEV / Receita Total</t>
  </si>
  <si>
    <t>TEV / EBITDA</t>
  </si>
  <si>
    <t>Receitas</t>
  </si>
  <si>
    <t>Div. Finanças Receitas</t>
  </si>
  <si>
    <t>Div. Seguros Receitas</t>
  </si>
  <si>
    <t>Ganho / (Perda) na Venda de Ativos (Receita)</t>
  </si>
  <si>
    <t>Ganho / (Perda) na Venda de Investimentos (Receita)</t>
  </si>
  <si>
    <t>Receita de Juros E Aplicações Financeiras</t>
  </si>
  <si>
    <t>Outras Receitas</t>
  </si>
  <si>
    <t>Custo de Bens e Serviços Vendidos</t>
  </si>
  <si>
    <t>Div. Finanças Despesa Operacional</t>
  </si>
  <si>
    <t>Div. Seguros Despesa Operacional</t>
  </si>
  <si>
    <t>Despesa de Juros - Divisão Financeira</t>
  </si>
  <si>
    <t>Despesas de Vendas Gerais d Administrativas</t>
  </si>
  <si>
    <t>Custos de Exploração / Perfuração</t>
  </si>
  <si>
    <t>Provisão para Crédito de Liquidação Duvidosa</t>
  </si>
  <si>
    <t>Compensação Baseada em Ações</t>
  </si>
  <si>
    <t>Custos Pré-Abertura</t>
  </si>
  <si>
    <t>Despesas de Pesquisa e desenvolvimento</t>
  </si>
  <si>
    <t>Depreciação e Amortização</t>
  </si>
  <si>
    <t>Amort. de Goodwill e Intangíveis</t>
  </si>
  <si>
    <t>Perdas de Valor em Prop. de Petróleo, Gás e Mineral</t>
  </si>
  <si>
    <t>Outras Despesas / (Receitas) Operacionais</t>
  </si>
  <si>
    <t>Outras Despesas Operacionais, Total</t>
  </si>
  <si>
    <t>Receita Operacional</t>
  </si>
  <si>
    <t>Despesas de Juros</t>
  </si>
  <si>
    <t>Ganhos com Juros e Aplicações Financeiras</t>
  </si>
  <si>
    <t>Despesas Financeiras Líquidas</t>
  </si>
  <si>
    <t>Receitas / (Perdas) de Afiliados</t>
  </si>
  <si>
    <t>Ganhos / (Perdas) Cambiais</t>
  </si>
  <si>
    <t>Outras Receitas / (Despesas) Não Operacionais</t>
  </si>
  <si>
    <t>Lucro Antes dos Impostos Excl. Itens não Programados</t>
  </si>
  <si>
    <t>Encargos de Reestruturação</t>
  </si>
  <si>
    <t>Encargos Relacionados à Fusões e Reestruturações</t>
  </si>
  <si>
    <t>Perdas de Valor de Goodwill</t>
  </si>
  <si>
    <t>Ganho (Perda) na Liquidação de Investimentos</t>
  </si>
  <si>
    <t>Ganho (Perda) na Venda de Ativos</t>
  </si>
  <si>
    <t>Baixa de Ativos</t>
  </si>
  <si>
    <t xml:space="preserve">Despesas em Processo de Pesquisa e desenvolvimento </t>
  </si>
  <si>
    <t>Liquidação de Seguros</t>
  </si>
  <si>
    <t>Liquidações Judiciais</t>
  </si>
  <si>
    <t>Outros Itens Não Programados</t>
  </si>
  <si>
    <t>Lucro Antes dos Impostos Incluindo Itens Não Programados</t>
  </si>
  <si>
    <t>Despesa de Impostos Sobre Lucro</t>
  </si>
  <si>
    <t>Ganhos de Operações Descontinuadas</t>
  </si>
  <si>
    <t>Alterações Extraordinárias de Itens e Contabilidade</t>
  </si>
  <si>
    <t>Lucro Líquido para Empresa</t>
  </si>
  <si>
    <t>Ganhos de Acionistas Minoritários</t>
  </si>
  <si>
    <t>Lucro Líquido para Controladora</t>
  </si>
  <si>
    <t>Dividendos à Ações Pref. e Outros Ajustes</t>
  </si>
  <si>
    <t>Lucro Líquido à Ações Ord. Incl. Itens Extras</t>
  </si>
  <si>
    <t>Lucro Líquido à Ações Ord. Excl. Itens Extras</t>
  </si>
  <si>
    <t>Por Unidade de Ações</t>
  </si>
  <si>
    <t>Lucro Básico por Ações Ord. e Pref.</t>
  </si>
  <si>
    <t>Lucro Básico por Ações Ord. e Pref. Excl. Itens Extras</t>
  </si>
  <si>
    <t>Média Ponderada de Ações Ord. e Pref.</t>
  </si>
  <si>
    <t>Lucro Diluído por Ações Ord. e Pref.</t>
  </si>
  <si>
    <t>Média Ponderada Ações  Ord. e Pref.</t>
  </si>
  <si>
    <t>Lucro Básico por Ações Ord. e Pref. normalizado</t>
  </si>
  <si>
    <t>Lucro Diluído por Ações Ord. e Pref. normalizado</t>
  </si>
  <si>
    <t>Dividendos por Ação</t>
  </si>
  <si>
    <t>Ações por Recibo de depósito</t>
  </si>
  <si>
    <t>Receita por Ação</t>
  </si>
  <si>
    <t>Valor Distribuível por Ação</t>
  </si>
  <si>
    <t>Valor Distribuível por Ação (Diluído)</t>
  </si>
  <si>
    <t>Dividendo Especial por Ação</t>
  </si>
  <si>
    <t>Itens Suplementares</t>
  </si>
  <si>
    <t>EBITDA (Incl. Receita de Entidades Afiliadas)</t>
  </si>
  <si>
    <t>EBITDA (Excl. Rem. Base. em Ações e Incl. Receita de Entidades Afiliadas)</t>
  </si>
  <si>
    <t>EBITDA (Excl. Rem. Base. em Ações)</t>
  </si>
  <si>
    <t>EBITDA, Pós Ajuste de Arrendamento</t>
  </si>
  <si>
    <t>Ajuste de Arrendamento para EBITDA</t>
  </si>
  <si>
    <t>EBITDA (Incl. Receita de Entidades Afiliadas Excl. Ajuste de Arrendamento)</t>
  </si>
  <si>
    <t>EBIT (Incl. Receita de Entidades Afiliadas)</t>
  </si>
  <si>
    <t>EBIT (Excl. Rem. Base. em Ações e Incl. Receita de Entidades Afiliadas)</t>
  </si>
  <si>
    <t>EBIT (Excl. Rem. Base. em Ações)</t>
  </si>
  <si>
    <t>EBITA (Incl. Receita de Entidades Afiliadas)</t>
  </si>
  <si>
    <t>EBITA (Excl. Rem. Base. em Ações e Incl. Receita de Entidades Afiliadas)</t>
  </si>
  <si>
    <t>EBITA (Excl. Rem. Base. em Ações)</t>
  </si>
  <si>
    <t>EBITDAR (Incl. Receita de Entidades Afiliadas)</t>
  </si>
  <si>
    <t>EBITDAR (Excl. Rem. Base. em Ações e Incl. Receita de Entidades Afiliadas)</t>
  </si>
  <si>
    <t>EBITDAR (Excl. Rem. Base. em Ações)</t>
  </si>
  <si>
    <t>Taxas e Outras Receitas</t>
  </si>
  <si>
    <t>Crescimento de Vendas em Loja Similar</t>
  </si>
  <si>
    <t>EBITDA Conforme Divulgado</t>
  </si>
  <si>
    <t>Provisão para Contas Duvidosas - Receita de Serviço à Pacientes</t>
  </si>
  <si>
    <t>Ganhos Atribuível Aos Acionistas Controladores Antes de Itens Extraordinários</t>
  </si>
  <si>
    <t>Lucro Líquido Por SFAS 123 (Pós Opções)</t>
  </si>
  <si>
    <t>Receita de Juros</t>
  </si>
  <si>
    <t>Receita de Investimento</t>
  </si>
  <si>
    <t>Impostos de Consumo Excl. das Vendas</t>
  </si>
  <si>
    <t>Impostos Especiais Incl. nas Vendas</t>
  </si>
  <si>
    <t>Impostos Domésticos Corrente</t>
  </si>
  <si>
    <t>Impostos Estrangeiros Corrente</t>
  </si>
  <si>
    <t>Total de Impostos Corrente</t>
  </si>
  <si>
    <t>Impostos Domésticos Diferidos</t>
  </si>
  <si>
    <t>Impostos Estrangeiros Diferidos</t>
  </si>
  <si>
    <t>Total de Impostos Diferidos</t>
  </si>
  <si>
    <t>Imposto de Renda não Recorrente</t>
  </si>
  <si>
    <t>Lucro Líquido normalizado</t>
  </si>
  <si>
    <t>Lucro Líquido Diluído</t>
  </si>
  <si>
    <t>Juros Capitalizados</t>
  </si>
  <si>
    <t>Juros sobre Dívidas de Longo Prazo</t>
  </si>
  <si>
    <t>Despesas de Juros Sobre Passivo / Dívida de Arrendamento</t>
  </si>
  <si>
    <t>Despesa de Juros (Incluindo Juros Capitalizados)</t>
  </si>
  <si>
    <t>Despesa de Pensão Não Monetária</t>
  </si>
  <si>
    <t>D&amp;A para EBITDA</t>
  </si>
  <si>
    <t>Fundos Distribuíveis</t>
  </si>
  <si>
    <t>Dinheiro Distribuível Padronizado</t>
  </si>
  <si>
    <t>Valor Distribuível por Ação (Básico)</t>
  </si>
  <si>
    <t>Distribuições Anualizadas por Unidade</t>
  </si>
  <si>
    <t>Índice de Pagamento Distribuível (Fundos de Investimento)</t>
  </si>
  <si>
    <t>Dividendo de Ações Ordinárias declarado</t>
  </si>
  <si>
    <t>Taxa Efetiva de Imposto (%)</t>
  </si>
  <si>
    <t>Índice de Pagamento (%)</t>
  </si>
  <si>
    <t>Custos de emissão de Dívida</t>
  </si>
  <si>
    <t>Moeda Publicada</t>
  </si>
  <si>
    <t>Duração do Período em Meses</t>
  </si>
  <si>
    <t>Data de Publicação</t>
  </si>
  <si>
    <t>Data do Período</t>
  </si>
  <si>
    <t>Tipo de Reformulação</t>
  </si>
  <si>
    <t>Tipo de Cálculo</t>
  </si>
  <si>
    <t>Padrão de Contabilidade Financeira</t>
  </si>
  <si>
    <t>Itens de Despesas Operacionais Suplementares</t>
  </si>
  <si>
    <t>Despesa de Marketing</t>
  </si>
  <si>
    <t>Despesas de Vendas e Marketing</t>
  </si>
  <si>
    <t>Despesas Gerais e Administrativas</t>
  </si>
  <si>
    <t>Despesa Líquida de Aluguel, Total</t>
  </si>
  <si>
    <t>Despesa Líquida de Aluguel</t>
  </si>
  <si>
    <t>Despesa Líquida de Aluguel (Suplemento)</t>
  </si>
  <si>
    <t>Despesa de Aluguel Contingenciada</t>
  </si>
  <si>
    <t>Despesa Mínima de Aluguel</t>
  </si>
  <si>
    <t>Outras Despesas de Aluguel</t>
  </si>
  <si>
    <t>Despesa de Aluguel de Aeronaves</t>
  </si>
  <si>
    <t>Depreciação de Ativos de Aluguel</t>
  </si>
  <si>
    <t>Despesas de Exploração / Perfuração</t>
  </si>
  <si>
    <t>Despesas de Manutenção e Reparo</t>
  </si>
  <si>
    <t>Despesas de Juros Atribuído à Arrendamentos Operacionais</t>
  </si>
  <si>
    <t>Depreciação Atribuída à Arrendamentos Operacionais</t>
  </si>
  <si>
    <t>Encargos de Reestruturação (Suplementares)</t>
  </si>
  <si>
    <t>Ganhos de Descontos em Aquisição</t>
  </si>
  <si>
    <t>Outros Itens Não Programados (Suplemento)</t>
  </si>
  <si>
    <t>Itens Não Programados, Total (Suplemento)</t>
  </si>
  <si>
    <t>Amortização de Goodwill Negativa</t>
  </si>
  <si>
    <t>Amortização de Goodwill Negativa - pós Impostos</t>
  </si>
  <si>
    <t>Remuneração Baseada em Ações, Despesas de Vendas</t>
  </si>
  <si>
    <t>Remuneração Baseada em Ações, Despesas de P&amp;D</t>
  </si>
  <si>
    <t>Remuneração Baseada em Ações, Despesas de Marketing e Vendas</t>
  </si>
  <si>
    <t>Remuneração Baseada em Ações, Despesas Gerais e Administrativas</t>
  </si>
  <si>
    <t>Remuneração Baseada em Ações, Despesas Vendas Gerais e Administrativas</t>
  </si>
  <si>
    <t>Remuneração Baseada em Ações, Despesas Não Alocadas</t>
  </si>
  <si>
    <t>Remuneração Baseada em Ações, Após Impostos</t>
  </si>
  <si>
    <t>Remuneração Baseada em Ações, Total</t>
  </si>
  <si>
    <t>Salários e Outros Benefícios à empregados</t>
  </si>
  <si>
    <t>Ativos</t>
  </si>
  <si>
    <t>Caixa e Equivalentes de Caixa</t>
  </si>
  <si>
    <t>Investimentos de Curto Prazo</t>
  </si>
  <si>
    <t>Títulos de Ativos Negociados</t>
  </si>
  <si>
    <t>Total em Caixa e Investimentos de Curto Prazo</t>
  </si>
  <si>
    <t>Contas a Receber</t>
  </si>
  <si>
    <t>Outros Recebíveis</t>
  </si>
  <si>
    <t>Notas Recebíveis</t>
  </si>
  <si>
    <t>Total de Contas a Receber</t>
  </si>
  <si>
    <t>Estoque</t>
  </si>
  <si>
    <t>Vencimento Pré-Pago</t>
  </si>
  <si>
    <t>Div. Financeira Empréstimos e Arrendamentos de Curto Prazo</t>
  </si>
  <si>
    <t>Div. Financeira Outros Ativos Circulantes</t>
  </si>
  <si>
    <t>Empréstimos Mantidos para Venda</t>
  </si>
  <si>
    <t>Ativos Fiscais Diferidos Circulantes</t>
  </si>
  <si>
    <t>Caixa Restrito</t>
  </si>
  <si>
    <t>Outros Ativos Circulantes</t>
  </si>
  <si>
    <t>Total de Ativos Circulantes</t>
  </si>
  <si>
    <t>Valor Bruto de Imobilizado, Planta e Equipamentos</t>
  </si>
  <si>
    <t>Depreciação Acumulada</t>
  </si>
  <si>
    <t>Valor Líquido de Imobilizado, Planta e Equipamento</t>
  </si>
  <si>
    <t>Investimentos de Longo Prazo</t>
  </si>
  <si>
    <t>Outros Intangíveis</t>
  </si>
  <si>
    <t>Div. Finanças Empréstimos e Arrendamentos de Longo Prazo</t>
  </si>
  <si>
    <t>Div. Finanças Outros Ativos de Longo Prazo</t>
  </si>
  <si>
    <t>Contas a Receber de Longo Prazo</t>
  </si>
  <si>
    <t>Empréstimos a Receber de Longo Prazo</t>
  </si>
  <si>
    <t>Ativos Fiscais Diferidos  de Longo Prazo</t>
  </si>
  <si>
    <t>Encargos Diferidos de Longo Prazo</t>
  </si>
  <si>
    <t>Outros Ativos de Longo Prazo</t>
  </si>
  <si>
    <t>Passivo</t>
  </si>
  <si>
    <t>Contas A Pagar</t>
  </si>
  <si>
    <t>Despesas Acumulada</t>
  </si>
  <si>
    <t>Empréstimos de Curto Prazo</t>
  </si>
  <si>
    <t>Parcela Atual da Dívida de Longo Prazo</t>
  </si>
  <si>
    <t>Parcela Atual de Arrendamentos</t>
  </si>
  <si>
    <t>Div. Finanças Dívida Circulante</t>
  </si>
  <si>
    <t>Div. Finanças Outros Passivos Circulantes</t>
  </si>
  <si>
    <t>Parcela Atual do Imposto de Renda à Pagar</t>
  </si>
  <si>
    <t>Receita Circulante Não Adquirida</t>
  </si>
  <si>
    <t>Passivo Fiscal Diferido Circulante</t>
  </si>
  <si>
    <t>Outros Passivos Circulantes</t>
  </si>
  <si>
    <t>Passivo Circulante Total</t>
  </si>
  <si>
    <t>Dívida de Longo Prazo</t>
  </si>
  <si>
    <t>Arrendamentos de Longo Prazo</t>
  </si>
  <si>
    <t>Div. Finanças Dívida Não Circulante</t>
  </si>
  <si>
    <t>Div. Finanças Outros Passivos Não-Circulante</t>
  </si>
  <si>
    <t>Receita Não Adquirida Não-Circulante</t>
  </si>
  <si>
    <t>Pensão E Outros Benefícios Pós-Aposentadoria</t>
  </si>
  <si>
    <t>Passivo Fiscal Diferido Não-Circulante</t>
  </si>
  <si>
    <t>Outros Passivos Não-Circulantes</t>
  </si>
  <si>
    <t>Total do Passivo</t>
  </si>
  <si>
    <t>Ações Preferenciais Resgatáveis</t>
  </si>
  <si>
    <t>Ações Preferenciais Não Resgatáveis</t>
  </si>
  <si>
    <t>Ações Preferenciais Conversíveis</t>
  </si>
  <si>
    <t>Outras Ações Preferenciais</t>
  </si>
  <si>
    <t>Total de Ações Preferenciais</t>
  </si>
  <si>
    <t>Ações Ordinárias</t>
  </si>
  <si>
    <t>Capital Integralizado Adicional</t>
  </si>
  <si>
    <t>Lucros Acumulados</t>
  </si>
  <si>
    <t>Ações em Tesouraria</t>
  </si>
  <si>
    <t>Receitas Abrangentes e Outros</t>
  </si>
  <si>
    <t>Total do Patrimônio Líquido em Ações Ordinárias</t>
  </si>
  <si>
    <t>Participações de Acionistas não Controladores (Minoritários)</t>
  </si>
  <si>
    <t>Total do Patrimônio Líquido</t>
  </si>
  <si>
    <t>Total de Passivos e Patrimônio Líquido</t>
  </si>
  <si>
    <t>Itens IFRS 16 / ASC 842</t>
  </si>
  <si>
    <t>Valor Bruto do Ativo de Direito de Uso</t>
  </si>
  <si>
    <t>Depreciação Acumulada do Ativo de Direito de Uso</t>
  </si>
  <si>
    <t>Valor Líquido do Ativo de Direito de Uso</t>
  </si>
  <si>
    <t>Valor Bruto do Arrendamento de Capital de  Ativo de Direito de Uso</t>
  </si>
  <si>
    <t>Depreciação Acumulada do Arrendamento de Capital de Ativo de Direito de Uso</t>
  </si>
  <si>
    <t>Valor Líquido do Arrendamento de Capital do Ativo de Direito de Uso</t>
  </si>
  <si>
    <t>Valor Bruto do Arrendamento Operacional do Ativo de Direito de Uso</t>
  </si>
  <si>
    <t>Ativo de Direito de Uso - Arrendamento Operacional - Depreciação Acumulada</t>
  </si>
  <si>
    <t>Valor Líquido do Arrendamento Operacional de Ativo de Direito de Uso</t>
  </si>
  <si>
    <t>Valor Bruto de Imobilizado, Planta e Equipamentos, Excl. Arrendamentos Operacionais</t>
  </si>
  <si>
    <t>Depreciação Acumulada, Excl. Arrendamentos Operacionais</t>
  </si>
  <si>
    <t>Valor Líquido de Imobilizado, Planta e Equipamento, Excl. Arrendamentos Operacionais</t>
  </si>
  <si>
    <t>Arrendamentos Financeiros Circulantes</t>
  </si>
  <si>
    <t>Arrendamentos Financeiros Não-Circulantes</t>
  </si>
  <si>
    <t>Total de Arrendamentos Financeiros</t>
  </si>
  <si>
    <t>Parcela Atual das Obrigações de Arrendamentos Operacionais</t>
  </si>
  <si>
    <t>Parcela de Longo Prazo das Obrigações de Arrendamentos Operacionais</t>
  </si>
  <si>
    <t>Total de Arrendamentos Operacionais</t>
  </si>
  <si>
    <t>Total de Arrendamentos</t>
  </si>
  <si>
    <t>Obrigações Financeiras Circulantes, Excl. Arrendamentos Operacionais</t>
  </si>
  <si>
    <t>Obrigações Financeiras Não-Circulantes, Excl. Arrendamentos Operacionais</t>
  </si>
  <si>
    <t>Dívida Total, Excl. Arrendamentos Operacionais</t>
  </si>
  <si>
    <t>Dívida Total, Excl. Arrendamentos</t>
  </si>
  <si>
    <t>Total de Ações em Circulação na Data de Publicação do Balanço Patrimonial</t>
  </si>
  <si>
    <t>Valor Contábil / Ação</t>
  </si>
  <si>
    <t>Valor Contábil / Ação (Relatado)</t>
  </si>
  <si>
    <t>Valor Contábil Tangível / Ação</t>
  </si>
  <si>
    <t>Valor Contábil Tangível Por Ação (Relatado)</t>
  </si>
  <si>
    <t>Valor Contábil Tangível</t>
  </si>
  <si>
    <t>Total de Intangíveis</t>
  </si>
  <si>
    <t>Pagamento Por Ação</t>
  </si>
  <si>
    <t>Dívida Total</t>
  </si>
  <si>
    <t>Dívida Total Corrente</t>
  </si>
  <si>
    <t>Dívida Total Não Corrente</t>
  </si>
  <si>
    <t>Dívida Líquida</t>
  </si>
  <si>
    <t>Total de Participação Minoritária</t>
  </si>
  <si>
    <t>Capitalização Total</t>
  </si>
  <si>
    <t>Capital de Giro</t>
  </si>
  <si>
    <t>Capital de Giro Líquido</t>
  </si>
  <si>
    <t>Investimentos Por Método de Equivalência Patrimonial</t>
  </si>
  <si>
    <t>Contas a Receber - Não Faturadas</t>
  </si>
  <si>
    <t>Método de Inventário</t>
  </si>
  <si>
    <t>Reserva Último a Entrar-Primeiro a Sair</t>
  </si>
  <si>
    <t>Estoque de Matéria-Prima</t>
  </si>
  <si>
    <t>Estoque de Trabalho em Andamento</t>
  </si>
  <si>
    <t>Estoque de Produtos Acabados</t>
  </si>
  <si>
    <t>Outras Contas de Estoque</t>
  </si>
  <si>
    <t>Terreno (Propriedade)</t>
  </si>
  <si>
    <t>Edificações</t>
  </si>
  <si>
    <t>Maquinário</t>
  </si>
  <si>
    <t>Software Capitalizado / Adquirido</t>
  </si>
  <si>
    <t>Recursos naturais, a Custo</t>
  </si>
  <si>
    <t>Construção em Progresso</t>
  </si>
  <si>
    <t>Melhorias em Propriedades Arrendadas</t>
  </si>
  <si>
    <t>Resgatáveis em Participações Minoritárias</t>
  </si>
  <si>
    <t>Resgatáveis da Divisão de Finanças em Participações Minoritárias</t>
  </si>
  <si>
    <t>Total Resgatável em Participações Minoritárias</t>
  </si>
  <si>
    <t>Participação Minoritária da Divisão de Finanças</t>
  </si>
  <si>
    <t>Provisão para Avaliação de Impostos Diferidos</t>
  </si>
  <si>
    <t>Socio Geral - Ações Ordinárias</t>
  </si>
  <si>
    <t>Socio Geral - Ações Preferenciais</t>
  </si>
  <si>
    <t>Sócio Geral - Participações Minoritárias</t>
  </si>
  <si>
    <t>Sócio Geral - Juros a Receber (Suplemento)</t>
  </si>
  <si>
    <t>Ativos de Nível 1 - Preços Cotados</t>
  </si>
  <si>
    <t>Ativos de Nível 2 - Preços Observáveis</t>
  </si>
  <si>
    <t>Ativos de Nível 3 - Preços Não Observáveis</t>
  </si>
  <si>
    <t>Valor Justo de Ativos</t>
  </si>
  <si>
    <t>Passivos de Nível 1 - Preços Cotados</t>
  </si>
  <si>
    <t>Passivo Nível 2 - Preços Observáveis</t>
  </si>
  <si>
    <t>Passivos de Nível 3 - Preços Não Observáveis</t>
  </si>
  <si>
    <t>Valor Justo de Passivos</t>
  </si>
  <si>
    <t>Variação do Valor Justo Incluída nos Ganhos</t>
  </si>
  <si>
    <t>Funcionários em Período Integral</t>
  </si>
  <si>
    <t>Funcionários em Meio Período</t>
  </si>
  <si>
    <t>Total de Funcionários</t>
  </si>
  <si>
    <t>Funcionários Sob Contratos Sindicais</t>
  </si>
  <si>
    <t>Média de Funcionários</t>
  </si>
  <si>
    <t>Funcionários Temporários / Sazonais</t>
  </si>
  <si>
    <t>Número de detentores de ADR</t>
  </si>
  <si>
    <t>Divisão de Finanças Total de Dívida de Curto Prazo</t>
  </si>
  <si>
    <t>Divisão de Finanças Total de Dívida de Longo Prazo</t>
  </si>
  <si>
    <t>Divisão de Finanças Total da Dívida</t>
  </si>
  <si>
    <t>Divisão de Finanças Caixa  e Equivalentes</t>
  </si>
  <si>
    <t>Divisão de Finanças Investimentos de Curto Prazo</t>
  </si>
  <si>
    <t>Dívida Equiv. do Proj. Não Financiado e Obrigação de Benefício</t>
  </si>
  <si>
    <t>Dívida Equivalente a Arrendamento Operacional</t>
  </si>
  <si>
    <t>Custo do empréstimo</t>
  </si>
  <si>
    <t>Caixa Restrito (Não Circulante)</t>
  </si>
  <si>
    <t>Total de Caixa Restrito</t>
  </si>
  <si>
    <t>Dívida Total (Excl. Dívida da Divisão de Finanças)</t>
  </si>
  <si>
    <t>Lista de Pedidos</t>
  </si>
  <si>
    <t>Passivos Contingentes</t>
  </si>
  <si>
    <t>Garantia de Responsabilidades</t>
  </si>
  <si>
    <t>Empréstimos de derivados de Curto Prazo</t>
  </si>
  <si>
    <t>Parcela Atual de Dívida de derivados de Longo Prazo</t>
  </si>
  <si>
    <t>Derivativos de Dívida de Longo Prazo</t>
  </si>
  <si>
    <t>Passivos de Derivativos Circulantes</t>
  </si>
  <si>
    <t>Passivos Derivativos Não Circulantes</t>
  </si>
  <si>
    <t>Títulos de Derivativos de Ativos Negociados</t>
  </si>
  <si>
    <t>Ativos de Derivativos Circulante</t>
  </si>
  <si>
    <t>Ativos de Derivativos Não Circulante</t>
  </si>
  <si>
    <t>Ativos Intangíveis Bruto</t>
  </si>
  <si>
    <t>Amortização Acumulada de Ativos Intangíveis</t>
  </si>
  <si>
    <t>Goodwill Bruto</t>
  </si>
  <si>
    <t>Amortização Acumulada de Goodwill</t>
  </si>
  <si>
    <t>Títulos Negociáveis de Longo Prazo</t>
  </si>
  <si>
    <t>Adiantamentos à Fornecedores</t>
  </si>
  <si>
    <t>Goodwill e Intangíveis (Líquido)</t>
  </si>
  <si>
    <t>Goodwill (Líquido)</t>
  </si>
  <si>
    <t>Intangíveis (Líquido)</t>
  </si>
  <si>
    <t>Ativos Correntes Entre Empresas</t>
  </si>
  <si>
    <t>Ativos Não Correntes Entre Empresas</t>
  </si>
  <si>
    <t>Passivos Correntes Entre Empresas</t>
  </si>
  <si>
    <t>Passivo Não Circulante Entre Empresas</t>
  </si>
  <si>
    <t>Depreciação e Amort., Total</t>
  </si>
  <si>
    <t>Outras Amortizações</t>
  </si>
  <si>
    <t>(Ganhos) Perdas na Venda de Ativos</t>
  </si>
  <si>
    <t>(Ganhos) Perdas na Venda de Investimentos</t>
  </si>
  <si>
    <t>Baixa de Ativos e Custos de Reestruturação</t>
  </si>
  <si>
    <t>Redução Líquida (Aumento) em Empréstimos Originados / Vendidos</t>
  </si>
  <si>
    <t>Provisão para Perdas de Crédito</t>
  </si>
  <si>
    <t>(Receita) Perda de Investimento em Controladas</t>
  </si>
  <si>
    <t>Benefício Fiscal de Opções de Ações</t>
  </si>
  <si>
    <t>Provisão e Anulação de Dívidas Incobráveis</t>
  </si>
  <si>
    <t>Caixa Líquido de Operações Descontinuadas.</t>
  </si>
  <si>
    <t>Outras Atividades Operacionais</t>
  </si>
  <si>
    <t>Variação em Títulos de Ativos Negociados</t>
  </si>
  <si>
    <t>Variação em Conta a Receber</t>
  </si>
  <si>
    <t>Variação em Estoques</t>
  </si>
  <si>
    <t>Variação em Conta A Pagar</t>
  </si>
  <si>
    <t>Variação em Receita Não Adquirida</t>
  </si>
  <si>
    <t>Variação em Impostos</t>
  </si>
  <si>
    <t>Variação em Impostos Diferidos</t>
  </si>
  <si>
    <t>Variação em Outros Ativos Operacionais Líquidos</t>
  </si>
  <si>
    <t>Caixa Líquido Proveniente das Atividades Operacionais</t>
  </si>
  <si>
    <t>Despesas de Capital</t>
  </si>
  <si>
    <t>Alienação de Propriedade, Plantas e Equipamento</t>
  </si>
  <si>
    <t>Pagamento Líquido do Caixa pela Aquisição de Entidades Controladas</t>
  </si>
  <si>
    <t>Recebimentos pela venda de Ativos (desinvestimentos)</t>
  </si>
  <si>
    <t>Venda / (Compra) de Propriedades Imobiliárias</t>
  </si>
  <si>
    <t>Venda / (Compra) de Ativos Intangíveis</t>
  </si>
  <si>
    <t>Investimentos em Títulos e Valores Mobiliários</t>
  </si>
  <si>
    <t>Variação Líquida em Empréstimos Originados / Vendidos</t>
  </si>
  <si>
    <t>Outras Atividades de Investimento</t>
  </si>
  <si>
    <t>Caixa Líquido Proveniente das Atividades de Investimento</t>
  </si>
  <si>
    <t>Dívida de Curto Prazo emitidas</t>
  </si>
  <si>
    <t>Dívida de Longo Prazo emitidas</t>
  </si>
  <si>
    <t>Dívida Total emitida</t>
  </si>
  <si>
    <t>Pagamento de Dívida de Curto Prazo</t>
  </si>
  <si>
    <t>Pagamento de Dívida de Longo Prazo</t>
  </si>
  <si>
    <t>Pagamento Total de Dívida</t>
  </si>
  <si>
    <t>Emissão de Ações Ordinárias</t>
  </si>
  <si>
    <t>ReCompra de Ações Ordinárias</t>
  </si>
  <si>
    <t>emissão  de Ações Preferenciais</t>
  </si>
  <si>
    <t>ReCompra de Ações Preferenciais</t>
  </si>
  <si>
    <t>Dividendos Pagos à Ações Ordinárias</t>
  </si>
  <si>
    <t>Dividendos Pagos à Ações Preferenciais</t>
  </si>
  <si>
    <t>Dividendos Pagos à Ações  Ordinárias e Preferenciais</t>
  </si>
  <si>
    <t>Total Pago em Dividendos</t>
  </si>
  <si>
    <t>Total Pago em Dividendos Especiais</t>
  </si>
  <si>
    <t>Outras Atividades de Financiamento</t>
  </si>
  <si>
    <t>Caixa Líquido Proveniente das Atividades de Financiamento</t>
  </si>
  <si>
    <t>Ajuste de Taxa de Câmbio</t>
  </si>
  <si>
    <t>Ajuste Diversos no Fluxo de Caixa</t>
  </si>
  <si>
    <t>Variação Líquida de Caixa</t>
  </si>
  <si>
    <t>Depreciação e Amortização de notas para Fluxo de Caixa Parcial</t>
  </si>
  <si>
    <t>Amortização de Goodwill de notas para Fluxo de Caixa Parcial</t>
  </si>
  <si>
    <t>Depreciação (das notas Explicativas)</t>
  </si>
  <si>
    <t>Depreciação Sobre Direito de Uso  de Ativos</t>
  </si>
  <si>
    <t>Depreciação e Amortização - Fluxo de Caixa, Excl. Arrendamentos Operacionais</t>
  </si>
  <si>
    <t>Depreciação e Amortização Total, Excl. Arrendamentos Operacionais</t>
  </si>
  <si>
    <t>Custo de Amortização na emissão de Dívida</t>
  </si>
  <si>
    <t>Amortização de Ativos de Software</t>
  </si>
  <si>
    <t>Receitas da Venda de Ativos de Aluguel</t>
  </si>
  <si>
    <t>Pagamento de Juros</t>
  </si>
  <si>
    <t>Resultado Líquido entre Juros Pagos e Recebidos</t>
  </si>
  <si>
    <t>Resultado Líquido entre Dividendo Pagos e Juros Recebidos</t>
  </si>
  <si>
    <t>Juros Pagos - Atividades Operacionais</t>
  </si>
  <si>
    <t>Juros Pagos - Atividades de Investimento</t>
  </si>
  <si>
    <t>Juros Pagos - Atividades de Financiamento</t>
  </si>
  <si>
    <t>Impostos Pagos</t>
  </si>
  <si>
    <t>Impostos Pagos - Atividades Operacionais</t>
  </si>
  <si>
    <t>Impostos Pagos - Atividades de Investimento</t>
  </si>
  <si>
    <t>Impostos Pagos - Atividades de Financiamento</t>
  </si>
  <si>
    <t>Total do Imposto de Renda Diferido</t>
  </si>
  <si>
    <t>Variação Líquida no Capital de Giro</t>
  </si>
  <si>
    <t>Fluxo de Caixa Por Ação</t>
  </si>
  <si>
    <t>Dívida Líquida emitida</t>
  </si>
  <si>
    <t>CAPEX de Manutenção</t>
  </si>
  <si>
    <t>Caixa Líquido de Operações Descontinuadas - Investindo</t>
  </si>
  <si>
    <t>Caixa Líquido de Operações Descontinuadas - Financiamento</t>
  </si>
  <si>
    <t>Pagamentos de Arrendamento Operacional</t>
  </si>
  <si>
    <t>Variação nas Obrigações de Arrendamento Operacional</t>
  </si>
  <si>
    <t>Variação no Passivo de Arrendamento Operacional Não Monetário</t>
  </si>
  <si>
    <t>Dívida de Longo Prazo Paga, Excl. Arrendamento</t>
  </si>
  <si>
    <t>Total de Dívida Paga, Excl. Arrendamento</t>
  </si>
  <si>
    <t>Ganho na Aquisição de Barganha - (Fluxo de Caixa)</t>
  </si>
  <si>
    <t>Valor Max.</t>
  </si>
  <si>
    <t>Valor Mín.</t>
  </si>
  <si>
    <t>EBITDA LTM</t>
  </si>
  <si>
    <t>Dívida Líquida / EBITDA, Excl. Arrendamentos Operacionais</t>
  </si>
  <si>
    <t>Dívida Total / EBITDA, Excl. Arrendamentos Operacionais</t>
  </si>
  <si>
    <t>Dívida Líquida / (EBITDA, Excl. Arrendamentos Operacionais - CAPEX)</t>
  </si>
  <si>
    <t>Dívida Total / (EBITDA, Excl. Arrendamentos Operacionais - CAPEX)</t>
  </si>
  <si>
    <t>Lucratividade</t>
  </si>
  <si>
    <t>Análise de Margem</t>
  </si>
  <si>
    <t>CAPEX como % das Receitas</t>
  </si>
  <si>
    <t>Giro de Ativo</t>
  </si>
  <si>
    <t>Rotatividade Total de Ativos</t>
  </si>
  <si>
    <t>Rotatividade de Ativos Fixos</t>
  </si>
  <si>
    <t>Rotatividade de Contas A Receber</t>
  </si>
  <si>
    <t>Giro de Estoque</t>
  </si>
  <si>
    <t>Proporção Corrente</t>
  </si>
  <si>
    <t>Proporção Rápida</t>
  </si>
  <si>
    <t>Média Ciclo de Conversão Monetária</t>
  </si>
  <si>
    <t>(EBITDA, Excl. Arrendamento Operacional-CAPEX) / Despesas com Juros</t>
  </si>
  <si>
    <t>Pontuação Altman Z</t>
  </si>
  <si>
    <t>Crescimento no Período Anterior</t>
  </si>
  <si>
    <t>Total de Ativos</t>
  </si>
  <si>
    <t>Fluxo de Caixa Alavancado</t>
  </si>
  <si>
    <t>Fluxo de Caixa desalavancado</t>
  </si>
  <si>
    <t>Auditor</t>
  </si>
  <si>
    <t>Opinião do Auditor</t>
  </si>
  <si>
    <t>Ativos Sob Gestão - Patrimônio</t>
  </si>
  <si>
    <t>Ativos Sob Gestão - Mercado de Capitais</t>
  </si>
  <si>
    <t>Ativos Sob Gestão - Outros</t>
  </si>
  <si>
    <t>Ativos Sob Gestão</t>
  </si>
  <si>
    <t>Ativos Sob Gestão - Private Equity</t>
  </si>
  <si>
    <t>Ativos Sob Gestão - Imóveis</t>
  </si>
  <si>
    <t>Ativos Sob Gestão - Institucional</t>
  </si>
  <si>
    <t>Ativos Sob Gestão - Varejo</t>
  </si>
  <si>
    <t>Ativos Sob Gestão - Alto Patrimônio Líquido</t>
  </si>
  <si>
    <t>Ativos Sob Gestão - Outros Clientes</t>
  </si>
  <si>
    <t>Ativos Sob Gestão - Doméstico</t>
  </si>
  <si>
    <t>Ativos Sob Gestão - Não Doméstico</t>
  </si>
  <si>
    <t>Ativos Sob Gestão - Ganhos com comissão</t>
  </si>
  <si>
    <t>Ativos Sob Gestão - Ganhos sem comissão</t>
  </si>
  <si>
    <t>Ativos Sob Gestão - Clientes de Varejo</t>
  </si>
  <si>
    <t>Ativos Sob Gestão - Clientes Institucionais</t>
  </si>
  <si>
    <t>Ativos Sob Gerenciamento - Clientes de Pequenas e Médias Empresas</t>
  </si>
  <si>
    <t>Ativos Sob Gestão - Total de Clientes</t>
  </si>
  <si>
    <t>Ativos Sob Gestão - Início do Período</t>
  </si>
  <si>
    <t>Ativos Sob Gestão - Fluxos de Entrada</t>
  </si>
  <si>
    <t>Ativos Sob Gestão - Fluxos de Saída</t>
  </si>
  <si>
    <t>Ativos Sob Gestão - Resultado Líquido Entradas / (Saídas)</t>
  </si>
  <si>
    <t>Ativos Sob Gestão - Fluxos de Caixa e Dividendos</t>
  </si>
  <si>
    <t>Ativos Sob Gestão - Valorização / (desvalorização) do Mercado</t>
  </si>
  <si>
    <t>Ativos Sob Gestão - Aquisições e Transferências</t>
  </si>
  <si>
    <t>Ativos Sob Gestão - Outros Ajustes</t>
  </si>
  <si>
    <t>Ativos Sob Gestão - Fim do Período</t>
  </si>
  <si>
    <t>Ativos Sob Gestão - Média</t>
  </si>
  <si>
    <t>Ativos Sob Gestão - Variação Líquida</t>
  </si>
  <si>
    <t>Fundo Mútuo - Início do Período</t>
  </si>
  <si>
    <t>Fundo Mútuo - Vendas</t>
  </si>
  <si>
    <t>Fundo Mútuo - Resgates</t>
  </si>
  <si>
    <t>Fundo Mútuo - Vendas Líquidas</t>
  </si>
  <si>
    <t>Fundo Mútuo - Valorização / (desvalorização) do Mercado</t>
  </si>
  <si>
    <t>Fundo Mútuo - Aquisições e Outros</t>
  </si>
  <si>
    <t>Fundo Mútuo - Fim do Período</t>
  </si>
  <si>
    <t>Receita Média de Negociações Diárias</t>
  </si>
  <si>
    <t>Quantidade de Negócios Executados</t>
  </si>
  <si>
    <t>Taxa de Crescimento Orgânico</t>
  </si>
  <si>
    <t>Ativos Líquidos de novos Clientes</t>
  </si>
  <si>
    <t>Receita Média Por Operação</t>
  </si>
  <si>
    <t>Ativos Sob Administração</t>
  </si>
  <si>
    <t>Valor dos Ativos do Cliente</t>
  </si>
  <si>
    <t>Taxa de Crescimento de Ativos Gerenciados</t>
  </si>
  <si>
    <t>Ativos Sob Arrendamento de Capital - Bruto</t>
  </si>
  <si>
    <t>Ativos em Arrendamento Operacional - Bruto</t>
  </si>
  <si>
    <t>Provisão Acumulada para Contas Duvidosas</t>
  </si>
  <si>
    <t>Juros Capitalizados, Inicio do Período</t>
  </si>
  <si>
    <t>Juros Capitalizados, Gastos</t>
  </si>
  <si>
    <t>Juros Capitalizados, Baixados</t>
  </si>
  <si>
    <t>Juros Capitalizados, Outros Ajustes</t>
  </si>
  <si>
    <t>Juros Capitalizados, Fim do Período</t>
  </si>
  <si>
    <t>Perdas Operacionais Liquidas Fluxo de Caixa, Período Atual</t>
  </si>
  <si>
    <t>Perdas Operacionais Liquidas Fluxo de Caixa, Período Atual +1</t>
  </si>
  <si>
    <t>Perdas Operacionais Liquidas Fluxo de Caixa, Período Atual +2</t>
  </si>
  <si>
    <t>Perdas Operacionais Liquidas Fluxo de Caixa, Período Atual +3</t>
  </si>
  <si>
    <t>Perdas Operacionais Liquidas Fluxo de Caixa, Período Atual +4</t>
  </si>
  <si>
    <t>Perdas Operacionais Liquidas Fluxo de Caixa, Período Após Cinco Anos</t>
  </si>
  <si>
    <t>Perdas Operacionais Liquidas Fluxo de Caixa, sem Vencimento</t>
  </si>
  <si>
    <t>Total das Perdas Operacionais Liquidas Fluxo de Caixa</t>
  </si>
  <si>
    <t>Máx. do Período para Perdas Operacionais Liquidas Fluxo de Caixa</t>
  </si>
  <si>
    <t>Perda de Capital Fluxo de Caixa, Período Atual</t>
  </si>
  <si>
    <t>Perda de Capital Fluxo de Caixa, Período Atual + 1</t>
  </si>
  <si>
    <t>Perda de Capital Fluxo de Caixa, Período Atual + 2</t>
  </si>
  <si>
    <t>Perda de Capital Fluxo de Caixa, Período Atual + 3</t>
  </si>
  <si>
    <t>Perda de Capital Fluxo de Caixa, Período Atual + 4</t>
  </si>
  <si>
    <t>Perda de Capital Fluxo de Caixa, Período Após Cinco Anos</t>
  </si>
  <si>
    <t>Perda de Capital Fluxo de Caixa, sem Vencimento</t>
  </si>
  <si>
    <t>Perda de Capital Total C / F</t>
  </si>
  <si>
    <t>Máx. do Período para Perda de Capital C / F</t>
  </si>
  <si>
    <t>Benefício Fiscal C / F, Ano Atual</t>
  </si>
  <si>
    <t>Benefício Fiscal C / F, Ano Atual + 1</t>
  </si>
  <si>
    <t>Benefício Fiscal C / F, Ano Atual + 2</t>
  </si>
  <si>
    <t>Benefício Fiscal C / F, Ano Atual + 3</t>
  </si>
  <si>
    <t>Benefício Fiscal C / F, Ano Atual + 4</t>
  </si>
  <si>
    <t>Benefício Fiscal C / F, Período Após Cinco Anos</t>
  </si>
  <si>
    <t>Benefício Fiscal C / F, sem Vencimento</t>
  </si>
  <si>
    <t xml:space="preserve"> Fluxo de Caixa Total de Benefício Fiscal</t>
  </si>
  <si>
    <t>Máx. do Período para Fluxo de Caixa de Benefício Fiscal</t>
  </si>
  <si>
    <t>Despesas com Restr. em Remuneração de Ações, Antes dos Impostos</t>
  </si>
  <si>
    <t>Despesas com Restr. em Remuneração de Ações, Após Impostos</t>
  </si>
  <si>
    <t>Despesas com Remuneração de Opções de Ações,  Antes dos Impostos</t>
  </si>
  <si>
    <t>Despesas com Remuneração de Opções de Ações, Após Impostos</t>
  </si>
  <si>
    <t>Despesas com Remuneração de Ações,   Antes dos Impostos</t>
  </si>
  <si>
    <t>Despesas com Remuneração de Ações, Após Impostos</t>
  </si>
  <si>
    <t>Itens Relacionados à Adoção do Fin 48</t>
  </si>
  <si>
    <t>Trans. Impacto do Fin 48 nos Ativos Circulantes</t>
  </si>
  <si>
    <t>Trans. Impacto do Fin 48 em Ativos Não Circulantes</t>
  </si>
  <si>
    <t>Trans. Impacto do Fin 48 no Passivo Circulante</t>
  </si>
  <si>
    <t>Trans. Impacto do Fin 48 no Passivo Não Circulante</t>
  </si>
  <si>
    <t>Trans. Impacto do Fin 48 nos Lucros Retidos</t>
  </si>
  <si>
    <t>Benefícios Fiscais Não Reconhecidos, Início do Período</t>
  </si>
  <si>
    <t>Adições com Base em Posições Fiscais - Período Atual</t>
  </si>
  <si>
    <t>Reduções com Base nas Posições Fiscais - Período Atual</t>
  </si>
  <si>
    <t>Adições para Posições Fiscais - Períodos Anteriores</t>
  </si>
  <si>
    <t>Reduções para Posições Fiscais - Períodos Anteriores</t>
  </si>
  <si>
    <t>Acordos com Autoridades Fiscais</t>
  </si>
  <si>
    <t>Caducidade do Estatuto de Limitações</t>
  </si>
  <si>
    <t>Benefícios Fiscais Não Reconhecidos - Outros Ajustes</t>
  </si>
  <si>
    <t>Benefícios Fiscais Não Reconhecidos, Fim do Período</t>
  </si>
  <si>
    <t>Código da Conta - Juros E Penalidades</t>
  </si>
  <si>
    <t>Juros E Penalidades Reconhecidos na Demonstração do Resultados  - Antes do Imposto</t>
  </si>
  <si>
    <t>Juros E Penalidades Reconhecidos na Demonstração do Resultados  - Após Impostos</t>
  </si>
  <si>
    <t>Reconhecimento de Juros E Penalidades. no Balance Patrimonial - Antes de Impostos</t>
  </si>
  <si>
    <t>Reconhecimento de Juros E Penalidades no Balance Patrimonial - Após Impostos</t>
  </si>
  <si>
    <t>Variação em Benefícios Fiscais Não Reconhecidos dentro de Um Ano a Partir da Respectiva Data - Mínimo</t>
  </si>
  <si>
    <t>Variação em Benefícios Fiscais Não Reconhecidos dentro de Um Ano a Partir da Respectiva Data - Máximo</t>
  </si>
  <si>
    <t>Impacto dos  Benefícios Fiscais Não Reconhecidos Sobre A Taxa Efetiva de Imposto</t>
  </si>
  <si>
    <t>Pensões</t>
  </si>
  <si>
    <t>Custo Periódico Líquido de Benefícios Definidos</t>
  </si>
  <si>
    <t>Custo Total de Benefício definido de Planos Flexíveis</t>
  </si>
  <si>
    <t>Custo de Contribuição definida</t>
  </si>
  <si>
    <t>Total de Despesas com Pensões</t>
  </si>
  <si>
    <t>Obrigação de Benefício definido</t>
  </si>
  <si>
    <t>Custo do Serviço do Benefício definido</t>
  </si>
  <si>
    <t>Benefícios Definidos Pagos</t>
  </si>
  <si>
    <t>Ativos do Plano</t>
  </si>
  <si>
    <t>Média Ponderada Suposições Sobre O Custo Periódico Líquido</t>
  </si>
  <si>
    <t>Aumento na Taxa de Recompensa - Máx.</t>
  </si>
  <si>
    <t>Composição do Plano de Ativos</t>
  </si>
  <si>
    <t>Plano de Ativos - Ações (%)</t>
  </si>
  <si>
    <t>Plano de Ativos - Renda Fixa (%)</t>
  </si>
  <si>
    <t>Plano de Ativos - Imóveis (%)</t>
  </si>
  <si>
    <t>Plano de Ativos - Outros (%)</t>
  </si>
  <si>
    <t>Composição dos Valores Reconhecidos em Outros Resultados Abrangentes do Balanço Patrimonial</t>
  </si>
  <si>
    <t>Perda / Ganho Atuarial Líquido - Resultados Abrangentes</t>
  </si>
  <si>
    <t>Custo / Benefício do Serviço Anterior - Resultados Abrangentes</t>
  </si>
  <si>
    <t>Ativo / Obrigação de Transição - Resultados Abrangentes</t>
  </si>
  <si>
    <t>Outros Ajustes Diversos - Resultados Abrangentes</t>
  </si>
  <si>
    <t>Valor Líquido Reconhecido - Resultados Abrangentes</t>
  </si>
  <si>
    <t>Espera-Se Que Seja Reconhecido como componentes do Custo de Benefício Periódico Líquido no Próximo Período</t>
  </si>
  <si>
    <t>Custo / Benefício do Serviço Anterior Reconhecido no Próximo Período</t>
  </si>
  <si>
    <t>Perda / Ganho Atuarial Líquida Reconhecida no Próximo Período</t>
  </si>
  <si>
    <t>Transição de Ativo / Obrigação Reconhecida no  Próximo Período</t>
  </si>
  <si>
    <t>Valor Total A Ser Reconhecido no Próximo Período</t>
  </si>
  <si>
    <t>Média Ponderada Presumida de Obrigação definida de Benefício</t>
  </si>
  <si>
    <t>Estimativa de Benefícios Futuros Pagos</t>
  </si>
  <si>
    <t>Itens de Reconciliação do Balanço Patrimonial</t>
  </si>
  <si>
    <t>Ativos Não Circulante</t>
  </si>
  <si>
    <t>Passivo Circulante</t>
  </si>
  <si>
    <t>Passivo Não Circulante</t>
  </si>
  <si>
    <t>Ajustes para Passivo Reconhecido no Balanço Patrimonial</t>
  </si>
  <si>
    <t>Outros Itens Relacionados à Pensões</t>
  </si>
  <si>
    <t>Passivo de Pensão Não Financiada e Exercíveis</t>
  </si>
  <si>
    <t>Data de Informação de Benefício</t>
  </si>
  <si>
    <t>Outros Benefícios pós Término de Vínculo empregatício</t>
  </si>
  <si>
    <t>Custo Total de Benefícios Definidos</t>
  </si>
  <si>
    <t>Despesa Total de Outros Benefícios pós Término de Vínculo empregatício</t>
  </si>
  <si>
    <t>Projeção Obrigação de Benefício</t>
  </si>
  <si>
    <t>Análise de Sensibilidade de Benefícios</t>
  </si>
  <si>
    <t>Outros Itens Relacionados a Benefícios Pós-Aposentadoria</t>
  </si>
  <si>
    <t>Tendência de Taxa de Custo de Seguro Saúde, Inicial</t>
  </si>
  <si>
    <t>Tendência de Taxa de Custo de Seguro Saúde, Final</t>
  </si>
  <si>
    <t>Pensão - Doméstica</t>
  </si>
  <si>
    <t>Custo de Juros do Benefício definido</t>
  </si>
  <si>
    <t>Retorno Sobre Ativos de Benefício Definidos</t>
  </si>
  <si>
    <t>Outro Custo de Benefício definido</t>
  </si>
  <si>
    <t>Custo Total de Benefício definido</t>
  </si>
  <si>
    <t>Custo Total de Benefício Definidos Incl. Planos Suplementares</t>
  </si>
  <si>
    <t>Obrigação de Benefício definido (Período Inicial)</t>
  </si>
  <si>
    <t>Contribuições de Funcionários de Benefício definido</t>
  </si>
  <si>
    <t>Benefício definido Ganho / Perda Atuarial</t>
  </si>
  <si>
    <t>Ajuste de Variação Cambial</t>
  </si>
  <si>
    <t>Aquisição de Obrigação de Benefício</t>
  </si>
  <si>
    <t>Liquidação / Redução de Benefícios Definidos</t>
  </si>
  <si>
    <t>Outro Ajustes para Obrigação de Benefício definido</t>
  </si>
  <si>
    <t>Proj. Obrigação de Benefício</t>
  </si>
  <si>
    <t>Ativos do Plano (Período Inicial)</t>
  </si>
  <si>
    <t>Retorno Real dos Ativos do Plano</t>
  </si>
  <si>
    <t>Contribuições do empregador</t>
  </si>
  <si>
    <t>Contribuições de Participantes</t>
  </si>
  <si>
    <t>Benefícios Pagos</t>
  </si>
  <si>
    <t>Ajustes Cambiais</t>
  </si>
  <si>
    <t>Ativos de Plano Adquiridos</t>
  </si>
  <si>
    <t>Plano de Liquidação / Redução</t>
  </si>
  <si>
    <t>Outros Ajustes de Planos</t>
  </si>
  <si>
    <t>Ativos Totais do Planos</t>
  </si>
  <si>
    <t>Aposentadoria Esperada Sobre Ativos de Pensão</t>
  </si>
  <si>
    <t>Taxa de Crescimento composto Presumido</t>
  </si>
  <si>
    <t>Taxa de Desconto do Custo Periódico Líquido - Mín.</t>
  </si>
  <si>
    <t>Taxa de Desconto do Custo Periódico Líquido - Máx.</t>
  </si>
  <si>
    <t>Taxa de Desconto nas Obrigações</t>
  </si>
  <si>
    <t>Aumento na Taxa de Recompensa - Mín.</t>
  </si>
  <si>
    <t>Taxa Esperada de Longo Prazo de Retorno dos Ativos - Mín.</t>
  </si>
  <si>
    <t>Taxa Esperada de Longo Prazo de Retorno dos Ativos - Máx.</t>
  </si>
  <si>
    <t>Plano de Ativos - Ações</t>
  </si>
  <si>
    <t>Plano de Ativos - Renda Fixa</t>
  </si>
  <si>
    <t>Plano de Ativos - Imóveis</t>
  </si>
  <si>
    <t>Plano de Ativos - Outros</t>
  </si>
  <si>
    <t>Taxa de Retorno Presumida da Projeção de Obrigações de Benefícios - Mín.</t>
  </si>
  <si>
    <t>Taxa de Retorno Presumida da Projeção de Obrigações de Benefícios - Máx.</t>
  </si>
  <si>
    <t>Taxa de Aumento da Compensação de Projeção de Obrigações de Benefícios - Mín.</t>
  </si>
  <si>
    <t>Taxa de Aumento da Compensação de Projeção de Obrigações de Benefícios - Máx.</t>
  </si>
  <si>
    <t>Estimativa de Benefícios Futuros Pagos - 1º Ano</t>
  </si>
  <si>
    <t>Estimativa de Benefícios Futuros Pagos - 2º Ano</t>
  </si>
  <si>
    <t>Estimativa de Benefícios Futuros Pagos - 3º Ano</t>
  </si>
  <si>
    <t>Estimativa de Benefícios Futuros Pagos - 4º Ano</t>
  </si>
  <si>
    <t>Estimativa de Benefícios Futuros Pagos - 5º Ano</t>
  </si>
  <si>
    <t>Estimativa de Benefícios Futuros Pagos - Posterior ao 5º Ano</t>
  </si>
  <si>
    <t>Custo de Benefício Pré-Pago</t>
  </si>
  <si>
    <t xml:space="preserve">Passivo de Benefício Acumulado </t>
  </si>
  <si>
    <t>Ativos Intangíveis</t>
  </si>
  <si>
    <t>Outro Renda de Compensação  Acumulada</t>
  </si>
  <si>
    <t>Outros Ativos / Passivos</t>
  </si>
  <si>
    <t>Custo Anterior Não Reconhecido do Plano de Serviço</t>
  </si>
  <si>
    <t>Outros Ajustes (Ativo / Passivo de Benefício Líquido.)</t>
  </si>
  <si>
    <t>Ativo / Passivo Líquido Reconhecido no Balanço Patrimonial</t>
  </si>
  <si>
    <t>Estimativas de Contribuições - Próximo Ano</t>
  </si>
  <si>
    <t>Contribuição Trimestral do empregador</t>
  </si>
  <si>
    <t>Contribuições Adicionais Trimestrais Esperadas</t>
  </si>
  <si>
    <t>Passivo Mínimo Adicional Não Financiado</t>
  </si>
  <si>
    <t>Outros Benefícios pós Término de Vínculo Empregatício - Doméstico</t>
  </si>
  <si>
    <t>Retorno Esperado Sobre Ativos de Benefícios Definidos</t>
  </si>
  <si>
    <t>Obrigação Acumulada de Benefício</t>
  </si>
  <si>
    <t>Aumento de 1% - Efeito no Serviço e Custo de Juros</t>
  </si>
  <si>
    <t>Aumento de 1% - Efeito na Projeção de Obrigações de Benefícios</t>
  </si>
  <si>
    <t>Redução de 1% - Efeito no Serviço e Custo de Juros</t>
  </si>
  <si>
    <t>Redução de 1% - Efeito na Projeção de Obrigações de Benefícios</t>
  </si>
  <si>
    <t>Pensão - Estrangeira</t>
  </si>
  <si>
    <t>Obrigação Acumulada de Benefício de Pensão</t>
  </si>
  <si>
    <t>Outros Benefícios pós Término de Vínculo Empregatício - Não Doméstico</t>
  </si>
  <si>
    <t>主要财务数据</t>
  </si>
  <si>
    <t>主要財務資料</t>
  </si>
  <si>
    <t>Données financières clés</t>
  </si>
  <si>
    <t>Wichtige Finanzdaten</t>
  </si>
  <si>
    <t>Dati finanziari chiave</t>
  </si>
  <si>
    <t>重要財務項目</t>
  </si>
  <si>
    <t>Ключевые финансовые показатели</t>
  </si>
  <si>
    <t>Datos financieros claves</t>
  </si>
  <si>
    <t>주요 재정</t>
  </si>
  <si>
    <t>Principais informações financeiras</t>
  </si>
  <si>
    <t>所有结果均取自每个时期最近提交的报表的截至基准日期。如果有多个报表，则可以在各个报表单页面上查看较早的报表文件。</t>
  </si>
  <si>
    <t>所有結果均取自每個時期最近提交的報表的截至基準日期。如果有多個報表，則可以在各個報表單頁面上查看較早的報表文​​件。</t>
  </si>
  <si>
    <t>Tous les résultats sont tirés de la dernière déclaration soumise pour chaque période à la date d'évaluation. Lorsqu'il y en a eu plusieurs, les soumissions précédentes peuvent être consultées sur les pages des déclarations individuelles.</t>
  </si>
  <si>
    <t>Alle Ergebnisse stammen aus der zuletzt eingereichten Erklärung für jede Periode zum Bewertungstag. Wenn es mehr als eine gegeben hat, können frühere Einreichungen auf den einzelnen Anweisungsseiten angezeigt werden.</t>
  </si>
  <si>
    <t>Tutti i risultati presi dall'ultimo rendiconto depositato per ogni periodo alla data di valutazione. Quando ce n'è stato più di uno, è possibile visualizzare i documenti precedenti nelle singole pagine del rendiconto.</t>
  </si>
  <si>
    <t>すべての結果は基準日時点の各期間の最新ファイリングから取得、複数の値がある場合は、過去ファイリングの値が各タブから確認できます。</t>
  </si>
  <si>
    <t>Все результаты взяты из последнего представленного отчета за каждый период на дату оценки. Если их было несколько, предыдущие документы можно просмотреть на страницах отдельных отчетностей.</t>
  </si>
  <si>
    <t>Todos los resultados tomados de la declaración presentada más recientemente para cada período a la fecha de valoración. Cuando ha habido más de uno, las presentaciones anteriores se pueden ver en las páginas de estados de cuenta individuales.</t>
  </si>
  <si>
    <t>평가 날짜를 기준으로 각 기간에 대해 가장 최근에 제출한 내역서에서 가져온 모든 결과. 하나 이상이 있는 경우 개별 내역 페이지에서 이전 서류를 볼 수 있습니다.</t>
  </si>
  <si>
    <t>Todos os resultados derivados da declaração apresentada mais recentemente para cada período na data de avaliação. Quando houver mais de um, os registros anteriores podem ser vistos nas páginas dos relatórios individuais.</t>
  </si>
  <si>
    <t>最近十二个月期间的增长率是根据过去十二个月期间截至十二个月前计算的。</t>
  </si>
  <si>
    <t>最近十二個月期間的增長率是根據過去十二個月期間截至十二個月前計算的。</t>
  </si>
  <si>
    <t>Les taux de croissance pour les douze derniers mois sont calculés par rapport à la période de douze mois se terminant douze mois plus tôt.</t>
  </si>
  <si>
    <t>Die Wachstumsraten für den langfristigen Zeitraum werden gegen den langfristigen Zeitraum berechnet, der 12 Monate zuvor endet.</t>
  </si>
  <si>
    <t>I tassi di crescita per il periodo LTM sono calcolati rispetto al periodo LTM che termina 12 mesi prima.</t>
  </si>
  <si>
    <t>LTMの成長率は12ヶ月前のLTM期間を基準に計算しています。</t>
  </si>
  <si>
    <t>Темпы роста для периода Последние 12 месяцев (LTM) рассчитываются по отношению к периоду Последние 12 месяцев (LTM), закончившемуся 12 месяцами ранее.</t>
  </si>
  <si>
    <t>Las tasas de crecimiento para el período de últimos doce meses se calculan contra el período últimos doce meses que finaliza 12 meses antes.</t>
  </si>
  <si>
    <t>LTM 기간의 성장률은 12개월 전에 끝나는 LTM 기간에 대해 계산됩니다.</t>
  </si>
  <si>
    <t>As taxas de crescimento para o período de UDM são calculadas em relação ao período de UDM encerrado 12 meses antes.</t>
  </si>
  <si>
    <t>未来时期的每股盈利是路透的平均估计。</t>
  </si>
  <si>
    <t>未來時期的每股盈利是路透的平均估計。</t>
  </si>
  <si>
    <t>Les chiffres du BPA pour les périodes futures sont des estimations moyennes de Reuters.</t>
  </si>
  <si>
    <t>Das Ergebnis je Aktie für Termingeschäfte entspricht den Schätzungen von Reuters.</t>
  </si>
  <si>
    <t>I dati dell'EPS per i periodi a termine sono stime medie di Reuters.</t>
  </si>
  <si>
    <t>Данные по прибыли на акцию за форвардные периоды являются средними оценками Reuters.</t>
  </si>
  <si>
    <t>Las cifras de EPS para períodos futuros son estimaciones medias de Reuters.</t>
  </si>
  <si>
    <t>향후 기간에 대한 EPS 수치는 로이터의 평균 추정치입니다.</t>
  </si>
  <si>
    <t>Os números de LPA para períodos futuros são estimativas médias da Reuters.</t>
  </si>
  <si>
    <t>图表数据</t>
  </si>
  <si>
    <t>圖表資料</t>
  </si>
  <si>
    <t>DONNÉES GRAPHIQUES</t>
  </si>
  <si>
    <t>GRAFIKDATEN</t>
  </si>
  <si>
    <t>DATI GRAFICI</t>
  </si>
  <si>
    <t>グラフ・データ</t>
  </si>
  <si>
    <t>ГРАФИЧЕСКИЕ ДАННЫЕ</t>
  </si>
  <si>
    <t>DATOS GRÁFICOS</t>
  </si>
  <si>
    <t>그래프 데이터</t>
  </si>
  <si>
    <t>DADOS DO GRÁFICO</t>
  </si>
  <si>
    <t>优先股</t>
  </si>
  <si>
    <t>優先股</t>
  </si>
  <si>
    <t>Capital privilégié</t>
  </si>
  <si>
    <t>Bevorzugtes Eigenkapital</t>
  </si>
  <si>
    <t>Equità pref.</t>
  </si>
  <si>
    <t>優先株式</t>
  </si>
  <si>
    <t>Привилегированный акционерный капитал</t>
  </si>
  <si>
    <t>Capital preferido</t>
  </si>
  <si>
    <t>우선주</t>
  </si>
  <si>
    <t>Ações preferenciais</t>
  </si>
  <si>
    <t>净负债</t>
  </si>
  <si>
    <t>淨負債</t>
  </si>
  <si>
    <t>Passif net</t>
  </si>
  <si>
    <t>Nettoverpflichtung</t>
  </si>
  <si>
    <t>Responsabilità netta</t>
  </si>
  <si>
    <t>純負債</t>
  </si>
  <si>
    <t>Чистая задолженность</t>
  </si>
  <si>
    <t>Pasivo neta</t>
  </si>
  <si>
    <t>순 부채</t>
  </si>
  <si>
    <t>Passivo líquido</t>
  </si>
  <si>
    <t>总负债</t>
  </si>
  <si>
    <t>總負債</t>
  </si>
  <si>
    <t>Passif Total</t>
  </si>
  <si>
    <t>Gesamtverpflichtung</t>
  </si>
  <si>
    <t>Всего задолженность</t>
  </si>
  <si>
    <t>Pasivo total</t>
  </si>
  <si>
    <t>Passivo total</t>
  </si>
  <si>
    <t>普通股的账面价值</t>
  </si>
  <si>
    <t>普通股的賬面價值</t>
  </si>
  <si>
    <t>Valeur comptable du capital ordinaire</t>
  </si>
  <si>
    <t>Buchwert des Kernkapitals</t>
  </si>
  <si>
    <t>Valore contabile azioni ordinarie</t>
  </si>
  <si>
    <t>株主資本の簿価</t>
  </si>
  <si>
    <t>Балансовая стоимость обыкновенного акционерного капитала</t>
  </si>
  <si>
    <t>Valor contable del capital ordinario</t>
  </si>
  <si>
    <t>보통주 부권 가치</t>
  </si>
  <si>
    <t>Valor contábil das ações ordinárias</t>
  </si>
  <si>
    <t>总负债包括总债务，少数股东权益和优先股。</t>
  </si>
  <si>
    <t>總負債包括總債務，少數股東權益和優先股。</t>
  </si>
  <si>
    <t>Le passif total comprend la dette totale, les intérêts minoritaires et les capitaux propres privilégiés.</t>
  </si>
  <si>
    <t>Die Gesamtverbindlichkeit umfasst die Gesamtverschuldung, Minderheitsanteile und das Vorzugskapital.</t>
  </si>
  <si>
    <t>La responsabilità totale include debito totale, partecipazione minoritaria ed equità pref.</t>
  </si>
  <si>
    <t>総負債には有利子負債、少数株主持分と優先株式が含まれています。</t>
  </si>
  <si>
    <t>Общая задолженность включает общий долг, долю меньшинства и привилегированный акционерный капитал.</t>
  </si>
  <si>
    <t>La Pasivo total incluye la deuda total, los intereses minoritarios y las equidad preferida.</t>
  </si>
  <si>
    <t>총 부채에는 총 부채, 소수 이자 및 우선주가 포함됩니다.</t>
  </si>
  <si>
    <t>O passivo total inclui Dívida Total, Participação Minoritária e Ações preferenciais.</t>
  </si>
  <si>
    <t>净负债包括总负债减去现金及等价。</t>
  </si>
  <si>
    <t>淨負債包括總負債減現金及等價。</t>
  </si>
  <si>
    <t>Le passif net comprend le passif total, net de la trésorerie et des équivalents de trésorerie.</t>
  </si>
  <si>
    <t>Die Nettoverbindlichkeit umfasst die Gesamthaftung nach Abzug von Zahlungsmitteln und Äquivalenten.</t>
  </si>
  <si>
    <t>La passività netta include il totale passività, al netto della liquidità e degli equivalenti.</t>
  </si>
  <si>
    <t>純負債には現金及び現金同等物を控除した総負債が含まれています。</t>
  </si>
  <si>
    <t>Чистая задолженность включает общий долг за вычетом денежных средств и их эквивалентов.</t>
  </si>
  <si>
    <t>El pasivo neto incluye el pasivo total, neto de efectivo y equivalentes.</t>
  </si>
  <si>
    <t>순부채에는 총 부채, 현금 및 등가물의 순액이 포함됩니다.</t>
  </si>
  <si>
    <t>O passivo líquido inclui o passivo total, líquido de caixa e equivalentes.</t>
  </si>
  <si>
    <t>总企业价值包括市值和净负债。</t>
  </si>
  <si>
    <t>總企業價值包括市值和淨負債。</t>
  </si>
  <si>
    <t>La valeur totale de l'entreprise comprend la capitalisation boursière et le passif net.</t>
  </si>
  <si>
    <t>Der Gesamtunternehmenswert umfasst Marktkapitalisierung und Nettoverbindlichkeit.</t>
  </si>
  <si>
    <t>TEV include la capitalizzazione di mercato e la passività netta.</t>
  </si>
  <si>
    <t>企業価値には時価総額と純負債が含まれています。</t>
  </si>
  <si>
    <t>Общая стоимость предприятия (TEV) включает рыночную капитализацию и чистую задолженность.</t>
  </si>
  <si>
    <t>Total valor de empresa incluye capitalización de mercado y pasivo neto.</t>
  </si>
  <si>
    <t>TEV에는 시가총액과 순부채가 포함됩니다.</t>
  </si>
  <si>
    <t>O TEV (Valor Total da Empresa) inclui capitalização de mercado e passivo líquido.</t>
  </si>
  <si>
    <t>总资本包括普通股本和总负债。</t>
  </si>
  <si>
    <t>總資本包括普通股本和總負債。</t>
  </si>
  <si>
    <t>Le capital total comprend les capitaux propres ordinaires et le passif total.</t>
  </si>
  <si>
    <t>Das Gesamtkapital umfasst das Stammkapital und die Gesamtverbindlichkeit.</t>
  </si>
  <si>
    <t>Il capitale totale include il capitale comune e la passività totale.</t>
  </si>
  <si>
    <t>総資本には自己資本と総負債が含まれています。</t>
  </si>
  <si>
    <t>Общий капитал включает обыкновенный акционерный капитал и общую задолженность.</t>
  </si>
  <si>
    <t>El capital total incluye capital ordinario y pasivo total.</t>
  </si>
  <si>
    <t>총 자본금에는 보통주 및 총 책임이 포함됩니다.</t>
  </si>
  <si>
    <t>O capital total inclui as ações ordinárias e o passivo total.</t>
  </si>
  <si>
    <t>合并费用（补充）</t>
  </si>
  <si>
    <t>合併費用（補充）</t>
  </si>
  <si>
    <t>Frais de fusion (supplémentaires)</t>
  </si>
  <si>
    <t>Fusionskosten (ergänzend)</t>
  </si>
  <si>
    <t>Spese di fusione (flessibile)</t>
  </si>
  <si>
    <t>合併費用（注記）</t>
  </si>
  <si>
    <t>Расходы на слияние (дополн.)</t>
  </si>
  <si>
    <t>Gastos de fusión (suplementarios)</t>
  </si>
  <si>
    <t>합병 비용(부가)</t>
  </si>
  <si>
    <t>Despesa de fusão (suplementar)</t>
  </si>
  <si>
    <t>商誉减值，总计（补充）</t>
  </si>
  <si>
    <t>商譽減值，總計（補充）</t>
  </si>
  <si>
    <t>Dépréciation de la valeur clé, total (supplémentaire)</t>
  </si>
  <si>
    <t>Wertminderung des Firmenwert, insgesamt (ergänzend)</t>
  </si>
  <si>
    <t>Rettif. di valore dell'avviamento, totale (flessibile)</t>
  </si>
  <si>
    <t>のれんの減損損失総額(注記)</t>
  </si>
  <si>
    <t>Обесценение деловой репутации, всего (дополн.)</t>
  </si>
  <si>
    <t>Deterioro del valor llave, total (suplementario)</t>
  </si>
  <si>
    <t>영업권 손실, 총계(부가)</t>
  </si>
  <si>
    <t>于报告日期已发行股份总数</t>
  </si>
  <si>
    <t>於報告日期已發行股份總數</t>
  </si>
  <si>
    <t>Total des actions en circulation à la date de déclaration</t>
  </si>
  <si>
    <t>Insgesamt ausstehende Aktien bei Einreichung der Deckung</t>
  </si>
  <si>
    <t>Azioni totali in circ. alla data di presentazione</t>
  </si>
  <si>
    <t>発行済株式総数(決算開示日)</t>
  </si>
  <si>
    <t>Всего акций в обращении на дату предоставления отчетности</t>
  </si>
  <si>
    <t>Total de acciones en circulación en la fecha de presentación</t>
  </si>
  <si>
    <t>제출 총 유통주식</t>
  </si>
  <si>
    <t>截至日历季度，</t>
  </si>
  <si>
    <t>截至日曆季度，</t>
  </si>
  <si>
    <t>Avant la fin du trimestre calendaire,</t>
  </si>
  <si>
    <t>Für das Ende des Kalenderquartals</t>
  </si>
  <si>
    <t>Per la fine del trimestre del calendario,</t>
  </si>
  <si>
    <t>暦年期末、</t>
  </si>
  <si>
    <t>Для календарного квартала, закончившегося</t>
  </si>
  <si>
    <t>Para el final del trimestre calendario,</t>
  </si>
  <si>
    <t>캘린더 분기 종료의 경우</t>
  </si>
  <si>
    <t>总企业价值/过去十二个月总收入</t>
  </si>
  <si>
    <t>總企業價值/過去十二個月總收入</t>
  </si>
  <si>
    <t>Valeur totale de l'entreprise / Revenus des douze derniers mois</t>
  </si>
  <si>
    <t>Gesamtunternehmenswert/langfristiger Gesamtumsatz</t>
  </si>
  <si>
    <t>TEV / LTM totale ricavi</t>
  </si>
  <si>
    <t>企業価値/LTM売上高</t>
  </si>
  <si>
    <t>Общая стоимость предприятия (TEV)/Общая выручка за последние 12 месяцев (LTM)</t>
  </si>
  <si>
    <t>Totales de valor de empresa / Ingresos de últimos doce meses</t>
  </si>
  <si>
    <t>TEV / LTM 총 수입</t>
  </si>
  <si>
    <t>TEV (Valor Total da Empresa) / Receita total UDM</t>
  </si>
  <si>
    <t>总企业价值/未来十二个月总收入</t>
  </si>
  <si>
    <t>總企業價值/未來十二個月總收入</t>
  </si>
  <si>
    <t>Valeur totale de l'entreprise / Revenus des douze prochains mois</t>
  </si>
  <si>
    <t>Gesamtunternehmenswert/nächste zwölf Monate Gesamtumsatz</t>
  </si>
  <si>
    <t>TEV / NTM totale ricavi</t>
  </si>
  <si>
    <t>企業価値/NTM売上高</t>
  </si>
  <si>
    <t>Общая стоимость предприятия (TEV)/Общая выручка на следующие 12 месяцев (NTM)</t>
  </si>
  <si>
    <t>Totales de valor de empresa / Ingresos de próximos doce meses</t>
  </si>
  <si>
    <t>TEV / NTM 총 수입</t>
  </si>
  <si>
    <t xml:space="preserve">TEV (Valor Total da Empresa) / Receita total PDM </t>
  </si>
  <si>
    <t>总企业价值/未来十二个月息税折旧摊销前利润</t>
  </si>
  <si>
    <t>總企業價值/未來十二個月息稅折舊攤銷前利潤</t>
  </si>
  <si>
    <t>EBITDA / Total des revenus de la valeur de l'entreprise des douze prochains mois</t>
  </si>
  <si>
    <t>Gesamtunternehmenswert/EBITDA der nächsten zwölf Monate</t>
  </si>
  <si>
    <t>企業価値/NTM EBITDA</t>
  </si>
  <si>
    <t>Общая стоимость предприятия (TEV)/EBITDA на следующие 12 месяцев (NTM)</t>
  </si>
  <si>
    <t>EBITDA / Ingresos totales de valor de empresa próximos doce meses</t>
  </si>
  <si>
    <t>总企业价值/过去十二个月息税前利润</t>
  </si>
  <si>
    <t>總企業價值/過去十二個月息稅前利潤</t>
  </si>
  <si>
    <t>Valeur totale de l'entreprise / BAII des douze derniers mois</t>
  </si>
  <si>
    <t>Gesamtunternehmenswert/langfristiges EBIT</t>
  </si>
  <si>
    <t>企業価値/LTM EBIT</t>
  </si>
  <si>
    <t>Общая стоимость предприятия (TEV)/EBIT за последние 12 месяцев (LTM)</t>
  </si>
  <si>
    <t>Total Valor de Empresa / BAII Últimos doce meses</t>
  </si>
  <si>
    <t>总企业价值/未来十二个月息税前收益</t>
  </si>
  <si>
    <t>總企業價值/未來十二個月息稅前收益</t>
  </si>
  <si>
    <t>Valeur totale de l'entreprise / BAII des douze prochains mois</t>
  </si>
  <si>
    <t>Gesamtunternehmenswert/EBIT der nächsten zwölf Monate</t>
  </si>
  <si>
    <t>企業価値/NTM EBIT</t>
  </si>
  <si>
    <t>Общая стоимость предприятия (TEV)/EBIT на следующие 12 месяцев (NTM)</t>
  </si>
  <si>
    <t>Total Valor de Empresa / BAII próximos doce meses</t>
  </si>
  <si>
    <t>股价/未来十二个月每股盈利</t>
  </si>
  <si>
    <t>股價/未來十二個月每股盈利</t>
  </si>
  <si>
    <t>Prix / BPA des douze prochains mois</t>
  </si>
  <si>
    <t>Preis/Gewinn je Aktie für die nächsten zwölf Monate</t>
  </si>
  <si>
    <t>Prezzo / NTM EPS</t>
  </si>
  <si>
    <t>株価/NTM EPS</t>
  </si>
  <si>
    <t>Цена/Прибыль на акцию (EPS) за последние 12 месяцев (LTM)</t>
  </si>
  <si>
    <t>Precio / BPA próximos doce meses</t>
  </si>
  <si>
    <t>가격 / NTM EPS</t>
  </si>
  <si>
    <t xml:space="preserve">Preço / LPA PDM </t>
  </si>
  <si>
    <t>股价/过去十二个月正常化每股盈利</t>
  </si>
  <si>
    <t>股價/過去十二個月正常化每股盈利</t>
  </si>
  <si>
    <t>Prix / BPA normalisé des douze derniers mois</t>
  </si>
  <si>
    <t>Preis/langfristig Normalisiertes Ergebnis je Aktie</t>
  </si>
  <si>
    <t>Prezzo / LTM EPS normalizzato</t>
  </si>
  <si>
    <t>株価/LTM標準化後EPS</t>
  </si>
  <si>
    <t>Цена/нормализованная прибыль на акцию за последние 12 месяцев (LTM)</t>
  </si>
  <si>
    <t>Precio / BPA normalizado últimos doce meses</t>
  </si>
  <si>
    <t>가격 / LTM 정상화된 EPS</t>
  </si>
  <si>
    <t>Preço / LPA normalizado UDM</t>
  </si>
  <si>
    <t>股价/未来十二个月每股现金流量</t>
  </si>
  <si>
    <t>股價/未來十二個月每股現金流量</t>
  </si>
  <si>
    <t>Prix / Flux de trésorerie par action des douze prochains mois</t>
  </si>
  <si>
    <t>Preis/nächste zwölf Monate Cashflow - Vorzugsaktien</t>
  </si>
  <si>
    <t>Prezzo / NTM CFPS</t>
  </si>
  <si>
    <t>株価/NTM CFPS</t>
  </si>
  <si>
    <t>Цена/денежный поток на акцию на следующие 12 месяцев (NTM)</t>
  </si>
  <si>
    <t>Precio / Flujo de caja por acciones próximos doce meses</t>
  </si>
  <si>
    <t>가격 / NTM CFPS</t>
  </si>
  <si>
    <t xml:space="preserve">Preço / fluxo de caixa per ação PDM </t>
  </si>
  <si>
    <t>总企业价值/过去十二个月无杠杆自由现金流</t>
  </si>
  <si>
    <t>總企業價值/過去十二個月無槓桿自由現金流</t>
  </si>
  <si>
    <t>Valeur totale de l'entreprise / Flux de trésorerie disponible des douze derniers mois sans effet de levier</t>
  </si>
  <si>
    <t>Gesamtunternehmenswert/langfristiger Freier Cashflow ohne Hebel</t>
  </si>
  <si>
    <t>TEV / LTM FCF senza leva</t>
  </si>
  <si>
    <t>企業価値/LTMアンレバードFCF</t>
  </si>
  <si>
    <t>Общая стоимость предприятия (TEV)/Свободный денежный поток (FCF) без учета финансовых обязательств за последние 12 месяцев (LTM)</t>
  </si>
  <si>
    <t>Total Valor de Empresa / Últimos doce meses flujo de caja libre sin apalancamiento</t>
  </si>
  <si>
    <t>TEV / LTM 무차입 CF</t>
  </si>
  <si>
    <t xml:space="preserve">TEV (Valor Total da Empresa)/ Caixa de fluxo livre desalavancado UDM </t>
  </si>
  <si>
    <t>市值/过去十二个月杠杆自由现金流</t>
  </si>
  <si>
    <t>市值/過去十二個月槓桿自由現金流</t>
  </si>
  <si>
    <t>Capitalisation boursière / Flux de trésorerie disponible des douze derniers mois</t>
  </si>
  <si>
    <t>Marktkapital/langfristiger gehebelter Freier Cashflow</t>
  </si>
  <si>
    <t>Capitalizzazione di mercato / LTM FCF con leva</t>
  </si>
  <si>
    <t>時価総額/LTMレバードFCF</t>
  </si>
  <si>
    <t>Рыночная капитализация/Свободный денежный поток (FCF) с учетом финансовых обязательств за последние 12 месяцев (LTM)</t>
  </si>
  <si>
    <t>Capitalización de mercado / Flujo de caja libre apalancado últimos doce meses</t>
  </si>
  <si>
    <t>시가총액 / LTM 레버리지 FCF</t>
  </si>
  <si>
    <t xml:space="preserve">Capitalização de mercado / Caixa de fluxo livre alavancado UDM </t>
  </si>
  <si>
    <t>市值/过去十二个月总收入</t>
  </si>
  <si>
    <t>市值/過去十二個月總收入</t>
  </si>
  <si>
    <t>Capitalisation boursière / Total des revenus pour les douze derniers mois</t>
  </si>
  <si>
    <t>Marktkapital/langfristige Gesamteinnahmen</t>
  </si>
  <si>
    <t>Capitalizzazione di mercato / LTM totale ricavi</t>
  </si>
  <si>
    <t>時価総額/LTM売上高</t>
  </si>
  <si>
    <t>Рыночная капитализация/Общая выручка за последние 12 месяцев (LTM)</t>
  </si>
  <si>
    <t>Capitalización de mercado / Ingresos totales de últimos doce meses</t>
  </si>
  <si>
    <t>시가총액 / LTM 총 수입</t>
  </si>
  <si>
    <t>Capitalização de mercado / Receitas totais UDM</t>
  </si>
  <si>
    <t>市值/最近十二个月非经常性项目除外的税前收益</t>
  </si>
  <si>
    <t>市值/最近十二個月非經常性項目除外的稅前收益</t>
  </si>
  <si>
    <t>Capitalisation boursière / Résultat avant impôts des douze derniers mois hors éléments exceptionnels</t>
  </si>
  <si>
    <t>Marktkapital/langfristiges Ergebnis vor Steuern ohne ungewöhnliche Posten</t>
  </si>
  <si>
    <t>Capitalizzazione di mercato / LTM EBT escluso articoli insoliti</t>
  </si>
  <si>
    <t>時価総額/税引前当期純利益（特別損益調整前）</t>
  </si>
  <si>
    <t>Рыночная капитализация/EBT, за исключением чрезвычайных статей, за последние 12 месяцев (LTM)</t>
  </si>
  <si>
    <t>Capitalización de mercado / Ganancia antes de impuestos en los últimos doce meses excluidos artículos inusuales</t>
  </si>
  <si>
    <t>시가총액 / LTM EBT 비일반적 항목 제외</t>
  </si>
  <si>
    <t>Capitalização de mercado / EBT Excl. Itens extraordinários UDM</t>
  </si>
  <si>
    <t>市盈增长比率</t>
  </si>
  <si>
    <t>市盈增長比率</t>
  </si>
  <si>
    <t>Ratio PEG</t>
  </si>
  <si>
    <t>Preis-Leistungsverhältnis</t>
  </si>
  <si>
    <t>Rapporto PEG</t>
  </si>
  <si>
    <t>PEG比率</t>
  </si>
  <si>
    <t>Коэффициент PEG</t>
  </si>
  <si>
    <t>PEG 비율</t>
  </si>
  <si>
    <t>注：平均倍数是使用所选频率周期内每个交易日的正收盘价来计算的。负值将从计算中排除。</t>
  </si>
  <si>
    <t>注：平均倍數是使用所選頻率週期內每個交易日的正收盤價來計算的。負值將從計算中排除。</t>
  </si>
  <si>
    <t>Remarque : les multiples moyens sont calculés en appliquant des valeurs de clôture positives à chaque jour de bourse dans les périodes de fréquence sélectionnées. Les valeurs négatives sont exclues du calcul.</t>
  </si>
  <si>
    <t>Hinweis: Durchschnittliche Vielfache werden unter Verwendung positiver Schlusswerte an jedem Handelstag innerhalb der ausgewählten Frequenzperioden berechnet. Negative Werte werden von der Berechnung ausgeschlossen.</t>
  </si>
  <si>
    <t>Nota: I multipli medi vengono calcolati utilizzando valori di chiusura positivi in ogni giorno di negoziazione entro i periodi di frequenza selezionati. I valori negativi sono esclusi dal calcolo.</t>
  </si>
  <si>
    <t>注：平均マルチプルは選択された頻度期間内の各取引日の正値で計算されます。負値は計算から除外されます。</t>
  </si>
  <si>
    <t>Примечание: средние мультипликаторы рассчитываются с использованием положительных значений закрытия в каждый торговый день в пределах выбранных периодов частоты. Отрицательные значения в расчет не включаются.</t>
  </si>
  <si>
    <t>Nota: Los múltiplos promedio se calculan utilizando valores de cierre positivos en cada día de negociación dentro de los períodos de frecuencia seleccionados. Los valores negativos se excluyen del cálculo.</t>
  </si>
  <si>
    <t>참고: 평균 배수는 선택한 빈도 기간 내에 각 거래일에 양수 닫기 값을 사용하여 계산됩니다. 음수 값은 계산에서 제외됩니다.</t>
  </si>
  <si>
    <t>Nota: Os múltiplos médios são calculados usando valores de fechamento positivos em cada dia de negociação dentro dos períodos de frequência selecionados. Os valores negativos são excluídos do cálculo.</t>
  </si>
  <si>
    <t>资产负债表截至</t>
  </si>
  <si>
    <t>資產負債表截至</t>
  </si>
  <si>
    <t>Solde au</t>
  </si>
  <si>
    <t>Bilanz ab</t>
  </si>
  <si>
    <t>Stato patrimoniale del</t>
  </si>
  <si>
    <t>貸借対照表基準日</t>
  </si>
  <si>
    <t>Бухгалтерский баланс на</t>
  </si>
  <si>
    <t>Balance al</t>
  </si>
  <si>
    <t>다음 일자 대차대조표:</t>
  </si>
  <si>
    <t>Balanço a partir de</t>
  </si>
  <si>
    <t>定价截至</t>
  </si>
  <si>
    <t>定價截至</t>
  </si>
  <si>
    <t>Prix à partir de</t>
  </si>
  <si>
    <t>Preise ab</t>
  </si>
  <si>
    <t>Prezzi a partire da</t>
  </si>
  <si>
    <t>プライシング日：</t>
  </si>
  <si>
    <t>Цены на</t>
  </si>
  <si>
    <t>Precios a partir de</t>
  </si>
  <si>
    <t>다음 일자 가격:</t>
  </si>
  <si>
    <t>Preços a partir de</t>
  </si>
  <si>
    <t>市值明细</t>
  </si>
  <si>
    <t>市值明細</t>
  </si>
  <si>
    <t>Détail des lettres majuscules</t>
  </si>
  <si>
    <t>Kapitalisierungsdetail</t>
  </si>
  <si>
    <t>Dettaglio capitalizzazione</t>
  </si>
  <si>
    <t>時価総額詳細</t>
  </si>
  <si>
    <t>Подродбные данные о капитализации</t>
  </si>
  <si>
    <t>Detalle de mayúsculas</t>
  </si>
  <si>
    <t>자본화 세부 사항</t>
  </si>
  <si>
    <t>Detalhe de capitalização</t>
  </si>
  <si>
    <t>此页面上显示的价格是该公司主要股票类别的收盘价。此页面上显示的股票是公司报告的股票总价值。</t>
  </si>
  <si>
    <t>此頁面上顯示的價格是該公司主要股票類別的收盤價。此頁面上顯示的股票是公司報告的股票總價值。</t>
  </si>
  <si>
    <t>Les prix indiqués sur cette page sont les prix de clôture de la principale classe d'actions de l'entreprise. Les actions affichées sur cette page sont les valeurs totales des actions de la société telles que déclarées.</t>
  </si>
  <si>
    <t>Die auf dieser Seite angegebenen Preise sind der Schlusskurs der primären Aktienklasse des Unternehmens. Die auf dieser Seite angezeigten Aktien sind die Gesamtwerte des Unternehmens.</t>
  </si>
  <si>
    <t>I prezzi mostrati in questa pagina sono il prezzo di chiusura della classe di azioni primaria della società. Le azioni mostrate in questa pagina sono i valori delle azioni totali dell'azienda come riportato.</t>
  </si>
  <si>
    <t>このページにある終値は会社の主要上場市場における株価であり、株式数は会社報告ベースの数字です。</t>
  </si>
  <si>
    <t>Цены, указанные на этой странице, являются приблизительной ценой основного класса акций компании. Акции, показанные на этой странице, представляют собой общую стоимость акций компании в соответствии с отчетом.</t>
  </si>
  <si>
    <t>Los precios que se muestran en esta página son el precio de cierre de la clase de acciones principal de la empresa. Las acciones que se muestran en esta página son valores totales de las acciones de la compañía según lo informado.</t>
  </si>
  <si>
    <t>이 페이지에 표시된 가격은 회사의 주요 주식 클래스의 종가입니다. 이 페이지에 표시된 주식은 보고된 총 회사입니다.</t>
  </si>
  <si>
    <t>Os preços mostrados nesta página são o preço de fechamento da principal classe de ações da empresa. As ações mostradas nesta página são os valores totais das ações conforme relatado pela empresa.</t>
  </si>
  <si>
    <t>报告版本</t>
  </si>
  <si>
    <t>報告版本</t>
  </si>
  <si>
    <t>Version de la présentation</t>
  </si>
  <si>
    <t>Anmeldeversion</t>
  </si>
  <si>
    <t>Versione di archiviazione</t>
  </si>
  <si>
    <t>ファイリング・バージョン</t>
  </si>
  <si>
    <t>Версия Отчетности</t>
  </si>
  <si>
    <t>Versión de presentación</t>
  </si>
  <si>
    <t>출원 버전</t>
  </si>
  <si>
    <t>Versão de apresentação</t>
  </si>
  <si>
    <t>Fonds propres privilégiés</t>
  </si>
  <si>
    <t>Equidad preferida</t>
  </si>
  <si>
    <t>债务汇总数据</t>
  </si>
  <si>
    <t>債務匯總資料</t>
  </si>
  <si>
    <t>Données récapitulatives sur la dette</t>
  </si>
  <si>
    <t>Schuldenzusammenfassungsdaten</t>
  </si>
  <si>
    <t>Dati di riepilogo debiti</t>
  </si>
  <si>
    <t>債務概要データ</t>
  </si>
  <si>
    <t>Сводные данные по долгу</t>
  </si>
  <si>
    <t>Datos de resumen de la deuda</t>
  </si>
  <si>
    <t>부채 요약 데이터</t>
  </si>
  <si>
    <t>Dados de resumo de dívida</t>
  </si>
  <si>
    <t>总租赁负债</t>
  </si>
  <si>
    <t>總租賃債務</t>
  </si>
  <si>
    <t>Total des dettes de location</t>
  </si>
  <si>
    <t>Gesamtmietverbindlichkeiten</t>
  </si>
  <si>
    <t>Totale passività di leasing</t>
  </si>
  <si>
    <t>リース負債総額</t>
  </si>
  <si>
    <t>Общая сумма обязательств по аренде</t>
  </si>
  <si>
    <t>Pasivos totales por arrendamiento</t>
  </si>
  <si>
    <t>총 리스 부채</t>
  </si>
  <si>
    <t>Passivo total de arrendamento</t>
  </si>
  <si>
    <t>剩余金额</t>
  </si>
  <si>
    <t>剩餘金額</t>
  </si>
  <si>
    <t>crédit disponible</t>
  </si>
  <si>
    <t>verfügbarer Kredit</t>
  </si>
  <si>
    <t>Credito disponibile</t>
  </si>
  <si>
    <t>未使用借入限度枠</t>
  </si>
  <si>
    <t>Доступный кредит</t>
  </si>
  <si>
    <t>crédito disponible</t>
  </si>
  <si>
    <t>이용 가능한 신용</t>
  </si>
  <si>
    <t>crédito disponível</t>
  </si>
  <si>
    <t>总计</t>
  </si>
  <si>
    <t>總計</t>
  </si>
  <si>
    <t>Totaux supplémentaires</t>
  </si>
  <si>
    <t>Zusätzliche Summen</t>
  </si>
  <si>
    <t>Totali aggiuntivi</t>
  </si>
  <si>
    <t>追加合計</t>
  </si>
  <si>
    <t>Дополнительные итоги</t>
  </si>
  <si>
    <t>Totales adicionales</t>
  </si>
  <si>
    <t>추가 합계</t>
  </si>
  <si>
    <t>Totais Adicionais</t>
  </si>
  <si>
    <t>短期债务总额</t>
  </si>
  <si>
    <t>短期債務總額</t>
  </si>
  <si>
    <t>Total de la dette à court terme</t>
  </si>
  <si>
    <t>Kurzfristige Gesamtverschuldung</t>
  </si>
  <si>
    <t>Totale debito a breve termine</t>
  </si>
  <si>
    <t>Общая краткосрочная задолженность</t>
  </si>
  <si>
    <t>Deuda total a corto plazo</t>
  </si>
  <si>
    <t>총 단기 부채</t>
  </si>
  <si>
    <t>Dívida Total de Curto Prazo</t>
  </si>
  <si>
    <t>一年内到期的长期债务/资本租赁</t>
  </si>
  <si>
    <t>一年內到期的長期債務/資本租賃</t>
  </si>
  <si>
    <t>Portion courante des dettes à long terme/contrats de location-acquisition</t>
  </si>
  <si>
    <t>Derzeitiger Anteil langfristiger Schulden-/Kapital-Leasingverhältnisse</t>
  </si>
  <si>
    <t>Corr. Port. di debito LT/cap. Locazioni</t>
  </si>
  <si>
    <t>一年内償還予定の長期有利子負債/キャピタルリース</t>
  </si>
  <si>
    <t>Текущая часть долгосрочной задолженности/Капитальная аренда</t>
  </si>
  <si>
    <t>Porción actual de deuda a largo plazo / arrendamientos de capital</t>
  </si>
  <si>
    <t>당기 장기 부채/자산 리스 비용</t>
  </si>
  <si>
    <t>长期债务（包括资本租赁）</t>
  </si>
  <si>
    <t>長期債務（包括資本租賃）</t>
  </si>
  <si>
    <t>Dette à long terme (y compris les contrats de location-acquisition)</t>
  </si>
  <si>
    <t>Langfristige Schulden (einschließlich Finanzierungsleasing)</t>
  </si>
  <si>
    <t>Debito a lungo termine (incl. cap. locazioni)</t>
  </si>
  <si>
    <t>長期有利子負債（キャピタルリースを含む）</t>
  </si>
  <si>
    <t>Долгосрочная задолженность (включая капитальную аренду)</t>
  </si>
  <si>
    <t>Deuda a largo plazo (Incl. Arrendamientos de Capital)</t>
  </si>
  <si>
    <t>장기 부채(포함. 임대)</t>
  </si>
  <si>
    <t>Dívida de longo prazo (incluindo arrendamento de capital)</t>
  </si>
  <si>
    <t>优先担保贷款</t>
  </si>
  <si>
    <t>優先擔保貸款</t>
  </si>
  <si>
    <t>Prêts garantis de premier rang</t>
  </si>
  <si>
    <t>Senior Secured Loans</t>
  </si>
  <si>
    <t>Prestiti garantiti sr.</t>
  </si>
  <si>
    <t>シニア担保付ローン</t>
  </si>
  <si>
    <t>Старшие обеспеченные займы</t>
  </si>
  <si>
    <t>Préstamos garantizados superiores</t>
  </si>
  <si>
    <t>선순위 담보부 대출</t>
  </si>
  <si>
    <t xml:space="preserve">Empréstimos sênior garantidos </t>
  </si>
  <si>
    <t>优先担保债券和票据</t>
  </si>
  <si>
    <t>優先擔保債券和票據</t>
  </si>
  <si>
    <t>Obligations et billets garantis de premier rang</t>
  </si>
  <si>
    <t>Vorrangig besicherte Anleihen und Schuldverschreibungen</t>
  </si>
  <si>
    <t>Obbligazioni e altri titoli garantiti sr.</t>
  </si>
  <si>
    <t>シニア担保付債券</t>
  </si>
  <si>
    <t>Старшие обеспеченные облигации и векселя</t>
  </si>
  <si>
    <t>Bonos y notas garantizados superiores</t>
  </si>
  <si>
    <t>선순위 담보부 채권 및 국채</t>
  </si>
  <si>
    <t>优先担保总额</t>
  </si>
  <si>
    <t>優先擔保總額</t>
  </si>
  <si>
    <t>Total de la dette de premier rang garantie</t>
  </si>
  <si>
    <t>Total Senior Secured</t>
  </si>
  <si>
    <t>Total garantiti sr.</t>
  </si>
  <si>
    <t>シニア担保付負債総額</t>
  </si>
  <si>
    <t>Всего старший обеспеченный долг</t>
  </si>
  <si>
    <t>Total de la deuda garantizada superior</t>
  </si>
  <si>
    <t>총 선순위 담보부</t>
  </si>
  <si>
    <t>Total Sênior garantido</t>
  </si>
  <si>
    <t>优先无抵押债券和票据</t>
  </si>
  <si>
    <t>優先無抵押債券和票據</t>
  </si>
  <si>
    <t>Obligations et billets de premier rang non garantis</t>
  </si>
  <si>
    <t>Vorrangige unbesicherte Anleihen und Schuldverschreibungen</t>
  </si>
  <si>
    <t>Obbligazioni e altri titoli senior non garantiti</t>
  </si>
  <si>
    <t>シニア無担保債券</t>
  </si>
  <si>
    <t>Старшие необеспеченные облигации и векселя</t>
  </si>
  <si>
    <t>Bonos y notas no garantizados superiores</t>
  </si>
  <si>
    <t>선순위 비담보부 채권 및 국채</t>
  </si>
  <si>
    <t>证券化债务</t>
  </si>
  <si>
    <t>證券化債務</t>
  </si>
  <si>
    <t>Dette sécurisée</t>
  </si>
  <si>
    <t>Verbriefte Schulden</t>
  </si>
  <si>
    <t>Debito garantito</t>
  </si>
  <si>
    <t>証券化債務</t>
  </si>
  <si>
    <t>Секьюритизированный долг</t>
  </si>
  <si>
    <t>Deuda garantizada</t>
  </si>
  <si>
    <t>증권부채</t>
  </si>
  <si>
    <t>Dívida Securitizada</t>
  </si>
  <si>
    <t>第二留置权贷款</t>
  </si>
  <si>
    <t>第二留置權貸款</t>
  </si>
  <si>
    <t>Prêts de second rang</t>
  </si>
  <si>
    <t>Zweite Grundpfandrechte</t>
  </si>
  <si>
    <t>Prestiti di secondo grado</t>
  </si>
  <si>
    <t>後順位担保付ローン</t>
  </si>
  <si>
    <t>Заём второго залога</t>
  </si>
  <si>
    <t>Préstamos de segundo derecho de retención</t>
  </si>
  <si>
    <t>두 번째 유치권 대출</t>
  </si>
  <si>
    <t>Empréstimos com garantia de segundo grau</t>
  </si>
  <si>
    <t>第二留置权债券和票据</t>
  </si>
  <si>
    <t>第二留置權債券和票據</t>
  </si>
  <si>
    <t>Obligations et billets de second rang</t>
  </si>
  <si>
    <t>Zweites Pfandrecht Anleihen und Schuldverschreibungen</t>
  </si>
  <si>
    <t>Obbligazioni e altri titoli di secondo grado</t>
  </si>
  <si>
    <t>後順位担保付債券</t>
  </si>
  <si>
    <t>Облигации и векселя второго залога</t>
  </si>
  <si>
    <t>Bonos y notas de segundo derecho de retención</t>
  </si>
  <si>
    <t>두 번째 유치권 채권 및 지폐</t>
  </si>
  <si>
    <t>第二留置权债务</t>
  </si>
  <si>
    <t>第二留置權債務</t>
  </si>
  <si>
    <t>Dette de second rang</t>
  </si>
  <si>
    <t>Zweite Pfandschuld</t>
  </si>
  <si>
    <t>Debito di secondo grado</t>
  </si>
  <si>
    <t>後順位担保付債務</t>
  </si>
  <si>
    <t>Задолженность по второму залогу</t>
  </si>
  <si>
    <t>Deuda de segundo gravamen</t>
  </si>
  <si>
    <t>두 번째 유치권 부채</t>
  </si>
  <si>
    <t>Dívida com garantia de segundo grau</t>
  </si>
  <si>
    <t>固定利率债务</t>
  </si>
  <si>
    <t>固定利率債務</t>
  </si>
  <si>
    <t>Dette à taux fixe</t>
  </si>
  <si>
    <t>Festverzinsliche Schulden</t>
  </si>
  <si>
    <t>Debito a tasso fisso</t>
  </si>
  <si>
    <t>固定金利債務</t>
  </si>
  <si>
    <t>Долг с фиксированной ставкой</t>
  </si>
  <si>
    <t>Deuda a tasa fija</t>
  </si>
  <si>
    <t>고정 금리 부채</t>
  </si>
  <si>
    <t>Dívida de taxa pré-fixada</t>
  </si>
  <si>
    <t>零息债券</t>
  </si>
  <si>
    <t>零息債券</t>
  </si>
  <si>
    <t>Dette à coupon zéro</t>
  </si>
  <si>
    <t>Null Coupon Schulden</t>
  </si>
  <si>
    <t>Debito a cedola zero</t>
  </si>
  <si>
    <t>ゼロクーポン債務</t>
  </si>
  <si>
    <t>Долг с нулевым купоном</t>
  </si>
  <si>
    <t>Deuda de cupón cero</t>
  </si>
  <si>
    <t>제로 쿠폰 부채</t>
  </si>
  <si>
    <t>可变利率债务</t>
  </si>
  <si>
    <t>可變利率債務</t>
  </si>
  <si>
    <t>Dette à taux variable</t>
  </si>
  <si>
    <t>Schulden mit variablem Zinssatz</t>
  </si>
  <si>
    <t>Debito a tasso variabile</t>
  </si>
  <si>
    <t>変動金利債務</t>
  </si>
  <si>
    <t>Долг с переменной ставкой</t>
  </si>
  <si>
    <t>Deuda a tasa variable</t>
  </si>
  <si>
    <t>변동 금리 부채</t>
  </si>
  <si>
    <t>Dívida de taxa variável</t>
  </si>
  <si>
    <t>对冲活动</t>
  </si>
  <si>
    <t>對沖活動</t>
  </si>
  <si>
    <t>Activités de couverture</t>
  </si>
  <si>
    <t>Absicherungsaktivitäten</t>
  </si>
  <si>
    <t>Attività di hedging</t>
  </si>
  <si>
    <t>ヘッジ活動</t>
  </si>
  <si>
    <t>Хеджирование</t>
  </si>
  <si>
    <t>Actividades de cobertura</t>
  </si>
  <si>
    <t>헤징 활동</t>
  </si>
  <si>
    <t>Atividades de hedging</t>
  </si>
  <si>
    <t>优先债务/息税折旧摊销前利润，不包括经营租赁</t>
  </si>
  <si>
    <t>優先債務/息稅折舊攤銷前利潤，不包括經營租賃</t>
  </si>
  <si>
    <t>Dette senior/EBITDA, hors contrats de location-exploitation</t>
  </si>
  <si>
    <t>Vorrangige Schuld/EBITDA, ohne Operating-Leasingverhältnisse</t>
  </si>
  <si>
    <t>Debito senior/EBITDA, escl. locazioni operative</t>
  </si>
  <si>
    <t>シニア債務/EBITDA(オペレーティング・リースを除く)</t>
  </si>
  <si>
    <t>Старший долг/EBITDA, без учета операционной аренды</t>
  </si>
  <si>
    <t>Deuda antigua / EBITDA, Excl. Arrendamientos operativos</t>
  </si>
  <si>
    <t>선순위 부채/EBITDA, 운영 리스 제외</t>
  </si>
  <si>
    <t>Dívida sênior / EBITDA, excl. Arrendamentos operacionais</t>
  </si>
  <si>
    <t>优先担保总额/息税折旧摊销前利润</t>
  </si>
  <si>
    <t>優先擔保總額/息稅折舊攤銷前利潤</t>
  </si>
  <si>
    <t>Total de la dette garantie de premier rang/EBITDA</t>
  </si>
  <si>
    <t>Gesamte verbriefte Schuld/EBITDA</t>
  </si>
  <si>
    <t>Totale senior garantito/EBITDA</t>
  </si>
  <si>
    <t>シニア担保付債務総額/EBITDA</t>
  </si>
  <si>
    <t>Всего старших обеспеченных долгов/EBITDA</t>
  </si>
  <si>
    <t>Total de la deuda garantizada superior/EBITDA</t>
  </si>
  <si>
    <t>총 선순위 담보부/EBITDA</t>
  </si>
  <si>
    <t>Total sênior com garantia/ EBITDA</t>
  </si>
  <si>
    <t>优先担保总额/息税折旧摊销前利润，不包括经营租赁</t>
  </si>
  <si>
    <t>優先擔保總額/息稅折舊攤銷前利潤，不包括經營租賃</t>
  </si>
  <si>
    <t>Total de la dette garantie de premier rang/EBITDA, hors contrats de location-exploitation</t>
  </si>
  <si>
    <t>Gesamte verbriefte Schuld/EBITDA, ohne Operating-Leasingverhältnisse</t>
  </si>
  <si>
    <t>Totale senior garantito/EBITDA, escl. locazioni operative</t>
  </si>
  <si>
    <t>シニア担保付債務総額/EBITDA(オペレーティング・リースを除く)</t>
  </si>
  <si>
    <t>Всего старших обеспеченных долгов/EBITDA, без учета операционной аренды</t>
  </si>
  <si>
    <t>Total de la deuda garantizada superior/EBITDA, excluyendo los arrendamientos operativos</t>
  </si>
  <si>
    <t>총 선순위 담보부/EBITDA, 운영 리스 제외</t>
  </si>
  <si>
    <t>Total sênior com garantia/ EBITDA, Excl. Arrendamentos operacionais</t>
  </si>
  <si>
    <t>次级债务总额/息税折旧摊销前利润，不包括经营租赁</t>
  </si>
  <si>
    <t>次級債務總額/息稅折舊攤銷前利潤，不包括經營租賃</t>
  </si>
  <si>
    <t>Total de la dette subordonnée/ EBITDA, hors contrats de location-exploitation</t>
  </si>
  <si>
    <t>Summe der nachrangigen Verbindlichkeiten/EBITDA ohne Operating-Leasingverhältnisse</t>
  </si>
  <si>
    <t>Totale sub. debito/EBITDA, escl. locazioni operative</t>
  </si>
  <si>
    <t>劣後債務総額/EBITDA(オペレーティング・リースを除く)</t>
  </si>
  <si>
    <t>Всего субординированных долгов/EBITDA, без учета операционной аренды</t>
  </si>
  <si>
    <t>Deuda subordinada total/ EBITDA, excluyendo arrendamientos operativos</t>
  </si>
  <si>
    <t>총 선순위 부채/EBITDA, 운영 리스 제외</t>
  </si>
  <si>
    <t>Total Dívida subordinada/ EBITDA, excl. Arrendamentos operacionais</t>
  </si>
  <si>
    <t>优先次级债务/息税折旧摊销前利润，不包括经营租赁</t>
  </si>
  <si>
    <t>優先次級債務/息稅折舊攤銷前利潤，不包括經營租賃</t>
  </si>
  <si>
    <t>Dette subordonnée senior/EBITDA, hors contrats de location-exploitation</t>
  </si>
  <si>
    <t>Vorrangige nachrangige Verbindlichkeiten/EBITDA ohne Operating-Leasingverhältnisse</t>
  </si>
  <si>
    <t>Sr. sub. debito/EBITDA, escl. locazioni operative</t>
  </si>
  <si>
    <t>シニア劣後債務/EBITDA(オペレーティング・リースを除く)</t>
  </si>
  <si>
    <t>Старший субординированный долг/EBITDA, без учета операционной аренды</t>
  </si>
  <si>
    <t>Deuda subordinada superior/EBITDA, excluyendo arrendamientos operativos</t>
  </si>
  <si>
    <t>선순위 담보부 부채/EBITDA, 운영 리스 제외</t>
  </si>
  <si>
    <t>Dívida sênior subordinada / EBITDA, excl. Arrendamentos operacionais</t>
  </si>
  <si>
    <t>次级债务/息税折旧摊销前利润，不包括经营租赁</t>
  </si>
  <si>
    <t>次級債務/息稅折舊攤銷前利潤，不包括經營租賃</t>
  </si>
  <si>
    <t xml:space="preserve"> Dette subordonnée/EBITDA, hors contrats de location-exploitation</t>
  </si>
  <si>
    <t>Nachrangige Verbindlichkeiten/EBITDA ohne Operating-Leasingverhältnisse</t>
  </si>
  <si>
    <t>Sub. debito/EBITDA, escl. locazioni operative</t>
  </si>
  <si>
    <t>劣後債務/EBITDA(オペレーティング・リースを除く)</t>
  </si>
  <si>
    <t>Субординированный долг/EBITDA, без учета операционной аренды</t>
  </si>
  <si>
    <t xml:space="preserve"> Deuda subordinada/EBITDA, excluyendo arrendamientos operativos</t>
  </si>
  <si>
    <t>담보부 부채/EBITDA, 운영 리스 제외</t>
  </si>
  <si>
    <t>Dívida subordinada / EBITDA, excl. Arrendamentos operacionais</t>
  </si>
  <si>
    <t>次顺位次级债/息税折旧摊销前利润，不包括经营租赁</t>
  </si>
  <si>
    <t>次順位次級債/息稅折舊攤銷前利潤，不包括經營租賃</t>
  </si>
  <si>
    <t>Dette subordonnée junior/EBITDA, hors contrats de location-exploitation</t>
  </si>
  <si>
    <t>Nachrangige Verbindlichkeiten/EBITDA, ohne Operating-Leasingverhältnisse</t>
  </si>
  <si>
    <t>Debito jr. sub/EBITDA, escl. locazioni operative</t>
  </si>
  <si>
    <t>ジュニア劣後債務/EBITDA(オペレーティング・リースを除く)</t>
  </si>
  <si>
    <t>Младший субординированный долг/EBITDA, без учета операционной аренды</t>
  </si>
  <si>
    <t>Deuda subordinada junior/EBITDA, excluyendo arrendamientos operativos</t>
  </si>
  <si>
    <t>후순위 담보부 부채/EBITDA, 운영 리스 제외</t>
  </si>
  <si>
    <t>Dívida subordinada júnior / EBITDA, Excl. Arrendamentos operacionais</t>
  </si>
  <si>
    <t>优先债务/（息税折旧摊销前利润，不包括经营租赁-资本支出）</t>
  </si>
  <si>
    <t>優先債務/（息稅折舊攤銷前利潤，不包括經營租賃-資本支出）</t>
  </si>
  <si>
    <t>Dette senior/(EBITDA, hors contrats de location-exploitation - CAPEX)</t>
  </si>
  <si>
    <t>Vorrangige Schuld/(EBITDA, ohne Operating-Leasingverhältnisse - Investitionen)</t>
  </si>
  <si>
    <t>Debito senior/(EBITDA, escl. locazioni operative - CAPEX)</t>
  </si>
  <si>
    <t>シニア債務/(EBITDA(オペレーティング・リースを除く)-CAPEX)</t>
  </si>
  <si>
    <t>Старший долг/(EBITDA, без учета операционной аренды - CAPEX)</t>
  </si>
  <si>
    <t>Deuda superior/(EBITDA, excluyendo arrendamientos operativos - CAPEX)</t>
  </si>
  <si>
    <t>선순위 부채/(EBITDA, 운영 리스 제외 - CAPEX)</t>
  </si>
  <si>
    <t>Dívida sênior / (EBITDA, excluindo arrendamentos operacionais - CAPEX)</t>
  </si>
  <si>
    <t>优先担保总额/（息税折旧摊销前利润-资本支出）</t>
  </si>
  <si>
    <t>優先擔保總額/（息稅折舊攤銷前利潤-資本支出）</t>
  </si>
  <si>
    <t>Total des garanties de premier rang/(EBITDA-CAPEX)</t>
  </si>
  <si>
    <t>Gesamte verbriefte Schuld/ (EBITDA-Investitionen)</t>
  </si>
  <si>
    <t>Totale senior garantito/(EBITDA-CAPEX)</t>
  </si>
  <si>
    <t>シニア担保付債務総額/(EBITDA-CAPEX)</t>
  </si>
  <si>
    <t>Всего старших обеспеченных долгов/(EBITDA-CAPEX)</t>
  </si>
  <si>
    <t>Total de los asegurados superiores/(EBITDA-CAPEX)</t>
  </si>
  <si>
    <t>총 선순위 담보부/(EBITDA-CAPEX)</t>
  </si>
  <si>
    <t>Total sênior com garantia / (EBITDA-CAPEX)</t>
  </si>
  <si>
    <t>优先担保总额/（息税折旧摊销前利润，不包括经营租赁-资本支出）</t>
  </si>
  <si>
    <t>優先擔保總額/（息稅折舊攤銷前利潤，不包括經營租賃-資本支出）</t>
  </si>
  <si>
    <t>Total des garanties de premier rang/(EBITDA, hors contrats de location-exploitation-CAPEX)</t>
  </si>
  <si>
    <t>Gesamte verbriefte Schuld/(EBITDA, ohne Operating-Leasingverhältnisse -Investitionen)</t>
  </si>
  <si>
    <t>Totale senior garantito/(EBITDA, escl. locazioni operative-CAPEX)</t>
  </si>
  <si>
    <t>シニア担保付債務総額/(EBITDA(オペレーティング・リースを除く)-CAPEX)</t>
  </si>
  <si>
    <t>Всего старших обеспеченных долгов/(EBITDA, без учета операционной аренды - CAPEX)</t>
  </si>
  <si>
    <t>Total de los asegurados superiores/(EBITDA, excluyendo arrendamientos operativos-CAPEX)</t>
  </si>
  <si>
    <t>총 선순위 담보부/(EBITDA, 운영 리스 제외-CAPEX)</t>
  </si>
  <si>
    <t>Total sênior com garantia / (EBITDA, excluindo arrendamentos operacionais-CAPEX)</t>
  </si>
  <si>
    <t>次级债务总额/（息税折旧摊销前利润，不包括经营租赁-资本支出）</t>
  </si>
  <si>
    <t>次級債務總額/（息稅折舊攤銷前利潤，不包括經營租賃-資本支出）</t>
  </si>
  <si>
    <t>Total de la dette subordonnée/(EBITDA, hors contrats de location-exploitation-CAPEX)</t>
  </si>
  <si>
    <t>Summe der nachrangigen Verbindlichkeiten/(EBITDA, ohne Operating-Leasingverhältnisse - Investitionen)</t>
  </si>
  <si>
    <t>Totale sub. debito/(EBITDA, escl. locazioni operative-CAPEX)</t>
  </si>
  <si>
    <t>劣後債務総額/(EBITDA(オペレーティング・リースを除く)-CAPEX)</t>
  </si>
  <si>
    <t>Всего субординированных долгов/(EBITDA, без учета операционной аренды - CAPEX)</t>
  </si>
  <si>
    <t>Deuda subordinada total/(EBITDA, excluyendo arrendamientos operativos-CAPEX)</t>
  </si>
  <si>
    <t>총 담보부 부채/(EBITDA, 운영 리스 제외-CAPEX)</t>
  </si>
  <si>
    <t>Total Dívida subordinada/ (EBITDA, Excl. arrendamentos operacionais-CAPEX)</t>
  </si>
  <si>
    <t>优先次级债/（息税折旧摊销前利润，不包括经营租赁-资本支出）</t>
  </si>
  <si>
    <t>優先次級債/（息稅折舊攤銷前利潤，不包括經營租賃-資本支出）</t>
  </si>
  <si>
    <t>Dette subordonnée de premier rang/(EBITDA, hors contrats de location-exploitation-CAPEX)</t>
  </si>
  <si>
    <t>Vorrangige nachrangige Verbindlichkeiten/(EBITDA, ohne Operating-Leasingverhältnisse - Investitionen)</t>
  </si>
  <si>
    <t>Sr. sub. debito/(EBITDA, escl. locazioni operative-CAPEX)</t>
  </si>
  <si>
    <t>シニア劣後債務/(EBITDA(オペレーティング・リースを除く)-CAPEX)</t>
  </si>
  <si>
    <t>Старший субординированный долг/(EBITDA, без учета операционной аренды - CAPEX)</t>
  </si>
  <si>
    <t>Deuda subordinada superior/(EBITDA, excluyendo arrendamientos operativos-CAPEX)</t>
  </si>
  <si>
    <t>선순위 담보부 부채/(EBITDA, 운영 리스 제외-CAPEX)</t>
  </si>
  <si>
    <t>Dívida subordinada sênior / (EBITDA, Excl. arrendamentos operacionais-CAPEX)</t>
  </si>
  <si>
    <t>次级债务/（息税折旧摊销前利润，不包括经营租赁-资本支出）</t>
  </si>
  <si>
    <t>次級債務/（息稅折舊攤銷前利潤，不包括經營租賃-資本支出）</t>
  </si>
  <si>
    <t xml:space="preserve"> Dette subordonnée/(EBITDA, hors contrats de location-exploitation-CAPEX)</t>
  </si>
  <si>
    <t>Nachrangige Verbindlichkeiten/(EBITDA, ohne Operating-Leasingverhältnisse - Investitionen)</t>
  </si>
  <si>
    <t>Sub. debito/(EBITDA, escl. locazioni operative-CAPEX)</t>
  </si>
  <si>
    <t>劣後債務/(EBITDA(オペレーティング・リースを除く)-CAPEX)</t>
  </si>
  <si>
    <t>Субординированный долг/(EBITDA, без учета операционной аренды - CAPEX)</t>
  </si>
  <si>
    <t xml:space="preserve"> Deuda subordinada/(EBITDA, excluyendo arrendamientos operativos-CAPEX)</t>
  </si>
  <si>
    <t>담보부 부채/(EBITDA, Excl. 운영 리스 제외-CAPEX)</t>
  </si>
  <si>
    <t>Dívida subordinada / (EBITDA, Excl. arrendamentos operacionais-CAPEX)</t>
  </si>
  <si>
    <t>次顺位次级债/（息税折旧摊销前利润，不包括经营租赁-资本支出）</t>
  </si>
  <si>
    <t>次順位次級債/（息稅折舊攤銷前利潤，不包括經營租賃-資本支出）</t>
  </si>
  <si>
    <t>Dette subordonnée junior/(EBITDA, hors contrats de location-exploitation-CAPEX)</t>
  </si>
  <si>
    <t>Debito jr. sub/(EBITDA, escl. locazioni operative-CAPEX)</t>
  </si>
  <si>
    <t>ジュニア劣後債務/(EBITDA(オペレーティング・リースを除く)-CAPEX)</t>
  </si>
  <si>
    <t>Младший субординированный долг/(EBITDA, без учета операционной аренды - CAPEX)</t>
  </si>
  <si>
    <t>Deuda subordinada menor/(EBITDA, excluyendo arrendamientos operativos-CAPEX)</t>
  </si>
  <si>
    <t>후순위 담보부 부채/(EBITDA, 운영 리스 제외-CAPEX)</t>
  </si>
  <si>
    <t>Dívida subordinada júnior / (EBITDA, excluindo arrendamentos operacionais-CAPEX)</t>
  </si>
  <si>
    <t>固定付款时间表</t>
  </si>
  <si>
    <t>固定付款時間表</t>
  </si>
  <si>
    <t>Calendrier de paiement fixe</t>
  </si>
  <si>
    <t>Fester Zahlungsplan</t>
  </si>
  <si>
    <t>Programma di pagamento fisso</t>
  </si>
  <si>
    <t>固定支払スケジュール</t>
  </si>
  <si>
    <t>График фиксированных платежей</t>
  </si>
  <si>
    <t>Programa de pago fijo</t>
  </si>
  <si>
    <t>고정 결제 일정</t>
  </si>
  <si>
    <t>到期应付资本租赁款（含利息）+1</t>
  </si>
  <si>
    <t>到期應付資本租賃款（含利息）+1</t>
  </si>
  <si>
    <t>Paiement du crédit-bail dû (y compris les intérêts)+1</t>
  </si>
  <si>
    <t>Fällige Finanzierungsleasingzahlung (einschließlich Zinsen) +1</t>
  </si>
  <si>
    <t>Pagamento del leasing di capitale dovuto (interessi inclusi)+1</t>
  </si>
  <si>
    <t>キャピタルリース支払（利息を含む）+1</t>
  </si>
  <si>
    <t>Причитающийся платеж по капитальной аренде (включая проценты) +1</t>
  </si>
  <si>
    <t>Pago de arrendamiento de capital (incluido el interés) +1</t>
  </si>
  <si>
    <t>자본임대지불기한(이자 포함) +1</t>
  </si>
  <si>
    <t>Pagamento da arrendamento financeiro a vencer (incluindo juros) +1</t>
  </si>
  <si>
    <t>到期应付资本租赁款+1</t>
  </si>
  <si>
    <t>到期應付資本租賃款+1</t>
  </si>
  <si>
    <t>Paiement du crédit-bail dû + 1</t>
  </si>
  <si>
    <t>Fällige Finanzierungsleasingzahlung + 1</t>
  </si>
  <si>
    <t>Pagamento del leasing di capitale dovuto + 1</t>
  </si>
  <si>
    <t>キャピタルリース支払+1</t>
  </si>
  <si>
    <t>Причитающийся платеж по капитальной аренде + 1</t>
  </si>
  <si>
    <t>Pago de Arrendamiento de capital + 1</t>
  </si>
  <si>
    <t>자본임대지불기한 + 1</t>
  </si>
  <si>
    <t>Pagamento do arrendamento financeiro a vencer + 1</t>
  </si>
  <si>
    <t>到期应付资本租赁款+2</t>
  </si>
  <si>
    <t>到期應付資本租賃款+2</t>
  </si>
  <si>
    <t>Paiement du crédit-bail dû + 2</t>
  </si>
  <si>
    <t>Fällige Finanzierungsleasingzahlung + 2</t>
  </si>
  <si>
    <t>Pagamento del leasing di capitale dovuto + 2</t>
  </si>
  <si>
    <t>キャピタルリース支払+2</t>
  </si>
  <si>
    <t>Причитающийся платеж по капитальной аренде + 2</t>
  </si>
  <si>
    <t>Pago de arrendamiento de capital + 2</t>
  </si>
  <si>
    <t>자본임대지불기한 + 2</t>
  </si>
  <si>
    <t>Pagamento do arrendamento financeiro a vencer + 2</t>
  </si>
  <si>
    <t>到期应付资本租赁款+3</t>
  </si>
  <si>
    <t>到期應付資本租賃款+3</t>
  </si>
  <si>
    <t>Paiement du crédit-bail dû + 3</t>
  </si>
  <si>
    <t>Fällige Finanzierungsleasingzahlung + 3</t>
  </si>
  <si>
    <t>Pagamento del leasing di capitale dovuto + 3</t>
  </si>
  <si>
    <t>キャピタルリース支払+3</t>
  </si>
  <si>
    <t>Причитающийся платеж по капитальной аренде + 3</t>
  </si>
  <si>
    <t>Pago de arrendamiento de capital + 3</t>
  </si>
  <si>
    <t>자본임대지불기한 + 3</t>
  </si>
  <si>
    <t>Pagamento do arrendamento financeiro a vencer + 3</t>
  </si>
  <si>
    <t>到期应付资本租赁款+4</t>
  </si>
  <si>
    <t>到期應付資本租賃款+4</t>
  </si>
  <si>
    <t>Paiement du crédit-bail dû + 4</t>
  </si>
  <si>
    <t>Fällige Finanzierungsleasingzahlung + 4</t>
  </si>
  <si>
    <t>Pagamento del leasing di capitale dovuto + 4</t>
  </si>
  <si>
    <t>キャピタルリース支払+4</t>
  </si>
  <si>
    <t>Причитающийся платеж по капитальной аренде + 4</t>
  </si>
  <si>
    <t>Pago de arrendamiento de capital + 4</t>
  </si>
  <si>
    <t>자본임대지불기한 + 4</t>
  </si>
  <si>
    <t>Pagamento do arrendamento financeiro a vencer + 4</t>
  </si>
  <si>
    <t>到期应付资本租赁款+5</t>
  </si>
  <si>
    <t>到期應付資本租賃款+5</t>
  </si>
  <si>
    <t>Paiement du crédit-bail dû + 5</t>
  </si>
  <si>
    <t>Fällige Finanzierungsleasingzahlung + 5</t>
  </si>
  <si>
    <t>Pagamento del leasing di capitale dovuto + 5</t>
  </si>
  <si>
    <t>キャピタルリース支払+5</t>
  </si>
  <si>
    <t>Причитающийся платеж по капитальной аренде + 5</t>
  </si>
  <si>
    <t>Pago de arrendamiento de capital + 5</t>
  </si>
  <si>
    <t>자본임대지불기한 + 5</t>
  </si>
  <si>
    <t>Pagamento do arrendamento financeiro a vencer + 5</t>
  </si>
  <si>
    <t>未来五年到期应付资本租赁款</t>
  </si>
  <si>
    <t>未來五年到期應付資本租賃款</t>
  </si>
  <si>
    <t>Paiement de la location-financement dû, cinq prochaines années</t>
  </si>
  <si>
    <t>Finanzierungsleasingzahlung fällig, nächste fünf Jahre</t>
  </si>
  <si>
    <t>Pagamento del leasing di capitale dovuto, prossimi cinque anni</t>
  </si>
  <si>
    <t>キャピタルリース支払、５年以内</t>
  </si>
  <si>
    <t>Причитающийся платеж по капитальной аренде в следующие 5 лет</t>
  </si>
  <si>
    <t>Pago de arrendamiento de capital, los próximos cinco años</t>
  </si>
  <si>
    <t>자본 임대 지불 기한, 향후 5년</t>
  </si>
  <si>
    <t>Pagamento do arrendamento financeiro a vencer, próximos cinco anos</t>
  </si>
  <si>
    <t>5年后到期应付资本租赁款</t>
  </si>
  <si>
    <t>5年後到期應付資本租賃款</t>
  </si>
  <si>
    <t>Paiement du crédit-bail dû après 5 ans</t>
  </si>
  <si>
    <t>Fällige Finanzierungsleasingzahlung, nach 5 Jahren</t>
  </si>
  <si>
    <t>Pagamento del leasing di capitale dovuto dopo 5 anni</t>
  </si>
  <si>
    <t>キャピタルリース支払、５年後</t>
  </si>
  <si>
    <t>Причитающийся платеж по капитальной аренде через 5 лет</t>
  </si>
  <si>
    <t>Pago de arrendamiento de capital después de 5 años</t>
  </si>
  <si>
    <t>향후 5년 이후 자본임대지불기한</t>
  </si>
  <si>
    <t>Pagamento do arrendamento financeiro a vencer após 5 anos</t>
  </si>
  <si>
    <t>经营租赁承诺+1</t>
  </si>
  <si>
    <t>經營租賃承諾+1</t>
  </si>
  <si>
    <t>Engagement de location-exploitation + 1</t>
  </si>
  <si>
    <t>Operating-Leasingverpflichtung + 1</t>
  </si>
  <si>
    <t>Impegno di leasing operativo+ 1</t>
  </si>
  <si>
    <t>オペレーティングリース支払+1</t>
  </si>
  <si>
    <t>Обязательства по операционной аренде + 1</t>
  </si>
  <si>
    <t>Compromiso de arrendamiento operativo + 1</t>
  </si>
  <si>
    <t>운용리스 약정+ 1</t>
  </si>
  <si>
    <t>Compromisso de arrendamento operacional + 1</t>
  </si>
  <si>
    <t>经营租赁承诺+2</t>
  </si>
  <si>
    <t>經營租賃承諾+2</t>
  </si>
  <si>
    <t>Engagement de location-exploitation + 2</t>
  </si>
  <si>
    <t>Operating-Leasingverpflichtung + 2</t>
  </si>
  <si>
    <t>Impegno di leasing operativo+ 2</t>
  </si>
  <si>
    <t>オペレーティングリース支払+2</t>
  </si>
  <si>
    <t>Обязательства по операционной аренде + 2</t>
  </si>
  <si>
    <t>Compromiso de arrendamiento operativo + 2</t>
  </si>
  <si>
    <t>운용리스 약정+ 2</t>
  </si>
  <si>
    <t>Compromisso de arrendamento operacional + 2</t>
  </si>
  <si>
    <t>经营租赁承诺+3</t>
  </si>
  <si>
    <t>經營租賃承諾+3</t>
  </si>
  <si>
    <t>Engagement de location-exploitation + 3</t>
  </si>
  <si>
    <t>Operating-Leasingverpflichtung + 3</t>
  </si>
  <si>
    <t>Impegno di leasing operativo+ 3</t>
  </si>
  <si>
    <t>オペレーティングリース支払+3</t>
  </si>
  <si>
    <t>Обязательства по операционной аренде + 3</t>
  </si>
  <si>
    <t>Compromiso de arrendamiento operativo + 3</t>
  </si>
  <si>
    <t>운용리스 약정+ 3</t>
  </si>
  <si>
    <t>Compromisso de arrendamento operacional + 3</t>
  </si>
  <si>
    <t>经营租赁承诺+4</t>
  </si>
  <si>
    <t>經營租賃承諾+4</t>
  </si>
  <si>
    <t>Engagement de location-exploitation + 4</t>
  </si>
  <si>
    <t>Operating-Leasingverpflichtung+ 4</t>
  </si>
  <si>
    <t>Impegno di leasing operativo+ 4</t>
  </si>
  <si>
    <t>オペレーティングリース支払+4</t>
  </si>
  <si>
    <t>Обязательства по операционной аренде + 4</t>
  </si>
  <si>
    <t>Compromiso de arrendamiento operativo + 4</t>
  </si>
  <si>
    <t>운용리스 약정+ 4</t>
  </si>
  <si>
    <t>Compromisso de arrendamento operacional + 4</t>
  </si>
  <si>
    <t>经营租赁承诺+5</t>
  </si>
  <si>
    <t>經營租賃承諾+5</t>
  </si>
  <si>
    <t>Engagement de location-exploitation + 5</t>
  </si>
  <si>
    <t>Operating-Leasingverpflichtung + 5</t>
  </si>
  <si>
    <t>Impegno di leasing operativo+ 5</t>
  </si>
  <si>
    <t>オペレーティングリース支払+5</t>
  </si>
  <si>
    <t>Обязательства по операционной аренде + 5</t>
  </si>
  <si>
    <t>Compromiso de arrendamiento operativo + 5</t>
  </si>
  <si>
    <t>운용리스 약정+ 5</t>
  </si>
  <si>
    <t>Compromisso de arrendamento operacional + 5</t>
  </si>
  <si>
    <t>未来五年经营租赁承诺</t>
  </si>
  <si>
    <t>未來五年經營租賃承諾</t>
  </si>
  <si>
    <t>Engagement de location-exploitation, cinq prochaines années</t>
  </si>
  <si>
    <t>Operating-Leasingverpflichtung, nächste fünf Jahre</t>
  </si>
  <si>
    <t>Impegno di leasing operativo, prossimi cinque anni</t>
  </si>
  <si>
    <t>オペレーティングリース支払、5年以内</t>
  </si>
  <si>
    <t>Обязательства по операционной аренде в следующие 5 лет</t>
  </si>
  <si>
    <t>Compromiso de arrendamiento operativo, próximos cinco años</t>
  </si>
  <si>
    <t>운용리스 약정, 향후 5년</t>
  </si>
  <si>
    <t>Compromisso de arrendamento operacional, próximos cinco anos</t>
  </si>
  <si>
    <t>五年后经营租赁承诺</t>
  </si>
  <si>
    <t>五年後經營租賃承諾</t>
  </si>
  <si>
    <t>Engagement de location-exploitation après 5 ans</t>
  </si>
  <si>
    <t>Operating-Leasingverpflichtung, nach 5 Jahren</t>
  </si>
  <si>
    <t>Impegno di leasing operativo dopo 5 anni</t>
  </si>
  <si>
    <t>オペレーティングリース支払、5年後</t>
  </si>
  <si>
    <t>Обязательства по операционной аренде через 5 лет</t>
  </si>
  <si>
    <t>Compromiso de arrendamiento operativo Después de 5 años</t>
  </si>
  <si>
    <t>운용리스 약정, 5년 이후</t>
  </si>
  <si>
    <t>Compromisso de arrendamento operacional após 5 anos</t>
  </si>
  <si>
    <t>经营租赁负债现值调整</t>
  </si>
  <si>
    <t>經營租賃債務現值調整</t>
  </si>
  <si>
    <t>Ajustement de la valeur actuelle des dettes de location-exploitation</t>
  </si>
  <si>
    <t>Barwertanpassung bei Betreibs-Leasing-Verbindlichkeiten</t>
  </si>
  <si>
    <t>Rettifica del valore attuale sulle passività del leasing operativo</t>
  </si>
  <si>
    <t>オペレーティングリース負債の現在価値調整</t>
  </si>
  <si>
    <t>Корректировка приведенной стоимости обязательств по операционной аренде</t>
  </si>
  <si>
    <t>Ajuste del valor presente de los pasivos por arrendamiento operativo</t>
  </si>
  <si>
    <t>운영리스 부채에 대한 현재 가치 조정</t>
  </si>
  <si>
    <t>Ajuste de valor presente em passivos de arrendamento operacional</t>
  </si>
  <si>
    <t>转租收入+1</t>
  </si>
  <si>
    <t>轉租收入+1</t>
  </si>
  <si>
    <t>Revenu de sous-location + 1</t>
  </si>
  <si>
    <t>Erträge aus Untermietverhältnissen + 1</t>
  </si>
  <si>
    <t>Reddito da sublocazione+ 1</t>
  </si>
  <si>
    <t>サブリース収入+1</t>
  </si>
  <si>
    <t>Доход от субаренды + 1</t>
  </si>
  <si>
    <t>Ingresos por subarrendamiento + 1</t>
  </si>
  <si>
    <t>임대 이하 소득 + 1</t>
  </si>
  <si>
    <t>Renda de subarrendamento + 1</t>
  </si>
  <si>
    <t>转租收入+2</t>
  </si>
  <si>
    <t>轉租收入+2</t>
  </si>
  <si>
    <t>Revenu de sous-location + 2</t>
  </si>
  <si>
    <t>Erträge aus Untermietverhältnissen + 2</t>
  </si>
  <si>
    <t>Reddito da sublocazione+ 2</t>
  </si>
  <si>
    <t>サブリース収入+2</t>
  </si>
  <si>
    <t>Доход от субаренды + 2</t>
  </si>
  <si>
    <t>Ingresos por subarrendamiento + 2</t>
  </si>
  <si>
    <t>임대 이하 소득 + 2</t>
  </si>
  <si>
    <t>Renda de subarrendamento + 2</t>
  </si>
  <si>
    <t>转租收入+3</t>
  </si>
  <si>
    <t>轉租收入+3</t>
  </si>
  <si>
    <t>Revenu de sous-location + 3</t>
  </si>
  <si>
    <t>Erträge aus Untermietverhältnissen + 3</t>
  </si>
  <si>
    <t>Reddito da sublocazione+ 3</t>
  </si>
  <si>
    <t>サブリース収入+3</t>
  </si>
  <si>
    <t>Доход от субаренды + 3</t>
  </si>
  <si>
    <t>Ingresos por subarrendamiento + 3</t>
  </si>
  <si>
    <t>임대 이하 소득 + 3</t>
  </si>
  <si>
    <t>Renda de subarrendamento + 3</t>
  </si>
  <si>
    <t>转租收入+4</t>
  </si>
  <si>
    <t>轉租收入+4</t>
  </si>
  <si>
    <t>Revenu de sous-location + 4</t>
  </si>
  <si>
    <t>Erträge aus Untermietverhältnissen + 4</t>
  </si>
  <si>
    <t>Reddito da sublocazione+ 4</t>
  </si>
  <si>
    <t>サブリース収入+4</t>
  </si>
  <si>
    <t>Доход от субаренды + 4</t>
  </si>
  <si>
    <t>Ingresos por subarrendamiento + 4</t>
  </si>
  <si>
    <t>임대 이하 소득 + 4</t>
  </si>
  <si>
    <t>Renda de subarrendamento + 4</t>
  </si>
  <si>
    <t>转租收入+5</t>
  </si>
  <si>
    <t>轉租收入+5</t>
  </si>
  <si>
    <t>Revenu de sous-location + 5</t>
  </si>
  <si>
    <t>Erträge aus Untermietverhältnissen + 5</t>
  </si>
  <si>
    <t>Reddito da sublocazione+ 5</t>
  </si>
  <si>
    <t>サブリース収入+5</t>
  </si>
  <si>
    <t>Доход от субаренды + 5</t>
  </si>
  <si>
    <t>Ingresos por subarrendamiento + 5</t>
  </si>
  <si>
    <t>임대 이하 소득 + 5</t>
  </si>
  <si>
    <t>Renda de subarrendamento + 5</t>
  </si>
  <si>
    <t>未来五年转租收入</t>
  </si>
  <si>
    <t>未來五年轉租收入</t>
  </si>
  <si>
    <t>Revenus de sous-location, cinq prochaines années</t>
  </si>
  <si>
    <t>Erträge aus Untermietverhältnissen, nächste fünf Jahre</t>
  </si>
  <si>
    <t>Reddito da sublocazione, prossimi cinque anni</t>
  </si>
  <si>
    <t>サブリース収入、５年以内</t>
  </si>
  <si>
    <t>Доход от субаренды, следующие 5 лет</t>
  </si>
  <si>
    <t>Ingresos por subarrendamiento, próximos cinco años</t>
  </si>
  <si>
    <t>하위 임대 소득, 향후 5년</t>
  </si>
  <si>
    <t>Renda de subarrendamento, próximos cinco anos</t>
  </si>
  <si>
    <t>5年后转租收入</t>
  </si>
  <si>
    <t>5年後轉租收入</t>
  </si>
  <si>
    <t>Revenus de sous-locationAprès 5 ans</t>
  </si>
  <si>
    <t>Erträge aus Untermietverhältnissen nach 5 Jahren</t>
  </si>
  <si>
    <t>Reddito da sublocazione dopo 5 anni</t>
  </si>
  <si>
    <t>サブリース収入、５年後</t>
  </si>
  <si>
    <t>Доход от субаренды через 5 лет</t>
  </si>
  <si>
    <t>Ingresos por subarrendamiento después de 5 años</t>
  </si>
  <si>
    <t>5년 후 임대소득</t>
  </si>
  <si>
    <t>Renda de subarrendamento após 5 anos</t>
  </si>
  <si>
    <t>到期合同义务+1</t>
  </si>
  <si>
    <t>到期合同義務+1</t>
  </si>
  <si>
    <t>Obligations contractuelles dues +1</t>
  </si>
  <si>
    <t>Fällige Vertragliche Verpflichtungen +1</t>
  </si>
  <si>
    <t>Obbligazioni contrattuali in scadenza + 1</t>
  </si>
  <si>
    <t>契約支払義務+1</t>
  </si>
  <si>
    <t>Срок исполнения договорных обязательств +1</t>
  </si>
  <si>
    <t>Obligaciones contractuales adeudadas +1</t>
  </si>
  <si>
    <t>계약상 의무 +1</t>
  </si>
  <si>
    <t>Obrigações contratuais a vencer +1</t>
  </si>
  <si>
    <t>到期合同义务+2</t>
  </si>
  <si>
    <t>到期合同義務+2</t>
  </si>
  <si>
    <t>Obligations contractuelles dues + 2</t>
  </si>
  <si>
    <t>Fällige Vertragliche Verpflichtungen +2</t>
  </si>
  <si>
    <t>Obbligazioni contrattuali in scadenza + 2</t>
  </si>
  <si>
    <t>契約支払義務+2</t>
  </si>
  <si>
    <t>Срок исполнения договорных обязательств + 2</t>
  </si>
  <si>
    <t>Obligaciones contractuales vencidas + 2</t>
  </si>
  <si>
    <t>계약상 의무 + 2</t>
  </si>
  <si>
    <t>Obrigações contratuais a vencer + 2</t>
  </si>
  <si>
    <t>到期合同义务+3</t>
  </si>
  <si>
    <t>到期合同義務+3</t>
  </si>
  <si>
    <t>Obligations contractuelles dues + 3</t>
  </si>
  <si>
    <t>Fällige Vertragliche Verpflichtungen +3</t>
  </si>
  <si>
    <t>Obbligazioni contrattuali in scadenza + 3</t>
  </si>
  <si>
    <t>契約支払義務+3</t>
  </si>
  <si>
    <t>Срок исполнения договорных обязательств + 3</t>
  </si>
  <si>
    <t>Obligaciones contractuales vencidas + 3</t>
  </si>
  <si>
    <t>계약상 의무 + 3</t>
  </si>
  <si>
    <t>Obrigações contratuais a vencer + 3</t>
  </si>
  <si>
    <t>到期合同义务+4</t>
  </si>
  <si>
    <t>到期合同義務+4</t>
  </si>
  <si>
    <t>Obligations contractuelles dues + 4</t>
  </si>
  <si>
    <t>Fällige Vertragliche Verpflichtungen +4</t>
  </si>
  <si>
    <t>Obbligazioni contrattuali in scadenza + 4</t>
  </si>
  <si>
    <t>契約支払義務+4</t>
  </si>
  <si>
    <t>Срок исполнения договорных обязательств + 4</t>
  </si>
  <si>
    <t>Obligaciones contractuales vencidas + 4</t>
  </si>
  <si>
    <t>계약상 의무 + 4</t>
  </si>
  <si>
    <t>Obrigações contratuais a vencer + 4</t>
  </si>
  <si>
    <t>到期合同义务+5</t>
  </si>
  <si>
    <t>到期合同義務+5</t>
  </si>
  <si>
    <t>Obligations contractuelles dues + 5</t>
  </si>
  <si>
    <t>Fällige Vertragliche Verpflichtungen +5</t>
  </si>
  <si>
    <t>Obbligazioni contrattuali in scadenza + 5</t>
  </si>
  <si>
    <t>契約支払義務+5</t>
  </si>
  <si>
    <t>Срок исполнения договорных обязательств + 5</t>
  </si>
  <si>
    <t>Obligaciones contractuales vencidas + 5</t>
  </si>
  <si>
    <t>계약상 의무 + 5</t>
  </si>
  <si>
    <t>Obrigações contratuais a vencer + 5</t>
  </si>
  <si>
    <t>未来5年到期合同义务</t>
  </si>
  <si>
    <t>未來5年到期合同義務</t>
  </si>
  <si>
    <t>Obligations contractuelles dues, 5 prochaines années</t>
  </si>
  <si>
    <t>Fällige Vertragliche Verpflichtungen, nächste 5 Jahre</t>
  </si>
  <si>
    <t>Obbligazioni contrattuali in scadenza, prossimi 5 anni</t>
  </si>
  <si>
    <t>契約支払義務、５年以内</t>
  </si>
  <si>
    <t>Срок исполнения договорных обязательств, следующие 5 лет</t>
  </si>
  <si>
    <t>Obligaciones contractuales vencidas, próximos 5 años</t>
  </si>
  <si>
    <t>계약상 의무, 향후 5년</t>
  </si>
  <si>
    <t>Obrigações contratuais a vencer, próximos 5 anos</t>
  </si>
  <si>
    <t>5年后到期合同义务</t>
  </si>
  <si>
    <t>5年後到期合同義務</t>
  </si>
  <si>
    <t>Obligations contractuelles dues, après 5 ans</t>
  </si>
  <si>
    <t>Fällige Vertragliche Verpflichtungen, nach 5 Jahren</t>
  </si>
  <si>
    <t>Obbligazioni contrattuali in scadenza, dopo 5 anni</t>
  </si>
  <si>
    <t>契約支払義務、５年後</t>
  </si>
  <si>
    <t>Срок исполнения договорных обязательств через 5 лет</t>
  </si>
  <si>
    <t>Obligaciones contractuales vencidas, después de 5 años</t>
  </si>
  <si>
    <t>계약상 의무, 5년 이후</t>
  </si>
  <si>
    <t>Obrigações contratuais a vencer, após 5 anos</t>
  </si>
  <si>
    <t>合同义务总额</t>
  </si>
  <si>
    <t>合同義務總額</t>
  </si>
  <si>
    <t>Total des obligations contractuelles</t>
  </si>
  <si>
    <t>Gesamte vertragliche Verpflichtungen</t>
  </si>
  <si>
    <t>Totale obbligazioni contrattuali</t>
  </si>
  <si>
    <t>契約支払義務総額</t>
  </si>
  <si>
    <t>Всего договорных обязательств</t>
  </si>
  <si>
    <t>Obligaciones contractuales totales</t>
  </si>
  <si>
    <t>총 계약상의 의무</t>
  </si>
  <si>
    <t>Total de obrigações contratuais</t>
  </si>
  <si>
    <t>利率数据</t>
  </si>
  <si>
    <t>利率資料</t>
  </si>
  <si>
    <t>Données sur les taux d'intérêt</t>
  </si>
  <si>
    <t>Zinsdaten</t>
  </si>
  <si>
    <t>Dati tasso di interesse</t>
  </si>
  <si>
    <t>金利データ</t>
  </si>
  <si>
    <t>Данные по процентной ставке</t>
  </si>
  <si>
    <t>Datos de tipos de interés</t>
  </si>
  <si>
    <t>금리 데이터</t>
  </si>
  <si>
    <t>Dados de taxa de juros</t>
  </si>
  <si>
    <t>加权平均利率-长期债务</t>
  </si>
  <si>
    <t>加權平均利率-長期債務</t>
  </si>
  <si>
    <t>Taux d'intérêt moyen pondéré - Dette à long terme</t>
  </si>
  <si>
    <t>Gewichteter Durchschnittszinssatz - langfristige Schulden</t>
  </si>
  <si>
    <t>Con media Tasso di interesse - debito a lungo termine</t>
  </si>
  <si>
    <t>加重平均金利 - 長期有利子負債</t>
  </si>
  <si>
    <t>Средневзвешенная процентная ставка - долгосрочный долг</t>
  </si>
  <si>
    <t>Promedio ponderado tasa de interés - Deuda a largo plazo</t>
  </si>
  <si>
    <t>W/Avg. 금리 - 장기 부채</t>
  </si>
  <si>
    <t>Taxa de juros média ponderada - dívida de longo prazo</t>
  </si>
  <si>
    <t>加权平均利率-总债务</t>
  </si>
  <si>
    <t>加權平均利率-總債務</t>
  </si>
  <si>
    <t>Taux d'intérêt moyen pondéré - Dette totale</t>
  </si>
  <si>
    <t>Gewichteter Durchschnittszinssatz - Gesamtverschuldung</t>
  </si>
  <si>
    <t>Con media Tasso di interesse - debito totale</t>
  </si>
  <si>
    <t>加重平均金利 - 有利子負債総額</t>
  </si>
  <si>
    <t>Средневзвешенная процентная ставка - общий долг</t>
  </si>
  <si>
    <t>Promedio ponderado tasa de interés - Deuda total</t>
  </si>
  <si>
    <t>W/평균 금리 - 총 부채</t>
  </si>
  <si>
    <t>Taxa de juros média ponderada - dívida total</t>
  </si>
  <si>
    <t>平均利率+1</t>
  </si>
  <si>
    <t>Taux d'intérêt moyen + 1</t>
  </si>
  <si>
    <t>Durchschnittlicher Zinssatz + 1</t>
  </si>
  <si>
    <t>Media Tasso di interesse + 1</t>
  </si>
  <si>
    <t>平均金利+1</t>
  </si>
  <si>
    <t>Средняя процентная ставка + 1</t>
  </si>
  <si>
    <t>Promedio Tasa de interés + 1</t>
  </si>
  <si>
    <t>평균 금리 + 1</t>
  </si>
  <si>
    <t>Taxa de juros média + 1</t>
  </si>
  <si>
    <t>平均利率+2</t>
  </si>
  <si>
    <t>Taux d'intérêt moyen + 2</t>
  </si>
  <si>
    <t>Durchschnittlicher Zinssatz + 2</t>
  </si>
  <si>
    <t>Media Tasso di interesse + 2</t>
  </si>
  <si>
    <t>平均金利+2</t>
  </si>
  <si>
    <t>Средняя процентная ставка + 2</t>
  </si>
  <si>
    <t>Promedio Tasa de interés + 2</t>
  </si>
  <si>
    <t>평균 금리 + 2</t>
  </si>
  <si>
    <t>Taxa de juros média + 2</t>
  </si>
  <si>
    <t>平均利率+3</t>
  </si>
  <si>
    <t>Taux d'intérêt moyen + 3</t>
  </si>
  <si>
    <t>Durchschnittlicher Zinssatz + 3</t>
  </si>
  <si>
    <t>Media Tasso di interesse + 3</t>
  </si>
  <si>
    <t>平均金利+3</t>
  </si>
  <si>
    <t>Средняя процентная ставка + 3</t>
  </si>
  <si>
    <t>Promedio Tasa de interés + 3</t>
  </si>
  <si>
    <t>평균 금리 + 3</t>
  </si>
  <si>
    <t>Taxa de juros média + 3</t>
  </si>
  <si>
    <t>平均利率+4</t>
  </si>
  <si>
    <t>Taux d'intérêt moyen + 4</t>
  </si>
  <si>
    <t>Durchschnittlicher Zinssatz + 4</t>
  </si>
  <si>
    <t>Media Tasso di interesse + 4</t>
  </si>
  <si>
    <t>平均金利+4</t>
  </si>
  <si>
    <t>Средняя процентная ставка + 4</t>
  </si>
  <si>
    <t>Promedio Tasa de interés + 4</t>
  </si>
  <si>
    <t>평균 금리 + 4</t>
  </si>
  <si>
    <t>Taxa de juros média + 4</t>
  </si>
  <si>
    <t>平均利率+5</t>
  </si>
  <si>
    <t>Taux d'intérêt moyen + 5</t>
  </si>
  <si>
    <t>Durchschnittlicher Zinssatz + 5</t>
  </si>
  <si>
    <t>Media Tasso di interesse + 5</t>
  </si>
  <si>
    <t>平均金利+5</t>
  </si>
  <si>
    <t>Средняя процентная ставка + 5</t>
  </si>
  <si>
    <t>Promedio Tasa de interés + 5</t>
  </si>
  <si>
    <t>평균 금리 + 5</t>
  </si>
  <si>
    <t>Taxa de juros média + 5</t>
  </si>
  <si>
    <t>5年后平均利率</t>
  </si>
  <si>
    <t>5年後平均利率</t>
  </si>
  <si>
    <t>Taux d'intérêt moyen, après 5 ans</t>
  </si>
  <si>
    <t>Durchschnittlicher Zinssatz nach 5 Jahren</t>
  </si>
  <si>
    <t>Media Tasso di interesse, dopo 5 anni</t>
  </si>
  <si>
    <t>平均金利、５年後</t>
  </si>
  <si>
    <t>Средняя процентная ставка через 5 лет</t>
  </si>
  <si>
    <t>Promedio Tasa de interés, después de 5 años</t>
  </si>
  <si>
    <t>평균 금리, 5년 후</t>
  </si>
  <si>
    <t>Taxa de juros média, após 5 anos</t>
  </si>
  <si>
    <t>可转换</t>
  </si>
  <si>
    <t>可轉換</t>
  </si>
  <si>
    <t>Umwandelbar</t>
  </si>
  <si>
    <t>Convertibile</t>
  </si>
  <si>
    <t>転換</t>
  </si>
  <si>
    <t>Конвертируем.</t>
  </si>
  <si>
    <t>전환</t>
  </si>
  <si>
    <t>Conversível</t>
  </si>
  <si>
    <t>还款</t>
  </si>
  <si>
    <t>還款</t>
  </si>
  <si>
    <t>Remboursement</t>
  </si>
  <si>
    <t>Rückzahlung</t>
  </si>
  <si>
    <t>Rimborso</t>
  </si>
  <si>
    <t>支払</t>
  </si>
  <si>
    <t>Погашение</t>
  </si>
  <si>
    <t>Reembolso</t>
  </si>
  <si>
    <t>상환</t>
  </si>
  <si>
    <t>本金</t>
  </si>
  <si>
    <t>Principal dû</t>
  </si>
  <si>
    <t>Hauptschuldner</t>
  </si>
  <si>
    <t>Capitale dovuto</t>
  </si>
  <si>
    <t>満期元本総額</t>
  </si>
  <si>
    <t>Основной долг</t>
  </si>
  <si>
    <t>Principal debido</t>
  </si>
  <si>
    <t>납부 원금</t>
  </si>
  <si>
    <t>Principal a vencer</t>
  </si>
  <si>
    <t>票息/基本利率</t>
  </si>
  <si>
    <t>Coupon / Taux de base</t>
  </si>
  <si>
    <t>Gutschein/Basispreis</t>
  </si>
  <si>
    <t>Cedola/tasso di base</t>
  </si>
  <si>
    <t>クーポン/基準金利</t>
  </si>
  <si>
    <t>Купонная ставка/Базовая ставка</t>
  </si>
  <si>
    <t>Cupón / Tarifa base</t>
  </si>
  <si>
    <t>쿠폰/기본 요금</t>
  </si>
  <si>
    <t>Cupom / taxa básica</t>
  </si>
  <si>
    <t>浮动利率</t>
  </si>
  <si>
    <t>浮動利率</t>
  </si>
  <si>
    <t>Taux d'intérêt variable</t>
  </si>
  <si>
    <t>Variabler Zinssatz</t>
  </si>
  <si>
    <t>Tasso variabile</t>
  </si>
  <si>
    <t>変動金利</t>
  </si>
  <si>
    <t>Плавающая ставка</t>
  </si>
  <si>
    <t>Tipo de interés variable</t>
  </si>
  <si>
    <t>변동 금리</t>
  </si>
  <si>
    <t>Taxa pós-fixada</t>
  </si>
  <si>
    <t>息票类型</t>
  </si>
  <si>
    <t>息票類型</t>
  </si>
  <si>
    <t>Type de coupon</t>
  </si>
  <si>
    <t>Coupontyp</t>
  </si>
  <si>
    <t>Tipo di cedola</t>
  </si>
  <si>
    <t>クーポン・タイプ</t>
  </si>
  <si>
    <t>Тип купона</t>
  </si>
  <si>
    <t>Tipo de cupón</t>
  </si>
  <si>
    <t>쿠폰 유형</t>
  </si>
  <si>
    <t>Tipo de cupom</t>
  </si>
  <si>
    <t>到期日</t>
  </si>
  <si>
    <t>Maturité</t>
  </si>
  <si>
    <t>Fälligkeit</t>
  </si>
  <si>
    <t>Scadenza</t>
  </si>
  <si>
    <t>満期</t>
  </si>
  <si>
    <t>Срок погашения</t>
  </si>
  <si>
    <t>Madurez</t>
  </si>
  <si>
    <t>성숙</t>
  </si>
  <si>
    <t>Vencimento</t>
  </si>
  <si>
    <t>担保</t>
  </si>
  <si>
    <t>擔保</t>
  </si>
  <si>
    <t>Assuré</t>
  </si>
  <si>
    <t>Gesichert</t>
  </si>
  <si>
    <t>Garantito</t>
  </si>
  <si>
    <t>担保付</t>
  </si>
  <si>
    <t>Обеспеченн.</t>
  </si>
  <si>
    <t>Asegurado</t>
  </si>
  <si>
    <t>보안</t>
  </si>
  <si>
    <t>Com garantia</t>
  </si>
  <si>
    <t>两年复合年均增长率</t>
  </si>
  <si>
    <t>兩年複合年均增長率</t>
  </si>
  <si>
    <t>Taux de croissance annuel composé sur deux ans</t>
  </si>
  <si>
    <t>Zusammengesetzte jährliche Wachstumsrate über zwei Jahre</t>
  </si>
  <si>
    <t>Tasso di crescita annuale composto su due anni</t>
  </si>
  <si>
    <t>２年平均成長率</t>
  </si>
  <si>
    <t>Совокупный годовой темп роста, более 2 лет</t>
  </si>
  <si>
    <t>Tasa de crecimiento anual compuesta durante dos años</t>
  </si>
  <si>
    <t>지난 2년간 연평균 성장률</t>
  </si>
  <si>
    <t>Taxa composta de crescimento anual em dois anos</t>
  </si>
  <si>
    <t>三年复合年均增长率</t>
  </si>
  <si>
    <t>三年複合年均增長率</t>
  </si>
  <si>
    <t>Taux de croissance annuel composé sur trois ans</t>
  </si>
  <si>
    <t>Zusammengesetzte jährliche Wachstumsrate über drei Jahre</t>
  </si>
  <si>
    <t>Tasso di crescita annuale composto su tre anni</t>
  </si>
  <si>
    <t>３年平均成長率</t>
  </si>
  <si>
    <t>Совокупный годовой темп роста, более 3 лет</t>
  </si>
  <si>
    <t>Tasa de crecimiento anual compuesta durante tres años</t>
  </si>
  <si>
    <t>지난 3년간 연평균 성장률</t>
  </si>
  <si>
    <t>Taxa composta de crescimento anual em três anos</t>
  </si>
  <si>
    <t>五年复合年均增长率</t>
  </si>
  <si>
    <t>五年複合年均增長率</t>
  </si>
  <si>
    <t>Taux de croissance annuel composé sur cinq ans</t>
  </si>
  <si>
    <t>Zusammengesetzte jährliche Wachstumsrate über fünf Jahre</t>
  </si>
  <si>
    <t>Tasso di crescita annuale composto su cinque anni</t>
  </si>
  <si>
    <t>５年平均成長率</t>
  </si>
  <si>
    <t>Совокупный годовой темп роста, более 5 лет</t>
  </si>
  <si>
    <t>Tasa de crecimiento anual compuesta durante cinco años</t>
  </si>
  <si>
    <t>지난 5년간 연평균 성장률</t>
  </si>
  <si>
    <t>Taxa composta de crescimento anual em cinco anos</t>
  </si>
  <si>
    <t>长期电影合同和广播权</t>
  </si>
  <si>
    <t>長期電影合同和廣播權</t>
  </si>
  <si>
    <t>Contrat à long terme pour les films et droits de diffusion</t>
  </si>
  <si>
    <t>Langfristiger Filmvertrag und Übertragungsrechte</t>
  </si>
  <si>
    <t>Contratto cinematografico a lungo termine e diritti di trasmissione</t>
  </si>
  <si>
    <t>長期映画契約及び放送権</t>
  </si>
  <si>
    <t>Долгосрочный контракт на фильм и права на показ</t>
  </si>
  <si>
    <t>Contrato de películas a largo plazo y derechos de transmisión</t>
  </si>
  <si>
    <t>장기 영화 계약 및 방송 권리</t>
  </si>
  <si>
    <t>Contrato de filme e direitos de transmissão de longo prazo</t>
  </si>
  <si>
    <t>资产管理规模-固定收益</t>
  </si>
  <si>
    <t>資產管理規模-固定收益</t>
  </si>
  <si>
    <t>Actifs sous gestion - Revenu fixe</t>
  </si>
  <si>
    <t>Verwaltetes Vermögen - Festverzinsliche Wertpapiere</t>
  </si>
  <si>
    <t>Attività gestite - reddito fisso</t>
  </si>
  <si>
    <t>運用資産 - 債券</t>
  </si>
  <si>
    <t>Активы под управлением - фиксированный доход</t>
  </si>
  <si>
    <t>Activos bajo gestión - Renta fija</t>
  </si>
  <si>
    <t>운용 자산 - 고정 수익</t>
  </si>
  <si>
    <t>Ativos sob gestão - Renda fixa</t>
  </si>
  <si>
    <t>年初未行使的期权</t>
  </si>
  <si>
    <t>年初未行使的期權</t>
  </si>
  <si>
    <t>Les options sont épuisées. au début de l'année</t>
  </si>
  <si>
    <t>Am Beginn des Jahres herausragende Optionen</t>
  </si>
  <si>
    <t>Opzioni in circol. all'inizio dell'anno</t>
  </si>
  <si>
    <t>年始時点の発行済オプション</t>
  </si>
  <si>
    <t>Опционы в обращении на начало года</t>
  </si>
  <si>
    <t>Opciones fuera. a principios de año</t>
  </si>
  <si>
    <t>연초 옵션 결과</t>
  </si>
  <si>
    <t>Opções em circulação no início do ano</t>
  </si>
  <si>
    <t>年内授予的期权</t>
  </si>
  <si>
    <t>年內授予的期權</t>
  </si>
  <si>
    <t>Options attribuées au cours de l'année</t>
  </si>
  <si>
    <t>Im Laufe des Jahres gewährte Optionen</t>
  </si>
  <si>
    <t>Opzioni concesse durante l'anno</t>
  </si>
  <si>
    <t>年内のオプション付与</t>
  </si>
  <si>
    <t>Опционы, предоставленные в течение года</t>
  </si>
  <si>
    <t>Opciones otorgadas durante el año</t>
  </si>
  <si>
    <t>한 해 동안 부여된 옵션</t>
  </si>
  <si>
    <t>Opções concedidas durante o ano</t>
  </si>
  <si>
    <t>年内行使的期权</t>
  </si>
  <si>
    <t>年內行使的期權</t>
  </si>
  <si>
    <t>Options exercées au cours de l'année</t>
  </si>
  <si>
    <t>Im Laufe des Jahres ausgeübte Optionen</t>
  </si>
  <si>
    <t>Opzioni esercitate durante l'anno</t>
  </si>
  <si>
    <t>年内のオプション行使</t>
  </si>
  <si>
    <t>Опционы, исполненные в течение года</t>
  </si>
  <si>
    <t>Opciones ejercidas durante el año</t>
  </si>
  <si>
    <t>한 해 동안 행사한 옵션</t>
  </si>
  <si>
    <t>Opções exercidas durante o ano</t>
  </si>
  <si>
    <t>年内注销的期权</t>
  </si>
  <si>
    <t>年內注銷的期權</t>
  </si>
  <si>
    <t>Options annulées en cours d'année</t>
  </si>
  <si>
    <t>Im Laufe des Jahres stornierte Optionen</t>
  </si>
  <si>
    <t>Opzioni annullate durante l'anno</t>
  </si>
  <si>
    <t>年内のオプション取消</t>
  </si>
  <si>
    <t>Опционы, отмененные в течение года</t>
  </si>
  <si>
    <t>Opciones canceladas durante el año</t>
  </si>
  <si>
    <t>한 해 동안 취소된 옵션</t>
  </si>
  <si>
    <t>Opções canceladas durante o ano</t>
  </si>
  <si>
    <t>年末未行使的期权</t>
  </si>
  <si>
    <t>年末未行使的期權</t>
  </si>
  <si>
    <t>Options désactivées. A la fin de l'année</t>
  </si>
  <si>
    <t>Am Ende des Jahres ausstehende Optionen</t>
  </si>
  <si>
    <t>Opzioni in circol. alla fine dell'anno</t>
  </si>
  <si>
    <t>年末時点の発行済オプション</t>
  </si>
  <si>
    <t>Опционы в обращении на конец года</t>
  </si>
  <si>
    <t>Opciones fuera. Al final del año</t>
  </si>
  <si>
    <t>연말 옵션 결과</t>
  </si>
  <si>
    <t>Opções em circulação no final do ano</t>
  </si>
  <si>
    <t>期末可行使的期权</t>
  </si>
  <si>
    <t>期末可行使的期權</t>
  </si>
  <si>
    <t>Options exerçables à la fin de la période</t>
  </si>
  <si>
    <t>Am Ende der Periode ausübbare Optionen</t>
  </si>
  <si>
    <t>Opzioni esercitabili alla fine del periodo</t>
  </si>
  <si>
    <t>年末時点の行使可能なオプション</t>
  </si>
  <si>
    <t>Опционы, подлежащие исполнению в конце периода</t>
  </si>
  <si>
    <t>Opciones ejercitables al final del período</t>
  </si>
  <si>
    <t>기간 종료 시 행사 가능한 옵션</t>
  </si>
  <si>
    <t>Opções Exercíveis no Final do Período</t>
  </si>
  <si>
    <t>期初未行使期权的加权平均行权价</t>
  </si>
  <si>
    <t>期初平均未行使價的期權</t>
  </si>
  <si>
    <t>Prix d'exercice moyen pondéré des options en circulation au début de la période</t>
  </si>
  <si>
    <t>Am Beginn der Periode gewichteter durchschnittlicher Ausübungspreis von ausstehenden Optionen</t>
  </si>
  <si>
    <t>Opzioni con media Prezzo di esercizio in circol. all'inizio del periodo</t>
  </si>
  <si>
    <t>年始時点の加重平均オプション行使価格</t>
  </si>
  <si>
    <t>Средневзвешенная цена исполнения опционов в обращении на начало периода</t>
  </si>
  <si>
    <t>Precio de ejercicio medio ponderado de las opciones en circulacion al comienzo del período</t>
  </si>
  <si>
    <t>기간 시작 시 옵션 W/평균 행사 가격</t>
  </si>
  <si>
    <t>授予期权的加权平均行权价</t>
  </si>
  <si>
    <t>授予期權的加權平均行權價</t>
  </si>
  <si>
    <t>Prix d'exercice moyen pondéré des options dans l'attribution</t>
  </si>
  <si>
    <t>Gewichteter durchschnittlicher Ausübungspreis von gewährten Optionen</t>
  </si>
  <si>
    <t>Opzioni con prezzo di esercizio medio di concesse</t>
  </si>
  <si>
    <t>加重平均付与オプション行使価格</t>
  </si>
  <si>
    <t xml:space="preserve">Средневзвешенная цена исполнения опционов выданных </t>
  </si>
  <si>
    <t>Precio de ejercicio medio ponderado de las opciones de la concesión</t>
  </si>
  <si>
    <t>부여된 옵션 W/평균 행사 가격</t>
  </si>
  <si>
    <t>Média ponderada do preço de exercício de opções concedidas</t>
  </si>
  <si>
    <t>行使期权的加权平均行权价</t>
  </si>
  <si>
    <t>行使期權的加權平均行權價</t>
  </si>
  <si>
    <t>Prix d'exercice moyen pondéré des options dans la</t>
  </si>
  <si>
    <t>Gewichteter durchschnittlicher Ausübungspreis von ausgeübten Optionen</t>
  </si>
  <si>
    <t>Opzioni con media prezzo di esercizio di esercitate</t>
  </si>
  <si>
    <t>加重平均行使オプション行使価格</t>
  </si>
  <si>
    <t>Средневзвешенная цена исполнения опционов исполненных</t>
  </si>
  <si>
    <t>Precio de ejercicio medio ponderado de las opciones de las</t>
  </si>
  <si>
    <t>행사한 옵션 W/평균 행사 가격</t>
  </si>
  <si>
    <t>Média ponderada do preço de exercício de opções exercidas</t>
  </si>
  <si>
    <t>注销期权的加权平均行权价</t>
  </si>
  <si>
    <t>注銷期權的加權平均行權價</t>
  </si>
  <si>
    <t>Prix d'exercice moyen pondéré des options d'annulation</t>
  </si>
  <si>
    <t>Gewichteter durchschnittlicher Ausübungspreis von stornierten Optionen</t>
  </si>
  <si>
    <t>Opzioni con media prezzo di esercizio di annullate</t>
  </si>
  <si>
    <t>加重平均取消オプション行使価格</t>
  </si>
  <si>
    <t xml:space="preserve">Средневзвешенная цена исполнения опционов отмененных </t>
  </si>
  <si>
    <t>Precio de ejercicio medio ponderado de opciones de canceladas</t>
  </si>
  <si>
    <t>취소된 옵션 W/평균 행사 가격</t>
  </si>
  <si>
    <t>Média ponderada do preço de exercício de opções canceladas</t>
  </si>
  <si>
    <t>未行使期权的加权平均行权价</t>
  </si>
  <si>
    <t>未行使期權的加權平均行權價</t>
  </si>
  <si>
    <t>Prix d'exercice moyen pondéré des options</t>
  </si>
  <si>
    <t>Gewichteter durchschnittlicher Ausübungspreis von ausstehenden Optionen</t>
  </si>
  <si>
    <t>Opzioni con media prezzo di esercizio di circol.</t>
  </si>
  <si>
    <t>加重平均発行済オプション行使価格</t>
  </si>
  <si>
    <t xml:space="preserve">Средневзвешенная цена исполнения опционов в обращении </t>
  </si>
  <si>
    <t>Precio de ejercicio medio ponderado de las opciones.</t>
  </si>
  <si>
    <t>옵션 W/평균 행사 가격 결과</t>
  </si>
  <si>
    <t>Média ponderada do preço de exercício de opções em circulação</t>
  </si>
  <si>
    <t>可行使期权的加权平均行权价</t>
  </si>
  <si>
    <t>可行使期權的加權平均行權價</t>
  </si>
  <si>
    <t>Gewichteter durchschnittlicher Ausübungspreis von ausübbaren Optionen</t>
  </si>
  <si>
    <t>Opzioni con media prezzo di esercizio di esercitabili</t>
  </si>
  <si>
    <t>加重平均行使可能オプション行使価格</t>
  </si>
  <si>
    <t xml:space="preserve">Средневзвешенная цена исполнения опционов к исполнению </t>
  </si>
  <si>
    <t>Precio de ejercicio promedio ponderado de opciones de ejercitables</t>
  </si>
  <si>
    <t>행사 가능 옵션 W/평균 행사 가격</t>
  </si>
  <si>
    <t>Média ponderada do preço de exercício de opções exercíveis</t>
  </si>
  <si>
    <t>年初未行使期权-A类</t>
  </si>
  <si>
    <t>年初未行使期權-A類</t>
  </si>
  <si>
    <t>Options en suspens au début de l'année - Classe A</t>
  </si>
  <si>
    <t>Am Beginn des Jahres ausstehende Optionen - Klasse A.</t>
  </si>
  <si>
    <t>Opzioni in circol. all'inizio dell'anno - classe A</t>
  </si>
  <si>
    <t>年始時点の発行済オプション - クラスA</t>
  </si>
  <si>
    <t>Опционы в обращении на начало года - Класс А</t>
  </si>
  <si>
    <t>Opciones pendientes al comienzo del año - Clase A</t>
  </si>
  <si>
    <t>연초 옵션 결과 - A등급</t>
  </si>
  <si>
    <t>Opções em circulação no início do ano - classe A</t>
  </si>
  <si>
    <t>年内授予的期权-A类</t>
  </si>
  <si>
    <t>年內授予的期權-A類</t>
  </si>
  <si>
    <t>Options attribuées au cours de l'année - Classe A</t>
  </si>
  <si>
    <t>Während des Jahres gewährte Optionen - Klasse A.</t>
  </si>
  <si>
    <t>Opzioni concesse durante l'anno - classe A</t>
  </si>
  <si>
    <t>年内のオプション付与 - クラスA</t>
  </si>
  <si>
    <t>Опционы, выданные в течение года - Класс А</t>
  </si>
  <si>
    <t>Opciones otorgadas durante el año - Clase A</t>
  </si>
  <si>
    <t>연중 부여된 옵션 - A등급</t>
  </si>
  <si>
    <t>Opções concedidas durante o ano - Classe A</t>
  </si>
  <si>
    <t>年内行使的期权-A类</t>
  </si>
  <si>
    <t>年內行使的期權-A類</t>
  </si>
  <si>
    <t>Options exercées au cours de l'année - Classe A</t>
  </si>
  <si>
    <t>Während des Jahres ausgeübte Optionen - Klasse A.</t>
  </si>
  <si>
    <t>Opzioni esercitate durante l'anno - classe A</t>
  </si>
  <si>
    <t>年内のオプション行使 - クラスA</t>
  </si>
  <si>
    <t>Опционы, исполненные в течение года - Класс A</t>
  </si>
  <si>
    <t>Opciones ejercidas durante el año - Clase A</t>
  </si>
  <si>
    <t>연중 행사한 옵션 - A등급</t>
  </si>
  <si>
    <t>Opções exercidas durante o ano - Classe A</t>
  </si>
  <si>
    <t>年内注销的期权-A类</t>
  </si>
  <si>
    <t>年內注銷的期權-A類</t>
  </si>
  <si>
    <t>Options annulées en cours d'année - Classe A</t>
  </si>
  <si>
    <t>Im Laufe des Jahres stornierte Optionen - Klasse A.</t>
  </si>
  <si>
    <t>Opzioni annullate durante l'anno - classe A</t>
  </si>
  <si>
    <t>年内のオプション取消 - クラスA</t>
  </si>
  <si>
    <t>Опционы, отмененные в течение года - Класс A</t>
  </si>
  <si>
    <t>Opciones canceladas durante el año - Clase A</t>
  </si>
  <si>
    <t>연중 취소된 옵션 - A등급</t>
  </si>
  <si>
    <t>Opções canceladas durante o ano - Classe A</t>
  </si>
  <si>
    <t>年末未行使的期权-A类</t>
  </si>
  <si>
    <t>年末未行使的期權-A類</t>
  </si>
  <si>
    <t>Options en circulation à la fin de l'année - Classe A</t>
  </si>
  <si>
    <t>Ausstehende Optionen am Jahresende - Klasse A.</t>
  </si>
  <si>
    <t>Opzioni in circol. alla fine dell'anno - classe A</t>
  </si>
  <si>
    <t>年末時点の発行済オプション - クラスA</t>
  </si>
  <si>
    <t>Опционы в обращении на конец года - Класс А</t>
  </si>
  <si>
    <t>Opciones en circulacion al final del año - Clase A</t>
  </si>
  <si>
    <t>연말 옵션 결과 - A등급</t>
  </si>
  <si>
    <t>Opções em circulação no final do ano - classe A</t>
  </si>
  <si>
    <t>期末可行使的期权-A类</t>
  </si>
  <si>
    <t>期末可行使的期權-A類</t>
  </si>
  <si>
    <t>Options exerçables à la fin de la période - Classe A</t>
  </si>
  <si>
    <t>Am Ende der Periode ausübbare Optionen - Klasse A.</t>
  </si>
  <si>
    <t>Opzioni esercitabili a fine periodo - classe A</t>
  </si>
  <si>
    <t>年末時点の行使可能なオプション - クラスA</t>
  </si>
  <si>
    <t>Опционы к исполнению в конце периода - Класс A</t>
  </si>
  <si>
    <t>Opciones ejercitables al final del período - Clase A</t>
  </si>
  <si>
    <t>기간 종료 시 행사 가능 옵션 - A등급</t>
  </si>
  <si>
    <t>Opções Exercíveis no Final do Período - Classe A</t>
  </si>
  <si>
    <t>期初未行使期权的加权平均行权价-A类</t>
  </si>
  <si>
    <t>期初未行使期權的加權平均行權價-A類</t>
  </si>
  <si>
    <t>Options moyennes pondérées Prix de départ au début de la période - Classe A</t>
  </si>
  <si>
    <t>Gewichtete durchschnittliche Anzahl von Optionen Ausübungspreis von ausstehende Optionen zu Beginn der Periode - Klasse A.</t>
  </si>
  <si>
    <t>Opzioni con media prezzo di esercizio in circol. all'inizio del periodo - classe A</t>
  </si>
  <si>
    <t>年始時点の加重平均オプション行使価格 - クラスA</t>
  </si>
  <si>
    <t>Средневзвешенная цена исполнения опционов в обращении на начало периода - Класс А</t>
  </si>
  <si>
    <t>Opciones promedio ponderado Precio de salida al principio del período - Clase A</t>
  </si>
  <si>
    <t>기간 시작 시 옵션 W/평균 행사 가격 - A등급</t>
  </si>
  <si>
    <t>Média ponderada do preço de exercício de opções em circulação no início do período - Classe A</t>
  </si>
  <si>
    <t>授予期权的加权平均行权价-A类</t>
  </si>
  <si>
    <t>授予期權的加權平均行權價-A類</t>
  </si>
  <si>
    <t>Options moyennes pondérées avec un prix d'exercice de l'attribution - Classe A</t>
  </si>
  <si>
    <t>Gewichteter durchschnittlicher Ausübungspreis der gewährten Optionen - Klasse A.</t>
  </si>
  <si>
    <t>Opzioni con media prezzo di esercizio di concesse - classe A</t>
  </si>
  <si>
    <t>加重平均付与オプション行使価格 - クラスA</t>
  </si>
  <si>
    <t>Средневзвешенная цена исполнения опционов выданных - Класс А</t>
  </si>
  <si>
    <t>Opciones promedio ponderado con un precio de ejercicio de la concesión - Clase A</t>
  </si>
  <si>
    <t>부여된 옵션 W/평균 행사 가격 - A등급</t>
  </si>
  <si>
    <t>Média ponderada do preço de exercício de opções concedidas - Classe A</t>
  </si>
  <si>
    <t>行使期权的加权平均行权价-A类</t>
  </si>
  <si>
    <t>行使期權的加權平均行權價-A類</t>
  </si>
  <si>
    <t>Options moyennes pondérées Prix d'exercice - Classe A</t>
  </si>
  <si>
    <t>Gewichtete durchschnittliche Anzahl von Optionen Ausübungspreis der ausgeübten Optionen - Klasse A.</t>
  </si>
  <si>
    <t>Opzioni con media prezzo di esercizio di esercitate - classe A</t>
  </si>
  <si>
    <t>加重平均行使オプション行使価格 - クラスA</t>
  </si>
  <si>
    <t>Средневзвешенная цена исполнения опционов исполненных - Класс А</t>
  </si>
  <si>
    <t>Opciones promedio ponderado Precio de ejercicio - Clase A</t>
  </si>
  <si>
    <t>행사한 옵션 W/평균 행사 가격 - A등급</t>
  </si>
  <si>
    <t>Média ponderada do preço de exercício de opções exercidas - Classe A</t>
  </si>
  <si>
    <t>注销期权的加权平均行权价-A类</t>
  </si>
  <si>
    <t>注銷期權的加權平均行權價-A類</t>
  </si>
  <si>
    <t>Options moyennes pondérées Prix d'exercice annulé - Classe A</t>
  </si>
  <si>
    <t>Gewichtete durchschnittliche Anzahl von Optionen Ausübungspreis für stornierte Optionen - Klasse A.</t>
  </si>
  <si>
    <t>Opzioni con media prezzo di esercizio di annullate - classe A</t>
  </si>
  <si>
    <t>加重平均取消オプション行使価格 - クラスA</t>
  </si>
  <si>
    <t>Средневзвешенная цена исполнения опционов отмененных - Класс А</t>
  </si>
  <si>
    <t>Opciones promedio ponderado Precio de ejercicio cancelado - Clase A</t>
  </si>
  <si>
    <t>취소된 옵션 W/평균 행사 가격 - A등급</t>
  </si>
  <si>
    <t>Média ponderada do preço de exercício de opções canceladas - Classe A</t>
  </si>
  <si>
    <t>未行使期权的加权平均行权价-A类</t>
  </si>
  <si>
    <t>未行使期權的加權平均行權價-A類</t>
  </si>
  <si>
    <t>Options moyennes pondérées Prix d'exercice en circulation - Classe A</t>
  </si>
  <si>
    <t>Gewichtete durchschnittliche Anzahl von Optionen Ausübungspreis für ausstehende Optionen - Klasse A.</t>
  </si>
  <si>
    <t>Opzioni con media prezzo di esercizio di circol. - classe A</t>
  </si>
  <si>
    <t>加重平均発行済オプション行使価格 - クラスA</t>
  </si>
  <si>
    <t>Средневзвешенная цена исполнения опционов в обращении - Класс А</t>
  </si>
  <si>
    <t>Opciones promedio ponderado Precio de ejercicio en circulacion - Clase A</t>
  </si>
  <si>
    <t>옵션 W/평균 행사 가격 결과 - A등급</t>
  </si>
  <si>
    <t>Média ponderada do preço de exercício de opções em circulação - Classe A</t>
  </si>
  <si>
    <t>可行使期权的加权平均行权价-A类</t>
  </si>
  <si>
    <t>可行使期權的加權平均行權價-A類</t>
  </si>
  <si>
    <t>Gewichtete durchschnittliche Anzahl von Optionen Ausübungspreis der ausübbaren Optionen - Klasse A.</t>
  </si>
  <si>
    <t>Opzioni con media prezzo di esercizio di esercitabili - classe A</t>
  </si>
  <si>
    <t>加重平均行使可能オプション行使価格 - クラスA</t>
  </si>
  <si>
    <t xml:space="preserve">Средневзвешенная цена исполнения опционов к исполнению - Класс А </t>
  </si>
  <si>
    <t>행사 가능 옵션 W/평균 행사 가격 - A등급</t>
  </si>
  <si>
    <t>Média ponderada do preço de exercício de opções exercíveis - Classe A</t>
  </si>
  <si>
    <t>年初未行使期权-其他</t>
  </si>
  <si>
    <t>年初未行使期權-其他</t>
  </si>
  <si>
    <t>Options en circulation au début de l'année - Autres</t>
  </si>
  <si>
    <t>Austehende Optionen am Jahresanfang - Sonstige</t>
  </si>
  <si>
    <t>Opzioni in circol. all'inizio dell'anno - altro</t>
  </si>
  <si>
    <t>年始時点の発行済オプション - その他</t>
  </si>
  <si>
    <t>Опционы в обращении на начало года - Прочие</t>
  </si>
  <si>
    <t>Opciones en circulacion a principios de año - Otros</t>
  </si>
  <si>
    <t>연초 옵션 결과 - 기타</t>
  </si>
  <si>
    <t>Opções em circulação no início do ano - outros</t>
  </si>
  <si>
    <t>年内授予的期权-其他</t>
  </si>
  <si>
    <t>年內授予的期權-其他</t>
  </si>
  <si>
    <t>Options attribuées au cours de l'année - Autres</t>
  </si>
  <si>
    <t>Im Laufe des Jahres gewährte Optionen - Sonstige</t>
  </si>
  <si>
    <t>Opzioni concesse durante l'anno - altro</t>
  </si>
  <si>
    <t>年内のオプション付与 - その他</t>
  </si>
  <si>
    <t>Опционы, выданные в течение года - Прочие</t>
  </si>
  <si>
    <t>Opciones concedidas durante el año - Otros</t>
  </si>
  <si>
    <t>연중 부여된 옵션 - 기타</t>
  </si>
  <si>
    <t>Opções concedidas durante o ano - outros</t>
  </si>
  <si>
    <t>年内行使的期权-其他</t>
  </si>
  <si>
    <t>年內行使的期權-其他</t>
  </si>
  <si>
    <t>Options exercées au cours de l'année - Autres</t>
  </si>
  <si>
    <t>Im Laufe des Jahres ausgeübte Optionen - Sonstige</t>
  </si>
  <si>
    <t>Opzioni esercitate durante l'anno - altro</t>
  </si>
  <si>
    <t>年内のオプション行使 - その他</t>
  </si>
  <si>
    <t>Опционы, исполненные в течение года - Прочие</t>
  </si>
  <si>
    <t>Opciones ejercidas durante el año - Otros</t>
  </si>
  <si>
    <t>한 해 동안 행사한 옵션 - 기타</t>
  </si>
  <si>
    <t>Opções exercidas durante o ano - outros</t>
  </si>
  <si>
    <t>年内注销的期权-其他</t>
  </si>
  <si>
    <t>年內注銷的期權-其他</t>
  </si>
  <si>
    <t>Options annulées en cours d'année - Autres</t>
  </si>
  <si>
    <t>Im Laufe des Jahres stornierte Optionen - Sonstige</t>
  </si>
  <si>
    <t>Opzioni annullate durante l'anno - altro</t>
  </si>
  <si>
    <t>年内のオプション取消 - その他</t>
  </si>
  <si>
    <t>Опционы, отмененные в течение года - Прочие</t>
  </si>
  <si>
    <t>Opciones canceladas durante el año - Otros</t>
  </si>
  <si>
    <t>한 해 동안 취소된 옵션 - 기타</t>
  </si>
  <si>
    <t>Opções canceladas durante o ano - outros</t>
  </si>
  <si>
    <t>年末未行使期权-其他</t>
  </si>
  <si>
    <t>年末未行使期權-其他</t>
  </si>
  <si>
    <t>Options en circulation à la fin de l'année - Autres</t>
  </si>
  <si>
    <t>Ausstehende Optionen am Jahresende - Sonstige</t>
  </si>
  <si>
    <t>Opzioni in circol. alla fine dell'anno - altro</t>
  </si>
  <si>
    <t>年末時点の発行済オプション - その他</t>
  </si>
  <si>
    <t>Опционы в обращении на конец года - Прочие</t>
  </si>
  <si>
    <t>Opciones en circulacion al final del año - Otros</t>
  </si>
  <si>
    <t>연말 옵션 결과 - 기타</t>
  </si>
  <si>
    <t>Opções em circulação no final do ano - outros</t>
  </si>
  <si>
    <t>期末可行使期权-其他</t>
  </si>
  <si>
    <t>期末可行使期權-其他</t>
  </si>
  <si>
    <t>Options pouvant être exercées à la fin de la période - Autres</t>
  </si>
  <si>
    <t>Ausübbare Optionen zum Ende der Periode - Sonstige</t>
  </si>
  <si>
    <t>Opzioni esercitabili a fine periodo - altro</t>
  </si>
  <si>
    <t>年末時点の行使可能なオプション - その他</t>
  </si>
  <si>
    <t>Опционы к исполнению на конец периода - Прочие</t>
  </si>
  <si>
    <t>Opciones que se pueden ejercer al final del período - Otros</t>
  </si>
  <si>
    <t>기간 종료 시 행사 가능 옵션 - 기타</t>
  </si>
  <si>
    <t>Opções exercíveis no final do período - outros</t>
  </si>
  <si>
    <t>期初未行使期权的加权平均行权价-其他</t>
  </si>
  <si>
    <t>期初未行使期權的加權平均行權價-其他</t>
  </si>
  <si>
    <t>Prix d'exercice moyen pondéré des options en circulation au début de la période - Autres</t>
  </si>
  <si>
    <t>Gewichtete durchschnittliche Anzahl von Optionen Ausübungspreis für ausstehende Optionen zu Beginn der Period - Sonstige</t>
  </si>
  <si>
    <t>Opzioni con media prezzo di esercizio in circol. all'inizio del periodo - altro</t>
  </si>
  <si>
    <t>年始時点の加重平均オプション行使価格 - その他</t>
  </si>
  <si>
    <t>Средневзвешенная цена исполнения опционов в обращении на начало периода - Прочие</t>
  </si>
  <si>
    <t>Opciones promedio ponderado precio de ejercicio en circulacion al principio del período - Otro</t>
  </si>
  <si>
    <t>기간 시작 시 옵션 W/평균 행사 가격 - 기타</t>
  </si>
  <si>
    <t>Média ponderada do preço de exercício de opções em circulação no início do período - outros</t>
  </si>
  <si>
    <t>授予的期权的加权平均行权价-其他</t>
  </si>
  <si>
    <t>授予的期權的加權平均行權價-其他</t>
  </si>
  <si>
    <t>Options moyennes pondérées Prix d'attaque des options attribuées - Autres</t>
  </si>
  <si>
    <t>Gewichteter durchschnittlicher Ausübungspreis der gewährten Option - Sonstige</t>
  </si>
  <si>
    <t>Opzioni con prezzo di esercizio medio di concesse - altro</t>
  </si>
  <si>
    <t>加重平均付与オプション行使価格 - その他</t>
  </si>
  <si>
    <t>Средневзвешенная цена исполнения опционов выданных - Прочие</t>
  </si>
  <si>
    <t>Opciones promedio ponderado Precio de ataque de concedido - Otro</t>
  </si>
  <si>
    <t>부여된 옵션 W/평균 행사 가격 - 기타</t>
  </si>
  <si>
    <t>Média ponderada do preço de exercício de opções concedidas - outros</t>
  </si>
  <si>
    <t>行使的期权的加权平均行权价-其他</t>
  </si>
  <si>
    <t>行使的期權的加權平均行權價-其他</t>
  </si>
  <si>
    <t>Options moyennes pondérées Prix d'exercice des options exécutables - Autres</t>
  </si>
  <si>
    <t>Gewichtete durchschnittliche Anzahl von Optionen Ausübungspreis für ausgeübte Optionen - Sonstige</t>
  </si>
  <si>
    <t>Opzioni con media prezzo di esercizio di esercitate - altro</t>
  </si>
  <si>
    <t>加重平均行使オプション行使価格 - その他</t>
  </si>
  <si>
    <t>Средневзвешенная цена исполнения опционов исполненных - Прочие</t>
  </si>
  <si>
    <t>Opciones promedio ponderado Precio de ejercicio de las ejecutables - Otros</t>
  </si>
  <si>
    <t>행사한 옵션 W/평균 행사 가격 - 기타</t>
  </si>
  <si>
    <t>Média ponderada do preço do exercício de opções exercidas - outros</t>
  </si>
  <si>
    <t>注销的期权的加权平均行权价-其他</t>
  </si>
  <si>
    <t>注銷的期權的加權平均行權價-其他</t>
  </si>
  <si>
    <t>Options moyennes pondérées Prix d'exercice des annulations - Autres</t>
  </si>
  <si>
    <t>Gewichtete durchschnittliche Anzahl von Optionen Ausübungspreis für stornierte Optionen - Sonstige</t>
  </si>
  <si>
    <t>Opzioni con media prezzo di esercizio di annullate - altro</t>
  </si>
  <si>
    <t>加重平均取消オプション行使価格 - その他</t>
  </si>
  <si>
    <t>Средневзвешенная цена исполнения опционов отмененных - Прочие</t>
  </si>
  <si>
    <t>Opciones promedio ponderado Precio de ejercicio de los cancelados - Otros</t>
  </si>
  <si>
    <t>취소된 옵션 W/평균 행사 가격 - 기타</t>
  </si>
  <si>
    <t>Média ponderada do preço de exercício de opções canceladas - outros</t>
  </si>
  <si>
    <t>未行使期权的加权平均行权价-其他</t>
  </si>
  <si>
    <t>未行使期權的加權平均行權價-其他</t>
  </si>
  <si>
    <t>Options moyennes pondérées Prix d'exercice en cours - Autres</t>
  </si>
  <si>
    <t>Gewichtete durchschnittliche Anzahl von Optionen Ausübungspreis für ausstehende Optionen - Sonstige</t>
  </si>
  <si>
    <t>Opzioni con media prezzo di esercizio di circol. - altro</t>
  </si>
  <si>
    <t>加重平均発行済オプション行使価格 - その他</t>
  </si>
  <si>
    <t>Средневзвешенная цена исполнения опционов в обращении - Прочие</t>
  </si>
  <si>
    <t>Opciones promedio ponderado Precio de ejericio en circulacion - Otros</t>
  </si>
  <si>
    <t>옵션 W/평균 행사 가격 결과 - 기타</t>
  </si>
  <si>
    <t>Média ponderada do preço de exercício de opções em circulação - outros</t>
  </si>
  <si>
    <t>可行使期权的加权平均行权价-其他</t>
  </si>
  <si>
    <t>可行使期權的加權平均行權價-其他</t>
  </si>
  <si>
    <t>Moyenne pondérée des options Prix d'exercice des options exerçables - Autres</t>
  </si>
  <si>
    <t>Gewichtete durchschnittliche Anzahl von Optionen Ausübungspreis von Ausübbar - Sonstige</t>
  </si>
  <si>
    <t>Opzioni con media prezzo di esercizio di esercitabili - altro</t>
  </si>
  <si>
    <t>加重平均行使可能オプション行使価格 - その他</t>
  </si>
  <si>
    <t>Средневзвешенная цена исполнения опционов к исполнению - Прочие</t>
  </si>
  <si>
    <t>Opciones promedio ponderado Precio de ejercicio de los ejercitables - Otros</t>
  </si>
  <si>
    <t>행사 가능 옵션 W/평균 행사 가격 - 기타</t>
  </si>
  <si>
    <t>Média ponderada do preço de exercício de opções exercíveis - outros</t>
  </si>
  <si>
    <t>年初未行使的总期权</t>
  </si>
  <si>
    <t>年初未行使的總期權</t>
  </si>
  <si>
    <t>Total des options en circulation au début de l'année</t>
  </si>
  <si>
    <t>Insgesamt Ausstehende Optionen am Jahresanfang</t>
  </si>
  <si>
    <t>Opzioni totali in circol. all'inizio dell'anno</t>
  </si>
  <si>
    <t>年始時点の発行済オプション合計</t>
  </si>
  <si>
    <t xml:space="preserve">Всего опционов в обращении на начало года </t>
  </si>
  <si>
    <t>Total de opciones en circulacion al comienzo del año</t>
  </si>
  <si>
    <t>연초 총 옵션 결과</t>
  </si>
  <si>
    <t>Total de opções em circulação no início do ano</t>
  </si>
  <si>
    <t>年内授予的期权总数</t>
  </si>
  <si>
    <t>年內授予的期權總數</t>
  </si>
  <si>
    <t>Total des options attribuées au cours de l'année</t>
  </si>
  <si>
    <t>Gesamtzahl der im Laufe des Jahres gewährten Optionen</t>
  </si>
  <si>
    <t>Opzioni totali concesse durante l'anno</t>
  </si>
  <si>
    <t>年内のオプション付与合計</t>
  </si>
  <si>
    <t>Всего опционов, предоставленных в течение года</t>
  </si>
  <si>
    <t>Total de opciones concedidas durante el año</t>
  </si>
  <si>
    <t>연중 부여된 총 옵션</t>
  </si>
  <si>
    <t>Total de opções concedidas durante o ano</t>
  </si>
  <si>
    <t>年内行使的期权总数</t>
  </si>
  <si>
    <t>年內行使的期權總數</t>
  </si>
  <si>
    <t>Total des options exercées pendant l'année</t>
  </si>
  <si>
    <t>Gesamtzahl der im Laufe des Jahres ausgeübten Optionen</t>
  </si>
  <si>
    <t>Opzioni totali esercitate durante l'anno</t>
  </si>
  <si>
    <t>年内のオプション行使合計</t>
  </si>
  <si>
    <t>Всего опционов, исполненных в течение года</t>
  </si>
  <si>
    <t>Total de opciones ejercidas durante el año</t>
  </si>
  <si>
    <t>한 해 동안 행사한 총 옵션</t>
  </si>
  <si>
    <t>Total de opções exercidas durante o ano</t>
  </si>
  <si>
    <t>年内注销的期权总数</t>
  </si>
  <si>
    <t>年內注銷的期權總數</t>
  </si>
  <si>
    <t>Total des options annulées au cours de l'année</t>
  </si>
  <si>
    <t>Gesamtzahl der im Laufe des Jahres stornierten Optionen</t>
  </si>
  <si>
    <t>Opzioni totali annullate durante l'anno</t>
  </si>
  <si>
    <t>年内のオプション取消合計</t>
  </si>
  <si>
    <t>Всего опционов, отмененных в течение года</t>
  </si>
  <si>
    <t>Total de opciones canceladas durante el año</t>
  </si>
  <si>
    <t>한 해 동안 취소된 총 옵션</t>
  </si>
  <si>
    <t>Total de opções canceladas durante o ano</t>
  </si>
  <si>
    <t>年末未行使股权总数</t>
  </si>
  <si>
    <t>年末未行使股權總數</t>
  </si>
  <si>
    <t xml:space="preserve">Nombre total d'options en circulation à la fin de la période </t>
  </si>
  <si>
    <t>Insgesamt Ausstehende Optionen am Jahresende</t>
  </si>
  <si>
    <t>Opzioni totali in circol. alla fine dell'anno</t>
  </si>
  <si>
    <t>年末時点の発行済オプション合計</t>
  </si>
  <si>
    <t>Всего опционов в обращении на конец года</t>
  </si>
  <si>
    <t xml:space="preserve">Total de opciones en circulacion al final del periodo </t>
  </si>
  <si>
    <t>연말 총 옵션 결과</t>
  </si>
  <si>
    <t>Total de opções em circulação no final do ano</t>
  </si>
  <si>
    <t>期末可行使的总期权</t>
  </si>
  <si>
    <t>期末可行使的總期權</t>
  </si>
  <si>
    <t>Total des options exerçables à la fin de la période</t>
  </si>
  <si>
    <t>Gesamtzahl der am Ende des Zeitraums ausübbaren Optionen</t>
  </si>
  <si>
    <t>Opzioni totali esercitabili alla fine del periodo</t>
  </si>
  <si>
    <t>年末時点の行使可能なオプション合計</t>
  </si>
  <si>
    <t xml:space="preserve">Всего опционов к исполнению на конец периода </t>
  </si>
  <si>
    <t>Total de opciones ejercitables al final del período</t>
  </si>
  <si>
    <t>기간 종료 시 행사 가능한 총 옵션</t>
  </si>
  <si>
    <t>Total de opções exercíveis no final do período</t>
  </si>
  <si>
    <t>年初未行使认股权证</t>
  </si>
  <si>
    <t>年初未行使認股權證</t>
  </si>
  <si>
    <t>Bons de souscription en circulation au début de l'année</t>
  </si>
  <si>
    <t>Ausstehende Optionsscheine am Jahresanfang</t>
  </si>
  <si>
    <t>Warrant in circol. all'inizio dell'anno</t>
  </si>
  <si>
    <t>年始時点の発行済ワラント</t>
  </si>
  <si>
    <t xml:space="preserve">Варранты в обращении на начало года </t>
  </si>
  <si>
    <t>Warrants en circulacion a principios de año</t>
  </si>
  <si>
    <t>연초 보증 결과</t>
  </si>
  <si>
    <t>Warrants em circulação no início do ano</t>
  </si>
  <si>
    <t>年内发行的认股权证</t>
  </si>
  <si>
    <t>年內發行的認股權證</t>
  </si>
  <si>
    <t>Bons de souscription émis au cours de l'année</t>
  </si>
  <si>
    <t xml:space="preserve">Im Laufe des Jahres ausgegebene Optionsscheine </t>
  </si>
  <si>
    <t>Warrant emessi durante l'anno</t>
  </si>
  <si>
    <t>年内のワラント新規発行</t>
  </si>
  <si>
    <t>Варранты, предоставленные в течение года</t>
  </si>
  <si>
    <t>Warrants emitidas durante el año</t>
  </si>
  <si>
    <t>연중 발행 보증</t>
  </si>
  <si>
    <t>Warrants emitidos durante o ano</t>
  </si>
  <si>
    <t>年内行使的认股权证</t>
  </si>
  <si>
    <t>年內行使的認股權證</t>
  </si>
  <si>
    <t>Bons de souscription exercés au cours de l'année</t>
  </si>
  <si>
    <t>Im Laufe des Jahres ausgeübte Optionsscheine</t>
  </si>
  <si>
    <t>Warrant esercitati durante l'anno</t>
  </si>
  <si>
    <t>年内のワラント行使</t>
  </si>
  <si>
    <t>Варранты, исполненные в течение года</t>
  </si>
  <si>
    <t>Warrants ejercidas durante el año</t>
  </si>
  <si>
    <t>연중 행사 보증</t>
  </si>
  <si>
    <t>Warrants exercidos durante o ano</t>
  </si>
  <si>
    <t>年内注销的认股权证</t>
  </si>
  <si>
    <t>年內注銷的認股權證</t>
  </si>
  <si>
    <t>Bons de souscription annulés au cours de l'année</t>
  </si>
  <si>
    <t>Im Laufe des Jahres annulierte Optionsscheine</t>
  </si>
  <si>
    <t>Warrant annullati durante l'anno</t>
  </si>
  <si>
    <t>年内のワラント取消</t>
  </si>
  <si>
    <t>Варранты, отмененные в течение года</t>
  </si>
  <si>
    <t>Warrants canceladas durante el año</t>
  </si>
  <si>
    <t>연중 취소 보증</t>
  </si>
  <si>
    <t>Warrants cancelados durante o ano</t>
  </si>
  <si>
    <t>年末未行使的认股权证</t>
  </si>
  <si>
    <t>年末未行使的認股權證</t>
  </si>
  <si>
    <t>Bons de souscription en circulation à la fin de l'année</t>
  </si>
  <si>
    <t>Ausstehende Optionsscheine am Jahresende</t>
  </si>
  <si>
    <t>Warrant in circol. alla fine dell'anno</t>
  </si>
  <si>
    <t>年末時点の発行済ワラント</t>
  </si>
  <si>
    <t>Варранты в обращении на конец года</t>
  </si>
  <si>
    <t>Warrants en circulacion al final del año</t>
  </si>
  <si>
    <t>연말 보증 결과</t>
  </si>
  <si>
    <t>Warrants em circulação no final do ano</t>
  </si>
  <si>
    <t>未行使认股权证的加权平均行权价</t>
  </si>
  <si>
    <t>未行使認股權證的加權平均行權價</t>
  </si>
  <si>
    <t>Moyenne pondérée des bons de souscription en circulation</t>
  </si>
  <si>
    <t>Gewichteter durchschnittlicher Ausübungspreis ausstehender Optionsscheine</t>
  </si>
  <si>
    <t>Warrant con prezzo medio di esercizio di circol.</t>
  </si>
  <si>
    <t>加重平均発行済ワラント行使価格</t>
  </si>
  <si>
    <t>Средневзвешенная цена исполнения варрантов в обращении</t>
  </si>
  <si>
    <t>Warrants promedio ponderado precio de ejercicio en circulacion</t>
  </si>
  <si>
    <t>보증 W/평균 행사 가격 결과</t>
  </si>
  <si>
    <t>Média ponderada do preço de exercício de warrants em circulação</t>
  </si>
  <si>
    <t>发行认股权证的加权平均行权价</t>
  </si>
  <si>
    <t>發行認股權證的加權平均行權價</t>
  </si>
  <si>
    <t>Moyenne pondérée des bons de souscription d'exercice émis</t>
  </si>
  <si>
    <t>Gewichteter durchschnittlicher Ausübungspreis ausgegebener Optionsscheine</t>
  </si>
  <si>
    <t>Warrant con prezzo medio di esercizio di emessi</t>
  </si>
  <si>
    <t>加重平均新規発行ワラント行使価格</t>
  </si>
  <si>
    <t>Средневзвешенная цена исполнения варрантов выпущенных</t>
  </si>
  <si>
    <t>Warrants promedio ponderado de ejercicio emitidas</t>
  </si>
  <si>
    <t>보증 W/평균 발행 행사 가격</t>
  </si>
  <si>
    <t>Média ponderada do preço de exercício de warrants emitidos</t>
  </si>
  <si>
    <t>年初未行使认股权证-A类</t>
  </si>
  <si>
    <t>年初未行使認股權證-A類</t>
  </si>
  <si>
    <t>Bons de souscription en circulation au début de l'année - Classe A</t>
  </si>
  <si>
    <t>Ausstehende Optionsscheine am Jahresanfang - Klasse A.</t>
  </si>
  <si>
    <t>Warrant in circol. all'inizio dell'anno - classe A</t>
  </si>
  <si>
    <t>年始時点の発行済ワラント - クラスA</t>
  </si>
  <si>
    <t>Варранты в обращении на начало года - Класс А</t>
  </si>
  <si>
    <t>Warrants en circulacion a principios de año - Clase A</t>
  </si>
  <si>
    <t>연초 보증 결과 - A등급</t>
  </si>
  <si>
    <t>Warrants em circulação no início do ano - classe A</t>
  </si>
  <si>
    <t>年内发行的认股权证-A类</t>
  </si>
  <si>
    <t>年內發行的認股權證-A類</t>
  </si>
  <si>
    <t>Bons de souscription émis au cours de l'année - Classe A</t>
  </si>
  <si>
    <t>Ausgegebene Optionsscheine im Laufe des Jahres - Klasse A.</t>
  </si>
  <si>
    <t>Warrant emessi durante l'anno - classe A</t>
  </si>
  <si>
    <t>年内のワラント新規発行 - クラスA</t>
  </si>
  <si>
    <t>Варранты, выпущенные в течение года - Класс А</t>
  </si>
  <si>
    <t>Warrants emitidas durante el año - Clase A</t>
  </si>
  <si>
    <t>연중 발행 보증 - A등급</t>
  </si>
  <si>
    <t>Warrants emitidos durante o ano - Classe A</t>
  </si>
  <si>
    <t>年内行使的认股权证-A类</t>
  </si>
  <si>
    <t>年內行使的認股權證-A類</t>
  </si>
  <si>
    <t>Bons de souscription exercés durant l'année - Classe A</t>
  </si>
  <si>
    <t>Im Laufe des Jahres ausgeübte Optionsscheine - Klasse A.</t>
  </si>
  <si>
    <t>Warrant esercitati durante l'anno - classe A</t>
  </si>
  <si>
    <t>年内のワラント行使 - クラスA</t>
  </si>
  <si>
    <t>Варранты, исполненные в течение года - Класс A</t>
  </si>
  <si>
    <t>Warrants ejercidas durante el año - Clase A</t>
  </si>
  <si>
    <t>연중 행사 보증 - A등급</t>
  </si>
  <si>
    <t>Warrants Exercidos durante o Ano - Classe A</t>
  </si>
  <si>
    <t>年内注销的认股权证-A类</t>
  </si>
  <si>
    <t>年內注銷的認股權證-A類</t>
  </si>
  <si>
    <t>Bons de souscription annulés au cours de l'année - Classe A</t>
  </si>
  <si>
    <t>Im Laufe des Jahres annullierte Optionsscheine - Klasse A.</t>
  </si>
  <si>
    <t>Warrant annullati durante l'anno - classe A</t>
  </si>
  <si>
    <t>年内のワラント取消 - クラスA</t>
  </si>
  <si>
    <t>Варранты, отмененные в течение года - Класс A</t>
  </si>
  <si>
    <t>Warrants canceladas durante el año - Clase A</t>
  </si>
  <si>
    <t>연중 취소 보증 - A등급</t>
  </si>
  <si>
    <t>Warrants cancelados durante o ano - Classe A</t>
  </si>
  <si>
    <t>年末未行使的认股权证-A类</t>
  </si>
  <si>
    <t>年末未行使的認股權證-A類</t>
  </si>
  <si>
    <t>Bons de souscription en circulation à la fin de l'année - Classe A</t>
  </si>
  <si>
    <t>Ausstehende Optionsscheine am Jahersende - Klasse A.</t>
  </si>
  <si>
    <t>Warrant in circol. alla fine dell'anno - classe A</t>
  </si>
  <si>
    <t>年末時点の発行済ワラント - クラスA</t>
  </si>
  <si>
    <t>Варранты в обращении на конец года - Класс А</t>
  </si>
  <si>
    <t>Warrants en circulacion al final del año - Clase A</t>
  </si>
  <si>
    <t>연말 보증 결과 - A등급</t>
  </si>
  <si>
    <t>Warrants em circulação no final do ano - classe A</t>
  </si>
  <si>
    <t>未行使认股权证的加权平均行权价-A类</t>
  </si>
  <si>
    <t>未行使認股權證的加權平均行權價-A類</t>
  </si>
  <si>
    <t>Moyenne pondérée des bons de souscription en circulation - Classe A</t>
  </si>
  <si>
    <t>Gewichteter durchschnittlicher Ausübungspreis ausstehender Optionsscheine - Klasse A.</t>
  </si>
  <si>
    <t>Warrant con prezzo medio di esercizio di circol. - classe A</t>
  </si>
  <si>
    <t>加重平均発行済ワラント行使価格 - クラスA</t>
  </si>
  <si>
    <t>Средневзвешенная цена исполнения варрантов в обращении - Класс А</t>
  </si>
  <si>
    <t>Warrants promedio ponderado precio de ejercicio en circulacion - Clase A</t>
  </si>
  <si>
    <t>보증 W/평균 행사 가격 결과 - A등급</t>
  </si>
  <si>
    <t>Média ponderada do preço de exercício de warrants em circulação - Classe A</t>
  </si>
  <si>
    <t>发行认股权证的加权平均行权价-A类</t>
  </si>
  <si>
    <t>發行認股權證的加權平均行權價-A類</t>
  </si>
  <si>
    <t>Moyenne pondérée des bons de souscription exercés émis - Classe A</t>
  </si>
  <si>
    <t>Gewichteter durchschnittlicher Ausübungspreis ausgegebener Optionsscheine - Klasse A.</t>
  </si>
  <si>
    <t>Warrant con prezzo medio di esercizio di emessi - classe A</t>
  </si>
  <si>
    <t>加重平均新規発行ワラント行使価格 - クラスA</t>
  </si>
  <si>
    <t>Средневзвешенная цена исполнения варрантов выпущенных - Класс А</t>
  </si>
  <si>
    <t>Warrants promedio ponderado ejercidas emitidas - Clase A</t>
  </si>
  <si>
    <t>보증 W/평균 발행 행사 가격 - A등급</t>
  </si>
  <si>
    <t>Média ponderada do preço de exercício de warrants emitidos - Classe A</t>
  </si>
  <si>
    <t>年初未行使认股权证-其他</t>
  </si>
  <si>
    <t>年初未行使認股權證-其他</t>
  </si>
  <si>
    <t>Bons de souscription en circulation au début de l'année - Autres</t>
  </si>
  <si>
    <t>Ausstehende Optionsscheine am Jahresanfang - Andere</t>
  </si>
  <si>
    <t>Warrant in circol. all'inizio dell'anno - altro</t>
  </si>
  <si>
    <t>年始時点の発行済ワラント - その他</t>
  </si>
  <si>
    <t>Варранты в обращении на начало года - Прочие</t>
  </si>
  <si>
    <t>Warrants en circulacion a principios de año - Otro</t>
  </si>
  <si>
    <t>연초 보증 결과 - 기타</t>
  </si>
  <si>
    <t>Warrants em circulação no início do ano - outros</t>
  </si>
  <si>
    <t>年内发行的认股权证-其他</t>
  </si>
  <si>
    <t>年內發行的認股權證-其他</t>
  </si>
  <si>
    <t>Bons de souscription émis au cours de l'année - Autres</t>
  </si>
  <si>
    <t>Im Laufe des Jahres ausgegebene Optionsscheine - Sonstige</t>
  </si>
  <si>
    <t>Warrant emessi durante l'anno - altro</t>
  </si>
  <si>
    <t>年内のワラント新規発行 - その他</t>
  </si>
  <si>
    <t>Варранты, выпущенные в течение года - Прочие</t>
  </si>
  <si>
    <t>Warrants emitidas durante el año - Otros</t>
  </si>
  <si>
    <t>연중 발행 보증 - 기타</t>
  </si>
  <si>
    <t>Warrants emitidos durante o ano - outros</t>
  </si>
  <si>
    <t>年内行使的认股权证-其他</t>
  </si>
  <si>
    <t>年內行使的認股權證-其他</t>
  </si>
  <si>
    <t>Bons de souscription exercés durant l'année - Autres</t>
  </si>
  <si>
    <t>Im Laufe des Jahres ausgeübte Optionsscheine - Sonstige</t>
  </si>
  <si>
    <t>Warrant esercitati durante l'anno - altro</t>
  </si>
  <si>
    <t>年内のワラント行使 - その他</t>
  </si>
  <si>
    <t>Варранты, исполненные в течение года - Прочие</t>
  </si>
  <si>
    <t>Warrants ejercidas durante el año - Otros</t>
  </si>
  <si>
    <t>연중 행사 보증 - 기타</t>
  </si>
  <si>
    <t>Warrants exercidos durante o ano - Outros</t>
  </si>
  <si>
    <t>年内注销的认股权证-其他</t>
  </si>
  <si>
    <t>年內注銷的認股權證-其他</t>
  </si>
  <si>
    <t>Bons de souscription annulés au cours de l'année - Autres</t>
  </si>
  <si>
    <t>Im Laufe des Jahres annullierte Optionsscheine - Sonstige</t>
  </si>
  <si>
    <t>Warrant annullati durante l'anno - altro</t>
  </si>
  <si>
    <t>年内のワラント取消 - その他</t>
  </si>
  <si>
    <t>Варранты, отмененные в течение года - Прочие</t>
  </si>
  <si>
    <t>Warrants canceladas durante el año - Otros</t>
  </si>
  <si>
    <t>연중 취소 보증 - 기타</t>
  </si>
  <si>
    <t>Warrants cancelados durante o ano - Outros</t>
  </si>
  <si>
    <t>年末未行使认股权证-其他</t>
  </si>
  <si>
    <t>年末未行使認股權證-其他</t>
  </si>
  <si>
    <t>Bons de souscription en circulation à la fin de l'année - Autres</t>
  </si>
  <si>
    <t>Ausstehende Optionsscheine Am Ende des Jahres - Sonstige</t>
  </si>
  <si>
    <t>Warrant in circol. alla fine dell'anno - altro</t>
  </si>
  <si>
    <t>年末時点の発行済ワラント - その他</t>
  </si>
  <si>
    <t>Варранты в обращении на конец года - Прочие</t>
  </si>
  <si>
    <t>Warrants en circulacion Al final del año - Otros</t>
  </si>
  <si>
    <t>연말 보증 결과 - 기타</t>
  </si>
  <si>
    <t>Warrants em circulação no final do ano - outro</t>
  </si>
  <si>
    <t>未行使认股权证的加权平均行权价-其他</t>
  </si>
  <si>
    <t>未行使認股權證的加權平均行權價-其他</t>
  </si>
  <si>
    <t>Moyenne pondérée des bons de souscription en circulation - Autres</t>
  </si>
  <si>
    <t>Gewichteter durchschnittlicher Ausübungspreis ausstehender Optionsscheine - Sonstige</t>
  </si>
  <si>
    <t>Warrant con prezzo medio di esercizio di circol. - altro</t>
  </si>
  <si>
    <t>加重平均発行済ワラント行使価格 - その他</t>
  </si>
  <si>
    <t>Warrants promedio ponderado precio de ejercicio en circulacion - Otros</t>
  </si>
  <si>
    <t>보증 W/평균 행사 가격 결과 - 기타</t>
  </si>
  <si>
    <t>Média ponderada do preço de exercício de warrants em circulação - outros</t>
  </si>
  <si>
    <t>发行认股权证的加权平均行权价-其他</t>
  </si>
  <si>
    <t>發行認股權證的加權平均行權價-其他</t>
  </si>
  <si>
    <t>Moyenne pondérée des bons de souscription émis - Autres</t>
  </si>
  <si>
    <t>Gewichteter durchschnittlicher Ausübungspreis ausgegebener Optionsscheine - Sonstige</t>
  </si>
  <si>
    <t>Warrant con prezzo medio di esercizio di emessi - altro</t>
  </si>
  <si>
    <t>加重平均新規発行ワラント行使価格 - その他</t>
  </si>
  <si>
    <t>Warrants promedio ponderado ejercicio de Emitidos - Otros</t>
  </si>
  <si>
    <t>보증 W/평균 발행 행사 가격 - 기타</t>
  </si>
  <si>
    <t>Média ponderada do preço de exercício de warrants emitidos - outros</t>
  </si>
  <si>
    <t>年初未行使的认股权证总数</t>
  </si>
  <si>
    <t>年初未行使的認股權證總數</t>
  </si>
  <si>
    <t>Total des bons de souscription en circulation au début de l'année</t>
  </si>
  <si>
    <t>Insgesamt Ausstehende Optionsscheine am Jahresanfang</t>
  </si>
  <si>
    <t>Totale warrant in circol. all'inizio dell'anno</t>
  </si>
  <si>
    <t>年始時点の発行済ワラント合計</t>
  </si>
  <si>
    <t xml:space="preserve">Всего варрантов в обращении на начало года </t>
  </si>
  <si>
    <t>Total de Warrants en circulacion a principios de año</t>
  </si>
  <si>
    <t>연초 총 보증 결과</t>
  </si>
  <si>
    <t>Total de warrants em circulação no início do ano</t>
  </si>
  <si>
    <t>年内发行的认股权证总数</t>
  </si>
  <si>
    <t>年內發行的認股權證總數</t>
  </si>
  <si>
    <t>Total des garanties émises au cours de l'année</t>
  </si>
  <si>
    <t>Insgesamt im Laufe des Jahres ausgegebenen Optionsscheine</t>
  </si>
  <si>
    <t>Totale warrant emessi durante l'anno</t>
  </si>
  <si>
    <t>年内のワラント新規発行合計</t>
  </si>
  <si>
    <t>Всего варрантов, выпущенных в течение года</t>
  </si>
  <si>
    <t>Total de garantías emitidas durante el año</t>
  </si>
  <si>
    <t>연중 총 발행 보증</t>
  </si>
  <si>
    <t>Total de warrants emitidos durante o ano</t>
  </si>
  <si>
    <t>年内行使的认股权证总数</t>
  </si>
  <si>
    <t>年內行使的認股權證總數</t>
  </si>
  <si>
    <t>Total des bons de souscription exercés au cours de l'année</t>
  </si>
  <si>
    <t>Insgesamt im Laufe des Jahres ausgeübte Optionsscheine</t>
  </si>
  <si>
    <t>Totale warrant esercitati durante l'anno</t>
  </si>
  <si>
    <t>年内のワラント行使合計</t>
  </si>
  <si>
    <t>Всего варрантов, исполненных в течение года</t>
  </si>
  <si>
    <t>Total de warrants ejercidos durante el año</t>
  </si>
  <si>
    <t>연중 총 행사보증</t>
  </si>
  <si>
    <t>Total de warrants exercidos durante o ano</t>
  </si>
  <si>
    <t>年内注销的认股权证总数</t>
  </si>
  <si>
    <t>年內被註銷的認股權證總數</t>
  </si>
  <si>
    <t>Total des bons de souscription annulés pendant l'année</t>
  </si>
  <si>
    <t>Insgesamt im Laufe des Jahres annullierte Optionsscheine</t>
  </si>
  <si>
    <t>Totale warrant annullati durante l'anno</t>
  </si>
  <si>
    <t>年内のワラント取消合計</t>
  </si>
  <si>
    <t>Всего варрантов, отмененных в течение года</t>
  </si>
  <si>
    <t>Total de Warrants canceladas durante el año</t>
  </si>
  <si>
    <t>연중 총 취소 보증</t>
  </si>
  <si>
    <t>Total de warrants cancelados durante o ano</t>
  </si>
  <si>
    <t>年末未行使的认股权证总数</t>
  </si>
  <si>
    <t>年末未行使的認股權證總數</t>
  </si>
  <si>
    <t>Total des bons de souscription en circulation à la fin de l'année</t>
  </si>
  <si>
    <t>Insgesamt ausstehende Optionsscheine am Jahresende</t>
  </si>
  <si>
    <t>Totale warrant in circol. alla fine dell'anno</t>
  </si>
  <si>
    <t>年末時点の発行済ワラント合計</t>
  </si>
  <si>
    <t>Всего варрантов в обращении на конец года</t>
  </si>
  <si>
    <t>Total de Warrants en circulacion a finales de año</t>
  </si>
  <si>
    <t>연말 총 보증 결과</t>
  </si>
  <si>
    <t>Total de warrants em circulação no final do ano</t>
  </si>
  <si>
    <t>亏损结转项目</t>
  </si>
  <si>
    <t>虧損結轉項目</t>
  </si>
  <si>
    <t>Report de pertes</t>
  </si>
  <si>
    <t>Verlustvortragselemente</t>
  </si>
  <si>
    <t>Voci riporto delle perdite</t>
  </si>
  <si>
    <t>欠損金繰越項目</t>
  </si>
  <si>
    <t>Элементы переноса убытков на будущие периоды</t>
  </si>
  <si>
    <t>Artículos de arrastre de pérdidas</t>
  </si>
  <si>
    <t>순영업손실이연 항목</t>
  </si>
  <si>
    <t>Itens de prejuízos dos exercícios seguintes</t>
  </si>
  <si>
    <t>定价是根据资产负债表期末的报告日期。 为了在此页面上进行总企业价值计算，S＆P Capital IQ 仅采用公开披露的原始申报文件中截至给定定价日期的资产负债表成分，而不使用后续申报文件中重述的资产负债表数据。 如果公司在特定时期内未披露资产负债表数据，则使用上次申报资产负债表中截至该日期的资产负债表成分来计算总企业价值。 上述表是按期末日期编制的。</t>
  </si>
  <si>
    <t>定價是根據資產負債表期末的報告日期。為了在此頁面上進行總企業價值計算，S＆P Capital IQ 僅採用公開披露的原始申報文件中截至給定定價日期的資產負債表成分，而不使用後續申報文件中重述的資產負債表資料。如果公司在特定時期內未披露資產負債表資料，則使用上次申報資產負債表中截至該日期的資產負債表成分來計算總企業價值。上述表是按期末日期編制的。</t>
  </si>
  <si>
    <t>Prix à la date de clôture du bilan. Pour calculer la valeur totale de l'entreprise sur cette page, S&amp;P Capital IQ utilise uniquement les éléments du bilan de la présentation originale qui sont publiquement disponibles à une date de prix donnée et n'utilise pas les données du bilan actualisées d'une présentation ultérieure. Dans les cas où une entreprise n'a pas divulgué les valeurs du bilan pour une période donnée, la valeur totale de l'entreprise est calculée en utilisant les éléments du dernier bilan déclaré à cette date. Le tableau ci-dessus est organisé en fonction des dates de fin de période.</t>
  </si>
  <si>
    <t>Preisgestaltung zum Anmeldetag des Enddatums der Bilanzperiode. Für die Berechnung des Gesamtunternehmenswertes auf dieser Seite verwendet S&amp;P Capital IQ nur Bilanzkomponenten aus der ursprünglichen Einreichung, die zu einem bestimmten Preisdatum öffentlich verfügbar sind, und keine angepassten Bilanzdaten aus einer späteren Einreichung. In den Fällen, in denen ein Unternehmen für einen bestimmten Zeitraum keine Bilanzwerte angegeben hat, wird der Gesamtunternehmenswert anhand der Bilanzkomponenten aus der zuletzt gemeldeten Bilanz zu diesem Datum berechnet. Die obige Tabelle ist nach Enddaten des Zeitraums geordnet.</t>
  </si>
  <si>
    <t>Determinazione del prezzo alla data di deposito della data di chiusura del periodo di bilancio. Ai fini del calcolo del TEV in questa pagina, S&amp;P Capital IQ utilizza solo componenti di bilancio dal deposito originale che è pubblicamente disponibile a una determinata data di determinazione del prezzo e non utilizza dati di bilancio riformulati da un deposito successivo. Nei casi in cui una società non ha rivelato i valori di bilancio per un determinato periodo, il TEV viene calcolato utilizzando componenti di bilancio dall'ultimo bilancio segnalato a tale data. La tabella sopra è organizzata in base alle date di fine periodo.</t>
  </si>
  <si>
    <t>プライシングの基準日は各期間貸借対照表のファイリングデートとなります。このページにある企業価値の計算には、S&amp;P Capital IQは最初に公表された数字のみを使用しており、修正のものは使用しておりません。会社が特定期間の貸借対照表データを公表していない場合は、企業価値計算用の貸借対照表項目は基準日時点より取得可能な最新のものとなります。上表は期末日の順で表示されます。</t>
  </si>
  <si>
    <t>Цены на дату предоставления бухгалтерского баланса на дату окончания отчетного периода. Для целей расчета Общая стоимость предприятия (TEV) на этой странице S&amp;P Capital IQ использует только компоненты баланса из исходной документации, которая общедоступна на указанную дату расчета цены, и не использует пересчитанные данные баланса из более поздней документации. В случаях, когда компания не раскрывала балансовую стоимость за определенный период, Общая стоимость предприятия (TEV) рассчитывается с использованием компонентов баланса из последнего отчетного баланса на эту дату. Таблица выше организована по датам окончания периода.</t>
  </si>
  <si>
    <t>Precios a la fecha de presentación de la fecha de finalización del período del balance general. Para fines de cálculo de total valor de empresa en esta página, S&amp;P Capital IQ solo usa componentes del balance general de la presentación original que está disponible públicamente a una fecha determinada de precio y no usa datos actualizados del balance general de una presentación posterior. En los casos en que una empresa no reveló los valores del balance para un período en particular, el valor total de empresa se calcula utilizando los componentes del balance del último balance general informado a esta fecha. La tabla anterior está organizada según las fechas de finalización del período.</t>
  </si>
  <si>
    <t>대차대조표 기간 종료일의 제출일 현재 가격 책정. 이 페이지의 TEV 계산 목적의 경우 S&amp;amp;P Capital IQ는 지정된 가격 책정 날짜를 기준으로 공개적으로 사용할 수 있는 원래 출원의 대차대조표 구성 요소만 사용하며 나중에 제출된 재진술 대차대조표 데이터를 사용하지 않습니다. 특정 기간 동안 대차대조표 값을 공개하지 않은 경우 TEV는 이 날짜를 기준으로 마지막으로 보고된 대차대조표의 대차대조표 구성 요소를 사용하여 계산됩니다. 위의 표는 기간 종료 날짜에 따라 구성됩니다.</t>
  </si>
  <si>
    <t>Preços na data de apresentação da data de encerramento do período do balanço. Para fins de cálculo de TEV nesta página, a S&amp;P Capital IQ usa apenas os componentes do balanço patrimonial da apresentação original que estão publicamente disponíveis em uma determinada data de precificação e não usa dados do balanço patrimonial reformulados de uma apresentação posterior. Nos casos em que uma empresa não divulgou os valores do balanço para um determinado período, o TEV é calculado utilizando os componentes do balanço do último balanço reportado nessa data. A tabela acima é organizada em datas de término de período.</t>
  </si>
  <si>
    <t>每股股利</t>
  </si>
  <si>
    <t>Dividende par action</t>
  </si>
  <si>
    <t>Dividende je Aktie</t>
  </si>
  <si>
    <t>Dividendo per azione</t>
  </si>
  <si>
    <t>Дивиденд на акцию</t>
  </si>
  <si>
    <t>Dividendo por acción</t>
  </si>
  <si>
    <t>Dividendo por ação</t>
  </si>
  <si>
    <t>税息折旧及摊销前利润,不包括经营租赁/利息费用</t>
  </si>
  <si>
    <t>稅息折舊及攤銷前利潤,不包括經營租賃/利息費用</t>
  </si>
  <si>
    <t>EBITDA, à l'exclusion du leasing opérationnel/Charge d'intérêts</t>
  </si>
  <si>
    <t>EBITDA, ohne Operating-Leasing/Zinsaufwand</t>
  </si>
  <si>
    <t>EBITDA, escl. locazioni operative/Interessi passivi</t>
  </si>
  <si>
    <t>EBITDA,次の値を除 オペレーティング・リース/支払利息</t>
  </si>
  <si>
    <t>EBITDA, исключая операционную аренду/Процентные расходы</t>
  </si>
  <si>
    <t>EBITDA, excluyendo arrendamientos operativos/Gastos por intereses</t>
  </si>
  <si>
    <t>EBITDA, 운용리스 제외/이자비용</t>
  </si>
  <si>
    <t>EBITDA, Excl. Arrendamentos Operacionais / Despesas com Juros</t>
  </si>
  <si>
    <t>Ingresos totales / empleado</t>
  </si>
  <si>
    <t>Receitas Totais / empregados</t>
  </si>
  <si>
    <t>总收入 / 员工</t>
  </si>
  <si>
    <t>總收入 / 員工</t>
  </si>
  <si>
    <t>Total des recettes / Employé</t>
  </si>
  <si>
    <t>Summe der Erlöse / Mitarbeiter</t>
  </si>
  <si>
    <t>Totale ricavi / dipendente</t>
  </si>
  <si>
    <t>総収入 / 従業員</t>
  </si>
  <si>
    <t>Общий доход / работник</t>
  </si>
  <si>
    <t>총 수익 / 직원</t>
  </si>
  <si>
    <t>限制性股票补偿费用有效税收</t>
  </si>
  <si>
    <t>限制性股票補償費用有效稅收</t>
  </si>
  <si>
    <t>Restructuration Rémunération en actions Effet fiscal</t>
  </si>
  <si>
    <t>Aufwand für Aktienvergütungen mit Sperrfrist, Steuereffekt</t>
  </si>
  <si>
    <t>Effetto fiscale spese comp. azioni vincolate</t>
  </si>
  <si>
    <t>譲渡制限付株式報酬費用(税金相当分)</t>
  </si>
  <si>
    <t xml:space="preserve">Реструктуризация компенсаций по акциям Налоговый эффект </t>
  </si>
  <si>
    <t>Gastos de compensación de acciones restringidos, Efecto del impuesto sobre la renta</t>
  </si>
  <si>
    <t>양도제한 주식 보상비 절세효과</t>
  </si>
  <si>
    <t>股票期权补偿费用有效税收</t>
  </si>
  <si>
    <t>股票期權補償費用有效稅收</t>
  </si>
  <si>
    <t>Effet fiscal des frais de rémunération en options d'achat d'actions</t>
  </si>
  <si>
    <t>Aufwand für Vergütung mit Aktienoptionen, Steuereffekt</t>
  </si>
  <si>
    <t>Effetto fiscale spese comp. opzioni su azioni</t>
  </si>
  <si>
    <t>ストック・オプション付与による賞与支払(税金相当分)</t>
  </si>
  <si>
    <t>Компенсация опционов на акции Налоговый эффект</t>
  </si>
  <si>
    <t xml:space="preserve">Gastos de compensación de opciones sobre acciones, Efecto Impositivo </t>
  </si>
  <si>
    <t>스톡옵션 보상비 절세효과</t>
  </si>
  <si>
    <t>基于股票的补偿费用有效税收</t>
  </si>
  <si>
    <t>基於股票的補償費用有效稅收</t>
  </si>
  <si>
    <t>Rémunération à base d'actions - Effet fiscal</t>
  </si>
  <si>
    <t>Aufwand für Aktienvergütungen, Steuereffekt</t>
  </si>
  <si>
    <t>Effetto fiscale spese comp. basata su azioni</t>
  </si>
  <si>
    <t>株式報酬費用合計(税金相当分)</t>
  </si>
  <si>
    <t>Компенсация на основе акций Налоговый эффект</t>
  </si>
  <si>
    <t xml:space="preserve">Gastos de compensación basados ​​en acciones, Efecto de los impuestos </t>
  </si>
  <si>
    <t>배당금수익 비용 절세효과</t>
  </si>
  <si>
    <t>En monnaie</t>
  </si>
  <si>
    <t>In Währung</t>
  </si>
  <si>
    <t>In valuta</t>
  </si>
  <si>
    <t>В валюте</t>
  </si>
  <si>
    <t>En moneda</t>
  </si>
  <si>
    <t>통화 환산</t>
  </si>
  <si>
    <t>Em moeda corrente</t>
  </si>
  <si>
    <t>财政期间截至</t>
  </si>
  <si>
    <t>財政期間截至</t>
  </si>
  <si>
    <t>Pour l'exercice financier se terminant</t>
  </si>
  <si>
    <t>Für das Ende der Steuerperiode</t>
  </si>
  <si>
    <t>Per il periodo fiscale chiuso il</t>
  </si>
  <si>
    <t>終了する会計期間</t>
  </si>
  <si>
    <t>За финансовый период, завершившийся</t>
  </si>
  <si>
    <t>Para el período fiscal que finaliza</t>
  </si>
  <si>
    <t>회계 기간 종료</t>
  </si>
  <si>
    <t>Para o exercício financeiro terminado em</t>
  </si>
  <si>
    <t>描述</t>
  </si>
  <si>
    <t>La description</t>
  </si>
  <si>
    <t>Beschreibung</t>
  </si>
  <si>
    <t>Descrizione</t>
  </si>
  <si>
    <t>説明</t>
  </si>
  <si>
    <t>Описание</t>
  </si>
  <si>
    <t>Descripción</t>
  </si>
  <si>
    <t>기술</t>
  </si>
  <si>
    <t>百万</t>
  </si>
  <si>
    <t>百萬</t>
  </si>
  <si>
    <t>En millions d'euros</t>
  </si>
  <si>
    <t>In Millionen von</t>
  </si>
  <si>
    <t>In milioni di</t>
  </si>
  <si>
    <t>В миллионах</t>
  </si>
  <si>
    <t>En millones de</t>
  </si>
  <si>
    <t>백만</t>
  </si>
  <si>
    <t>Em milhões de</t>
  </si>
  <si>
    <t>市值/预估总收入</t>
  </si>
  <si>
    <t>市值/預估總收入</t>
  </si>
  <si>
    <t>Capitalisation boursière / total des revenus à terme</t>
  </si>
  <si>
    <t>Marktkapitalisierung/Forward-Gesamterlöse</t>
  </si>
  <si>
    <t>Ricavi di mercato/Ricavi totali atteso</t>
  </si>
  <si>
    <t>時価総額/予想売上高</t>
  </si>
  <si>
    <t>Рыночная капитализация / Общая форвардная выручка</t>
  </si>
  <si>
    <t>Capitalización bursátil/ Ingresos totales a plazo</t>
  </si>
  <si>
    <t>시가총액 / 예상 총 매출액</t>
  </si>
  <si>
    <t>Capitalização de mercado / receitas totais futuras</t>
  </si>
  <si>
    <t>据公司呈报的总收入</t>
  </si>
  <si>
    <t>據公司呈報的總收入</t>
  </si>
  <si>
    <t>Revenus totaux tels que déclarés</t>
  </si>
  <si>
    <t>Gemeldete Gesamterlöse</t>
  </si>
  <si>
    <t>Totale ricavi come riportato</t>
  </si>
  <si>
    <t>総売上高(開示ベース)</t>
  </si>
  <si>
    <t>Итоговая выручка согласно отчёту</t>
  </si>
  <si>
    <t xml:space="preserve">Ingresos totales Reportados </t>
  </si>
  <si>
    <t>보고된 총수입</t>
  </si>
  <si>
    <t>Receita Total Conforme Divulgado</t>
  </si>
  <si>
    <t>12个月</t>
  </si>
  <si>
    <t>12個月</t>
  </si>
  <si>
    <t>12 mois</t>
  </si>
  <si>
    <t>12 Monate</t>
  </si>
  <si>
    <t>12 m</t>
  </si>
  <si>
    <t>12ヶ月</t>
  </si>
  <si>
    <t>12 месяцев</t>
  </si>
  <si>
    <t>12 meses</t>
  </si>
  <si>
    <t>12개월</t>
  </si>
  <si>
    <t>短期流动性</t>
  </si>
  <si>
    <t>短期流動性</t>
  </si>
  <si>
    <t>Liquidité à court terme</t>
  </si>
  <si>
    <t>Kurzfristige Liquidität</t>
  </si>
  <si>
    <t>Disponibilità finanziarie a breve termine</t>
  </si>
  <si>
    <t>Краткосрочная ликвидность</t>
  </si>
  <si>
    <t>Liquidez a corto plazo</t>
  </si>
  <si>
    <t>단기 유동성 지표</t>
  </si>
  <si>
    <t>Liquidez de Curto Prazo</t>
  </si>
  <si>
    <t>长期偿付能力</t>
  </si>
  <si>
    <t>長期償付能力</t>
  </si>
  <si>
    <t>Solvabilité à long terme</t>
  </si>
  <si>
    <t>Langfristige Zahlungsfähigkeit</t>
  </si>
  <si>
    <t>Solvenza a lungo termine</t>
  </si>
  <si>
    <t>長期ソルベンシー</t>
  </si>
  <si>
    <t>Долгосрочная платежеспособность</t>
  </si>
  <si>
    <t>Solvencia a largo plazo</t>
  </si>
  <si>
    <t>장기 유동성  지표</t>
  </si>
  <si>
    <t>Solvência Não Corrente</t>
  </si>
  <si>
    <t>Margem%</t>
  </si>
  <si>
    <t>Capitalização</t>
  </si>
  <si>
    <t>Participação minoritária total</t>
  </si>
  <si>
    <t>Capital Total</t>
  </si>
  <si>
    <t>Múltiplos de avaliação</t>
  </si>
  <si>
    <t>Publicidade</t>
  </si>
  <si>
    <t>Despesas de P&amp;D (notas de rodapé)</t>
  </si>
  <si>
    <t>Fecho</t>
  </si>
  <si>
    <t>Preço / LPA UDM</t>
  </si>
  <si>
    <t>Preço / valor contábil</t>
  </si>
  <si>
    <t>Preço / valor contábil futuro</t>
  </si>
  <si>
    <t>Preço / Valor contabil tangível</t>
  </si>
  <si>
    <t>Preço da ação</t>
  </si>
  <si>
    <t>Papel Comercial Total</t>
  </si>
  <si>
    <t>Crédito Rotativo Total</t>
  </si>
  <si>
    <t>Total de empréstimos a prazo</t>
  </si>
  <si>
    <t>Total de obrigações e notas sênior</t>
  </si>
  <si>
    <t>Total de obrigações e notas subordinadas</t>
  </si>
  <si>
    <t>Total trust preferencial</t>
  </si>
  <si>
    <t>Outros empréstimos</t>
  </si>
  <si>
    <t>Total Principal Devido</t>
  </si>
  <si>
    <t>Prêmio Total Não Amortizado</t>
  </si>
  <si>
    <t>Desconto total não amortizado</t>
  </si>
  <si>
    <t>Total da dívida em circulação</t>
  </si>
  <si>
    <t>Crédito rotativo não sacado</t>
  </si>
  <si>
    <t>Papel comercial não sacado</t>
  </si>
  <si>
    <t>Empréstimos a prazo não sacados</t>
  </si>
  <si>
    <t>Linhas securitizadas não sacadas</t>
  </si>
  <si>
    <t>Outros créditos disponíveis</t>
  </si>
  <si>
    <t>Crédito total não utilizado</t>
  </si>
  <si>
    <t>Dívida Sênior Total</t>
  </si>
  <si>
    <t>Dívida subordinada total</t>
  </si>
  <si>
    <t>Dívida sênior subordinada</t>
  </si>
  <si>
    <t>Dívida subordinada</t>
  </si>
  <si>
    <t>Dívida júnior subordinada</t>
  </si>
  <si>
    <t>Dívida conversível total</t>
  </si>
  <si>
    <t>Dívida Bancária Total</t>
  </si>
  <si>
    <t xml:space="preserve">Dívida Garantida Total </t>
  </si>
  <si>
    <t>Índices de Crédito</t>
  </si>
  <si>
    <t>Dívida Sênior / EBITDA</t>
  </si>
  <si>
    <t>Dívida subordinada total / EBITDA</t>
  </si>
  <si>
    <t>Dívida sênior subordinada / EBITDA</t>
  </si>
  <si>
    <t>Dívida subordinada / EBITDA</t>
  </si>
  <si>
    <t>Dívida júnior subordinada / EBITDA</t>
  </si>
  <si>
    <t>Dívida Sênior / (EBITDA - CAPEX)</t>
  </si>
  <si>
    <t>Total Dívida subordinada / (EBITDA - CAPEX)</t>
  </si>
  <si>
    <t>Dívida sênior subordinada / (EBITDA-CAPEX)</t>
  </si>
  <si>
    <t>Dívida subordinada / (EBITDA-CAPEX)</t>
  </si>
  <si>
    <t>Dívida júnior subordinada / (EBITDA-CAPEX)</t>
  </si>
  <si>
    <t>Dívida LP a vencer + 1</t>
  </si>
  <si>
    <t>Dívida LP a vencer + 2</t>
  </si>
  <si>
    <t>Dívida LP a vencer + 3</t>
  </si>
  <si>
    <t>Dívida LP a vencer + 4</t>
  </si>
  <si>
    <t>Dívida LP a vencer + 5</t>
  </si>
  <si>
    <t>Dívida LP a vencer, próximos cinco anos</t>
  </si>
  <si>
    <t>Dívida LP a vencer após 5 anos</t>
  </si>
  <si>
    <t>Sim</t>
  </si>
  <si>
    <t>Não</t>
  </si>
  <si>
    <t>Descrição</t>
  </si>
  <si>
    <t>Margem SG&amp;A (%)</t>
  </si>
  <si>
    <t>Margem EBITA%</t>
  </si>
  <si>
    <t>Margem de Ganhos das operações continuadas %</t>
  </si>
  <si>
    <t>Margem de Lucro líquido disponível para ordinários %</t>
  </si>
  <si>
    <t>Margem de Lucro líquido normalizado %</t>
  </si>
  <si>
    <t xml:space="preserve">Margem de fluxo de caixa livre alavancada % </t>
  </si>
  <si>
    <t>Margem de fluxo de caixa livre desalavancada %</t>
  </si>
  <si>
    <t>Relação de caixa das operações/passivos circulantes</t>
  </si>
  <si>
    <t>Média de dias de vendas pendentes</t>
  </si>
  <si>
    <t>Média de dias de estoque pendentes</t>
  </si>
  <si>
    <t>Ativos fixos líquidos</t>
  </si>
  <si>
    <t>Despesas de capital</t>
  </si>
  <si>
    <t>Ativos sob arrendamento financeiro - depreciação acumulada</t>
  </si>
  <si>
    <t>Ativos em arrendamento operacional - depreciação acumulada</t>
  </si>
  <si>
    <t>Exercício encerrado,</t>
  </si>
  <si>
    <t>Lucro Diluído por Ações Ord. e Pref. Excl. Itens Extras</t>
  </si>
  <si>
    <t>Ações em Circulação</t>
  </si>
  <si>
    <t>Ações ordinárias</t>
  </si>
  <si>
    <t>Preço / Lucro por ação diluído antes do extra</t>
  </si>
  <si>
    <t>Baixa de Ativos, Total (Suplemento)</t>
  </si>
  <si>
    <t>Preço / Valor Contábil Tangível</t>
  </si>
  <si>
    <t>Ganhos de Descontos em Aquisição (Suplemento)</t>
  </si>
  <si>
    <t>Despesas de P&amp;D em Progresso (Suplemento)</t>
  </si>
  <si>
    <t>Liquidação de Seguros (Suplemento)</t>
  </si>
  <si>
    <t>Liquidação de Acordos Legais (Suplemento)</t>
  </si>
  <si>
    <t>Remuneração Baseada em Ações, Despesas Exploração / Perfuração</t>
  </si>
  <si>
    <t>Valor de Liquidação de Ações Preferenciais - Conversível</t>
  </si>
  <si>
    <t>Valor de Liquidação de Ações Preferenciais - Não Resgatáveis</t>
  </si>
  <si>
    <t>Valor de Liquidação de Ações Preferenciais - Resgatáveis</t>
  </si>
  <si>
    <t>Resultado Líquido e Outros Ajustes em Ativos</t>
  </si>
  <si>
    <t>Resultado Líquido e Outros Ajustes em Passivos</t>
  </si>
  <si>
    <t>Média</t>
  </si>
  <si>
    <t>Dívida Líquida / EBITDA</t>
  </si>
  <si>
    <t>Dívida Total/EBITDA</t>
  </si>
  <si>
    <t>Dívida Total/Capital</t>
  </si>
  <si>
    <t>Dívida Líquida/(EBITDA-CAPEX)</t>
  </si>
  <si>
    <t>Dívida Total/(EBITDA-CAPEX)</t>
  </si>
  <si>
    <t>Retorno Sobre Ativos %</t>
  </si>
  <si>
    <t>Retorno Sobre Capital %</t>
  </si>
  <si>
    <t>Retorno Sobre Patrimônio Líquido %</t>
  </si>
  <si>
    <t>Retorno Sobre Patrimônio de Ações Ordinárias %</t>
  </si>
  <si>
    <t>Margem Bruta %</t>
  </si>
  <si>
    <t>Margem EBITDA %</t>
  </si>
  <si>
    <t>Margem EBIT %</t>
  </si>
  <si>
    <t>Margem de Receita Líquida %</t>
  </si>
  <si>
    <t>EBIT / Despesa de Juros</t>
  </si>
  <si>
    <t>EBITDA / Despesa de Juros</t>
  </si>
  <si>
    <t>Dívida Total/Patrimônio Líquido</t>
  </si>
  <si>
    <t>Dívida Não Corrente/Patrimônio</t>
  </si>
  <si>
    <t>Dívida Não Corrente/Capital</t>
  </si>
  <si>
    <t>Passivo Total/Ativo Total</t>
  </si>
  <si>
    <t>(EBITDA-CAPEX) / Despesa de Juros</t>
  </si>
  <si>
    <t>EBIT 마진 %</t>
  </si>
  <si>
    <t>EBITA 마진 %</t>
  </si>
  <si>
    <t>Среднее количество дней оборачиваемости продаж.</t>
  </si>
  <si>
    <t>Среднее количество дней к оплате</t>
  </si>
  <si>
    <t>Средневзвешенная цена исполнения варрантов в обращении - Прочие</t>
  </si>
  <si>
    <t>Средневзвешенная цена исполнения варрантов выпущенных - Прочие</t>
  </si>
  <si>
    <t>Capitalização de Mercado</t>
  </si>
  <si>
    <t>TEV (Valor Total da Empresa)/ EBIT</t>
  </si>
  <si>
    <t>Perda de Valor de Goodwill, Total (suplementar)</t>
  </si>
  <si>
    <t>Total de ações em circulação com apresentadas no relatório</t>
  </si>
  <si>
    <t>Para o final do calendário trimestral,</t>
  </si>
  <si>
    <t xml:space="preserve">TEV (Valor Total da Empresa) / EBITDA PDM </t>
  </si>
  <si>
    <t>TEV (Valor Total da Empresa) / EBIT UDM</t>
  </si>
  <si>
    <t xml:space="preserve">TEV (Valor Total da Empresa) / EBIT PDM </t>
  </si>
  <si>
    <t>Índice PEG (preço / lucro para crescimento)</t>
  </si>
  <si>
    <t>Parcela circulante da Dívida de longo prazo / Arrendamento de capital</t>
  </si>
  <si>
    <t>Bonds e notas sênior garantidos</t>
  </si>
  <si>
    <t>Bonds e notas sênior sem garantia</t>
  </si>
  <si>
    <t>Dívida Total sem Garantia</t>
  </si>
  <si>
    <t>Bonds e notas com garantia de segundo grau</t>
  </si>
  <si>
    <t>Dívida total não-recorrente</t>
  </si>
  <si>
    <t>Dívida de cupom com taxa zero</t>
  </si>
  <si>
    <t xml:space="preserve">Cronograma de Pagamento Fixo </t>
  </si>
  <si>
    <t>Senioridade</t>
  </si>
  <si>
    <t>Média de dias de contas a pagar pendentes</t>
  </si>
  <si>
    <t>LPA diluído antes de extraordinários</t>
  </si>
  <si>
    <t>Média ponderada do preço de exercício de opções em circulação no início do período</t>
  </si>
  <si>
    <t>TEV (VALOR TOTAL DA EMPRESA)</t>
  </si>
  <si>
    <t>months</t>
  </si>
  <si>
    <t>个月</t>
  </si>
  <si>
    <t>個月</t>
  </si>
  <si>
    <t>mois</t>
  </si>
  <si>
    <t>Monate</t>
  </si>
  <si>
    <t>m</t>
  </si>
  <si>
    <t>ヶ月</t>
  </si>
  <si>
    <t>месяцев</t>
  </si>
  <si>
    <t>meses</t>
  </si>
  <si>
    <t>개월</t>
  </si>
  <si>
    <t>Source:  S&amp;P Capital IQ</t>
  </si>
  <si>
    <t>その他営業費用合計</t>
  </si>
  <si>
    <t>Current</t>
  </si>
  <si>
    <t>历史数据</t>
  </si>
  <si>
    <t>歷史數據</t>
  </si>
  <si>
    <t>Historique</t>
  </si>
  <si>
    <t>Historisch</t>
  </si>
  <si>
    <t>Storico</t>
  </si>
  <si>
    <t>ヒストリカル</t>
  </si>
  <si>
    <t>Историческ.</t>
  </si>
  <si>
    <t>Histórico</t>
  </si>
  <si>
    <t>역사적 환율</t>
  </si>
  <si>
    <t>当前数据</t>
  </si>
  <si>
    <t>當前數據</t>
  </si>
  <si>
    <t>Actuelle</t>
  </si>
  <si>
    <t>Aktuell</t>
  </si>
  <si>
    <t>Attuale</t>
  </si>
  <si>
    <t>カレント</t>
  </si>
  <si>
    <t>Текущ.</t>
  </si>
  <si>
    <t>Actual</t>
  </si>
  <si>
    <t>현재 환율</t>
  </si>
  <si>
    <t>Atual</t>
  </si>
  <si>
    <t>予想期間のEPS値はロイターの平均予測値となります。</t>
  </si>
  <si>
    <t xml:space="preserve">Ticker </t>
  </si>
  <si>
    <t>LGND</t>
  </si>
  <si>
    <t>SEE</t>
  </si>
  <si>
    <t>ESE</t>
  </si>
  <si>
    <t>FQT</t>
  </si>
  <si>
    <t>KEYS</t>
  </si>
  <si>
    <t>MKRO</t>
  </si>
  <si>
    <t>AKVA</t>
  </si>
  <si>
    <t>SPAN</t>
  </si>
  <si>
    <t>NCAB</t>
  </si>
  <si>
    <t>MOBA</t>
  </si>
  <si>
    <t>THEP</t>
  </si>
  <si>
    <t>EXS</t>
  </si>
  <si>
    <t>AAC</t>
  </si>
  <si>
    <t>ZEHN</t>
  </si>
  <si>
    <t>ADMIN</t>
  </si>
  <si>
    <t>DOFG</t>
  </si>
  <si>
    <t>MBBAB</t>
  </si>
  <si>
    <t>NKR</t>
  </si>
  <si>
    <t>BC8</t>
  </si>
  <si>
    <t>SMWB</t>
  </si>
  <si>
    <t>NAR</t>
  </si>
  <si>
    <t>LEMON</t>
  </si>
  <si>
    <t>ARCH</t>
  </si>
  <si>
    <t>TXT</t>
  </si>
  <si>
    <t>KCR</t>
  </si>
  <si>
    <t>BOSN</t>
  </si>
  <si>
    <t>SKAND</t>
  </si>
  <si>
    <t>GIF</t>
  </si>
  <si>
    <t>FNTL</t>
  </si>
  <si>
    <t>JDG</t>
  </si>
  <si>
    <t>INAC</t>
  </si>
  <si>
    <t>ESPE</t>
  </si>
  <si>
    <t>SGC</t>
  </si>
  <si>
    <t>LDB</t>
  </si>
  <si>
    <t>EUK</t>
  </si>
  <si>
    <t>WETTERI</t>
  </si>
  <si>
    <t>IDNTT</t>
  </si>
  <si>
    <t>SGO</t>
  </si>
  <si>
    <t>ABVE</t>
  </si>
  <si>
    <t>NORBT</t>
  </si>
  <si>
    <t>STG</t>
  </si>
  <si>
    <t>ININ</t>
  </si>
  <si>
    <t>ZZ B</t>
  </si>
  <si>
    <t>FTZ</t>
  </si>
  <si>
    <t>MEX</t>
  </si>
  <si>
    <t>KW</t>
  </si>
  <si>
    <t>RVLV</t>
  </si>
  <si>
    <t>FNM</t>
  </si>
  <si>
    <t>SUN</t>
  </si>
  <si>
    <t>SUP</t>
  </si>
  <si>
    <t>SON</t>
  </si>
  <si>
    <t>PGNY</t>
  </si>
  <si>
    <t>AOJ B</t>
  </si>
  <si>
    <t>MER</t>
  </si>
  <si>
    <t>INT</t>
  </si>
  <si>
    <t>VIH1</t>
  </si>
  <si>
    <t>NKT</t>
  </si>
  <si>
    <t>SWT</t>
  </si>
  <si>
    <t>8163</t>
  </si>
  <si>
    <t>TNXT</t>
  </si>
  <si>
    <t>BTS B</t>
  </si>
  <si>
    <t>80M</t>
  </si>
  <si>
    <t>TATE</t>
  </si>
  <si>
    <t>RICHTER</t>
  </si>
  <si>
    <t>PERP B</t>
  </si>
  <si>
    <t>CGS</t>
  </si>
  <si>
    <t>G2M</t>
  </si>
  <si>
    <t>INF1T</t>
  </si>
  <si>
    <t>1662</t>
  </si>
  <si>
    <t>SAMPO</t>
  </si>
  <si>
    <t>SUSG</t>
  </si>
  <si>
    <t>MAGLE</t>
  </si>
  <si>
    <t>MNG</t>
  </si>
  <si>
    <t>LOGI A</t>
  </si>
  <si>
    <t>AGO</t>
  </si>
  <si>
    <t>KTY</t>
  </si>
  <si>
    <t>SVIK</t>
  </si>
  <si>
    <t>STB</t>
  </si>
  <si>
    <t>DRR</t>
  </si>
  <si>
    <t>PEG</t>
  </si>
  <si>
    <t>LBTY.A</t>
  </si>
  <si>
    <t>ABTEC</t>
  </si>
  <si>
    <t>GFINBUR O</t>
  </si>
  <si>
    <t>RNWH</t>
  </si>
  <si>
    <t>OXIG</t>
  </si>
  <si>
    <t>AXFO</t>
  </si>
  <si>
    <t>DSG</t>
  </si>
  <si>
    <t>VHI</t>
  </si>
  <si>
    <t>CRML</t>
  </si>
  <si>
    <t>WUF1V</t>
  </si>
  <si>
    <t>AUB</t>
  </si>
  <si>
    <t>PPHC</t>
  </si>
  <si>
    <t>3668</t>
  </si>
  <si>
    <t>MORLD</t>
  </si>
  <si>
    <t>000333</t>
  </si>
  <si>
    <t>4527</t>
  </si>
  <si>
    <t>8K7</t>
  </si>
  <si>
    <t>HOOD</t>
  </si>
  <si>
    <t>EVD</t>
  </si>
  <si>
    <t>TTE</t>
  </si>
  <si>
    <t>OSG</t>
  </si>
  <si>
    <t>EDYOU</t>
  </si>
  <si>
    <t>KPN</t>
  </si>
  <si>
    <t>CDG</t>
  </si>
  <si>
    <t>DSCV</t>
  </si>
  <si>
    <t>SRC</t>
  </si>
  <si>
    <t>MULTI</t>
  </si>
  <si>
    <t>74SW</t>
  </si>
  <si>
    <t>CW</t>
  </si>
  <si>
    <t>TPFG</t>
  </si>
  <si>
    <t>IP</t>
  </si>
  <si>
    <t>LECO</t>
  </si>
  <si>
    <t>ILP</t>
  </si>
  <si>
    <t>FOUR</t>
  </si>
  <si>
    <t>EZJ</t>
  </si>
  <si>
    <t>LEADD</t>
  </si>
  <si>
    <t>IMD</t>
  </si>
  <si>
    <t>CELL</t>
  </si>
  <si>
    <t>SFT</t>
  </si>
  <si>
    <t>ENY</t>
  </si>
  <si>
    <t>HOFI</t>
  </si>
  <si>
    <t>INSG</t>
  </si>
  <si>
    <t>STECH</t>
  </si>
  <si>
    <t>MRK</t>
  </si>
  <si>
    <t>WOR</t>
  </si>
  <si>
    <t>HEX</t>
  </si>
  <si>
    <t>GROY</t>
  </si>
  <si>
    <t>3407</t>
  </si>
  <si>
    <t>LINK</t>
  </si>
  <si>
    <t>MYD</t>
  </si>
  <si>
    <t>CTPNV</t>
  </si>
  <si>
    <t>WIHL</t>
  </si>
  <si>
    <t>NWL</t>
  </si>
  <si>
    <t>IVN</t>
  </si>
  <si>
    <t>6902</t>
  </si>
  <si>
    <t>KRONA</t>
  </si>
  <si>
    <t>CPI</t>
  </si>
  <si>
    <t>B3</t>
  </si>
  <si>
    <t>ULS</t>
  </si>
  <si>
    <t>MAB</t>
  </si>
  <si>
    <t>ALSYDB</t>
  </si>
  <si>
    <t>VOS</t>
  </si>
  <si>
    <t>ACAG</t>
  </si>
  <si>
    <t>BEKB</t>
  </si>
  <si>
    <t>VEI</t>
  </si>
  <si>
    <t>ARBN</t>
  </si>
  <si>
    <t>CVKMD</t>
  </si>
  <si>
    <t>XSNX</t>
  </si>
  <si>
    <t>TMIN</t>
  </si>
  <si>
    <t>BETCO</t>
  </si>
  <si>
    <t>ATC</t>
  </si>
  <si>
    <t>NTW</t>
  </si>
  <si>
    <t>BDB</t>
  </si>
  <si>
    <t>ABL</t>
  </si>
  <si>
    <t>MG</t>
  </si>
  <si>
    <t>NORD</t>
  </si>
  <si>
    <t>5711</t>
  </si>
  <si>
    <t>EQUI</t>
  </si>
  <si>
    <t>DOV</t>
  </si>
  <si>
    <t>CRTX</t>
  </si>
  <si>
    <t>FRP</t>
  </si>
  <si>
    <t>7455</t>
  </si>
  <si>
    <t>IG</t>
  </si>
  <si>
    <t>CGY</t>
  </si>
  <si>
    <t>MEKO</t>
  </si>
  <si>
    <t>SPHR</t>
  </si>
  <si>
    <t>FCT</t>
  </si>
  <si>
    <t>TAL</t>
  </si>
  <si>
    <t>INFRA</t>
  </si>
  <si>
    <t>ADVT</t>
  </si>
  <si>
    <t>ABDX</t>
  </si>
  <si>
    <t>MANTA</t>
  </si>
  <si>
    <t>BSQR</t>
  </si>
  <si>
    <t>688167</t>
  </si>
  <si>
    <t>POS</t>
  </si>
  <si>
    <t>S3D</t>
  </si>
  <si>
    <t>FOM</t>
  </si>
  <si>
    <t>GCP</t>
  </si>
  <si>
    <t>SUNPHARMA</t>
  </si>
  <si>
    <t>TGAMES</t>
  </si>
  <si>
    <t>KAR</t>
  </si>
  <si>
    <t>VITR</t>
  </si>
  <si>
    <t>INTA</t>
  </si>
  <si>
    <t>SMCRT</t>
  </si>
  <si>
    <t>EGB</t>
  </si>
  <si>
    <t>ALBFR</t>
  </si>
  <si>
    <t>OBEL</t>
  </si>
  <si>
    <t>SSTY</t>
  </si>
  <si>
    <t>HLMA</t>
  </si>
  <si>
    <t>KBL</t>
  </si>
  <si>
    <t>SBC</t>
  </si>
  <si>
    <t>ULTH</t>
  </si>
  <si>
    <t>RHR</t>
  </si>
  <si>
    <t>HOLX</t>
  </si>
  <si>
    <t>SGH</t>
  </si>
  <si>
    <t>PE</t>
  </si>
  <si>
    <t>ATSI</t>
  </si>
  <si>
    <t>BFT</t>
  </si>
  <si>
    <t>AZRN</t>
  </si>
  <si>
    <t>EPRO B</t>
  </si>
  <si>
    <t>VEND</t>
  </si>
  <si>
    <t>2395</t>
  </si>
  <si>
    <t>6599</t>
  </si>
  <si>
    <t>FPIP</t>
  </si>
  <si>
    <t>NCK</t>
  </si>
  <si>
    <t>SNG</t>
  </si>
  <si>
    <t>FFH</t>
  </si>
  <si>
    <t>PREV B</t>
  </si>
  <si>
    <t>ITH</t>
  </si>
  <si>
    <t>EUR</t>
  </si>
  <si>
    <t>NX</t>
  </si>
  <si>
    <t>FEN</t>
  </si>
  <si>
    <t>ELLAKTOR</t>
  </si>
  <si>
    <t>BUSER</t>
  </si>
  <si>
    <t>LYKO A</t>
  </si>
  <si>
    <t>DCI</t>
  </si>
  <si>
    <t>DGV</t>
  </si>
  <si>
    <t>301307</t>
  </si>
  <si>
    <t>094124453</t>
  </si>
  <si>
    <t>NREN</t>
  </si>
  <si>
    <t>WIRTEK</t>
  </si>
  <si>
    <t>KRN</t>
  </si>
  <si>
    <t>BRKR</t>
  </si>
  <si>
    <t>STK</t>
  </si>
  <si>
    <t>NIDHOG</t>
  </si>
  <si>
    <t>Y73</t>
  </si>
  <si>
    <t>GPI</t>
  </si>
  <si>
    <t>DG</t>
  </si>
  <si>
    <t>HEMP</t>
  </si>
  <si>
    <t>HUD</t>
  </si>
  <si>
    <t>SDIP B</t>
  </si>
  <si>
    <t>ATTICA</t>
  </si>
  <si>
    <t>PLN</t>
  </si>
  <si>
    <t>DE</t>
  </si>
  <si>
    <t>CLEMO</t>
  </si>
  <si>
    <t>ALISA</t>
  </si>
  <si>
    <t>ALLDL</t>
  </si>
  <si>
    <t>XANO B</t>
  </si>
  <si>
    <t>FIN</t>
  </si>
  <si>
    <t>KER</t>
  </si>
  <si>
    <t>MHPC</t>
  </si>
  <si>
    <t>AST</t>
  </si>
  <si>
    <t>IR</t>
  </si>
  <si>
    <t>LNN</t>
  </si>
  <si>
    <t>TKA</t>
  </si>
  <si>
    <t>VIMAB</t>
  </si>
  <si>
    <t>WBS</t>
  </si>
  <si>
    <t>STLAM</t>
  </si>
  <si>
    <t>FWON.K</t>
  </si>
  <si>
    <t>FLGC</t>
  </si>
  <si>
    <t>AKOM</t>
  </si>
  <si>
    <t>WINE</t>
  </si>
  <si>
    <t>1800</t>
  </si>
  <si>
    <t>POR</t>
  </si>
  <si>
    <t>KITW</t>
  </si>
  <si>
    <t>OGKB</t>
  </si>
  <si>
    <t>HON</t>
  </si>
  <si>
    <t>GO</t>
  </si>
  <si>
    <t>DMET</t>
  </si>
  <si>
    <t>CALVIK</t>
  </si>
  <si>
    <t>SLV</t>
  </si>
  <si>
    <t>MPK</t>
  </si>
  <si>
    <t>REP</t>
  </si>
  <si>
    <t>WIIT</t>
  </si>
  <si>
    <t>TORG</t>
  </si>
  <si>
    <t>SSE</t>
  </si>
  <si>
    <t>MYCR</t>
  </si>
  <si>
    <t>ROAD</t>
  </si>
  <si>
    <t>BAHN B</t>
  </si>
  <si>
    <t>MANG</t>
  </si>
  <si>
    <t>EPR</t>
  </si>
  <si>
    <t>6</t>
  </si>
  <si>
    <t>SHL</t>
  </si>
  <si>
    <t>CEZ</t>
  </si>
  <si>
    <t>CPRI</t>
  </si>
  <si>
    <t>WIX</t>
  </si>
  <si>
    <t>TCF</t>
  </si>
  <si>
    <t>MTRS</t>
  </si>
  <si>
    <t>VCIG</t>
  </si>
  <si>
    <t>ILM1</t>
  </si>
  <si>
    <t>GM</t>
  </si>
  <si>
    <t>QTRH</t>
  </si>
  <si>
    <t>AKO1L</t>
  </si>
  <si>
    <t>AKSO</t>
  </si>
  <si>
    <t>VMT</t>
  </si>
  <si>
    <t>AZN</t>
  </si>
  <si>
    <t>AMS</t>
  </si>
  <si>
    <t>RRR</t>
  </si>
  <si>
    <t>CDA</t>
  </si>
  <si>
    <t>DOM</t>
  </si>
  <si>
    <t>TDY</t>
  </si>
  <si>
    <t>MT</t>
  </si>
  <si>
    <t>SPIE</t>
  </si>
  <si>
    <t>CXT</t>
  </si>
  <si>
    <t>AQ</t>
  </si>
  <si>
    <t>A2A</t>
  </si>
  <si>
    <t>NBS</t>
  </si>
  <si>
    <t>TWIN</t>
  </si>
  <si>
    <t>BALCO</t>
  </si>
  <si>
    <t>ALCA</t>
  </si>
  <si>
    <t>MTLC</t>
  </si>
  <si>
    <t>BREE</t>
  </si>
  <si>
    <t>CDNS</t>
  </si>
  <si>
    <t>PKOH</t>
  </si>
  <si>
    <t>SPZ</t>
  </si>
  <si>
    <t>2300</t>
  </si>
  <si>
    <t>CICN</t>
  </si>
  <si>
    <t>VISTN</t>
  </si>
  <si>
    <t>KRM</t>
  </si>
  <si>
    <t>AUTOWALLIS</t>
  </si>
  <si>
    <t>1171</t>
  </si>
  <si>
    <t>TNC</t>
  </si>
  <si>
    <t>LUCE</t>
  </si>
  <si>
    <t>ACF</t>
  </si>
  <si>
    <t>SGN</t>
  </si>
  <si>
    <t>ECMB</t>
  </si>
  <si>
    <t>NYAB</t>
  </si>
  <si>
    <t>EGY</t>
  </si>
  <si>
    <t>GXO</t>
  </si>
  <si>
    <t>TRESTATES</t>
  </si>
  <si>
    <t>KWR</t>
  </si>
  <si>
    <t>POW</t>
  </si>
  <si>
    <t>DEVP B</t>
  </si>
  <si>
    <t>VRLA</t>
  </si>
  <si>
    <t>IRIS</t>
  </si>
  <si>
    <t>CPR</t>
  </si>
  <si>
    <t>GTT</t>
  </si>
  <si>
    <t>DCTA</t>
  </si>
  <si>
    <t>BNZL</t>
  </si>
  <si>
    <t>6279</t>
  </si>
  <si>
    <t>SHA0</t>
  </si>
  <si>
    <t>BPF</t>
  </si>
  <si>
    <t>LRND</t>
  </si>
  <si>
    <t>UNLGRP</t>
  </si>
  <si>
    <t>SLYG</t>
  </si>
  <si>
    <t>IEG</t>
  </si>
  <si>
    <t>KIST</t>
  </si>
  <si>
    <t>WPTG B</t>
  </si>
  <si>
    <t>7420</t>
  </si>
  <si>
    <t>ALMCP</t>
  </si>
  <si>
    <t>UNI</t>
  </si>
  <si>
    <t>VRSK</t>
  </si>
  <si>
    <t>SEGG</t>
  </si>
  <si>
    <t>ACT</t>
  </si>
  <si>
    <t>MSI</t>
  </si>
  <si>
    <t>TBS</t>
  </si>
  <si>
    <t>FAB</t>
  </si>
  <si>
    <t>HSN</t>
  </si>
  <si>
    <t>XPRO</t>
  </si>
  <si>
    <t>NEX</t>
  </si>
  <si>
    <t>RAY B</t>
  </si>
  <si>
    <t>TLV</t>
  </si>
  <si>
    <t>ACAD</t>
  </si>
  <si>
    <t>BTRW</t>
  </si>
  <si>
    <t>MSCI</t>
  </si>
  <si>
    <t>5258</t>
  </si>
  <si>
    <t>EMIL B</t>
  </si>
  <si>
    <t>MPWR</t>
  </si>
  <si>
    <t>ATS</t>
  </si>
  <si>
    <t>KAI</t>
  </si>
  <si>
    <t>EVO</t>
  </si>
  <si>
    <t>ENR</t>
  </si>
  <si>
    <t>GAMA</t>
  </si>
  <si>
    <t>LKOH</t>
  </si>
  <si>
    <t>ELAN B</t>
  </si>
  <si>
    <t>BA.</t>
  </si>
  <si>
    <t>ORIT</t>
  </si>
  <si>
    <t>SKP</t>
  </si>
  <si>
    <t>9502</t>
  </si>
  <si>
    <t>BINERO</t>
  </si>
  <si>
    <t>BG</t>
  </si>
  <si>
    <t>RMV</t>
  </si>
  <si>
    <t>SSTK</t>
  </si>
  <si>
    <t>QDT</t>
  </si>
  <si>
    <t>TRP</t>
  </si>
  <si>
    <t>8450</t>
  </si>
  <si>
    <t>TRIB</t>
  </si>
  <si>
    <t>KSL</t>
  </si>
  <si>
    <t>REBL</t>
  </si>
  <si>
    <t>H2O</t>
  </si>
  <si>
    <t>LOKO</t>
  </si>
  <si>
    <t>MDH</t>
  </si>
  <si>
    <t>IBST</t>
  </si>
  <si>
    <t>LIDDS</t>
  </si>
  <si>
    <t>CURN</t>
  </si>
  <si>
    <t>DT</t>
  </si>
  <si>
    <t>ITD</t>
  </si>
  <si>
    <t>SPEC</t>
  </si>
  <si>
    <t>FGP</t>
  </si>
  <si>
    <t>NBX</t>
  </si>
  <si>
    <t>SBTX</t>
  </si>
  <si>
    <t>SOLWERS</t>
  </si>
  <si>
    <t>ASY</t>
  </si>
  <si>
    <t>NET</t>
  </si>
  <si>
    <t>UNX</t>
  </si>
  <si>
    <t>IMHO B</t>
  </si>
  <si>
    <t>CPG</t>
  </si>
  <si>
    <t>BRCK</t>
  </si>
  <si>
    <t>IQST</t>
  </si>
  <si>
    <t>FDJU</t>
  </si>
  <si>
    <t>CYK</t>
  </si>
  <si>
    <t>7272</t>
  </si>
  <si>
    <t>ADMCM</t>
  </si>
  <si>
    <t>ALMA</t>
  </si>
  <si>
    <t>HYQ</t>
  </si>
  <si>
    <t>SANT</t>
  </si>
  <si>
    <t>CBK</t>
  </si>
  <si>
    <t>DAY</t>
  </si>
  <si>
    <t>SIMINN</t>
  </si>
  <si>
    <t>A481070</t>
  </si>
  <si>
    <t>EMBLA</t>
  </si>
  <si>
    <t>FDE</t>
  </si>
  <si>
    <t>ELISA</t>
  </si>
  <si>
    <t>ELK</t>
  </si>
  <si>
    <t>ATT</t>
  </si>
  <si>
    <t>MET</t>
  </si>
  <si>
    <t>TNOM</t>
  </si>
  <si>
    <t>ARPL</t>
  </si>
  <si>
    <t>PUIG</t>
  </si>
  <si>
    <t>PNN</t>
  </si>
  <si>
    <t>ELIS</t>
  </si>
  <si>
    <t>CHMF</t>
  </si>
  <si>
    <t>SAAS</t>
  </si>
  <si>
    <t>D6H</t>
  </si>
  <si>
    <t>ETTE</t>
  </si>
  <si>
    <t>NORRH</t>
  </si>
  <si>
    <t>506734</t>
  </si>
  <si>
    <t>CWK</t>
  </si>
  <si>
    <t>x</t>
  </si>
  <si>
    <t>EBITDA Margin</t>
  </si>
  <si>
    <t>Book Value Equity</t>
  </si>
  <si>
    <t xml:space="preserve">Cash </t>
  </si>
  <si>
    <t>Announced Date</t>
  </si>
  <si>
    <t>Share price D-1</t>
  </si>
  <si>
    <t>Share Price D+1</t>
  </si>
  <si>
    <t>Share price W-1</t>
  </si>
  <si>
    <t>Share price W+1</t>
  </si>
  <si>
    <t>Ticker/ID</t>
  </si>
  <si>
    <t>Currency Conversion</t>
  </si>
  <si>
    <t>H</t>
  </si>
  <si>
    <t>NM</t>
  </si>
  <si>
    <t>12 months
déc-31-2023A
USD</t>
  </si>
  <si>
    <t>NA</t>
  </si>
  <si>
    <t>#NA</t>
  </si>
  <si>
    <t>IQTR1887325160</t>
  </si>
  <si>
    <t>IQTR1887325548</t>
  </si>
  <si>
    <t>IQTR1887383347</t>
  </si>
  <si>
    <t>IQTR1887530302</t>
  </si>
  <si>
    <t>IQTR1887943481</t>
  </si>
  <si>
    <t>IQTR1888332653</t>
  </si>
  <si>
    <t>IQTR1887260501</t>
  </si>
  <si>
    <t>IQTR1887297413</t>
  </si>
  <si>
    <t>IQTR1886914689</t>
  </si>
  <si>
    <t>IQTR1886917717</t>
  </si>
  <si>
    <t>IQTR1887271304</t>
  </si>
  <si>
    <t>IQTR1886885320</t>
  </si>
  <si>
    <t>IQTR1886943306</t>
  </si>
  <si>
    <t>IQTR1886945016</t>
  </si>
  <si>
    <t>IQTR1886548835</t>
  </si>
  <si>
    <t>IQTR1886573252</t>
  </si>
  <si>
    <t>IQTR1886607510</t>
  </si>
  <si>
    <t>IQTR1886706222</t>
  </si>
  <si>
    <t>IQTR1886714587</t>
  </si>
  <si>
    <t>IQTR1886212233</t>
  </si>
  <si>
    <t>IQTR1886231310</t>
  </si>
  <si>
    <t>IQTR1886264301</t>
  </si>
  <si>
    <t>IQTR1886288386</t>
  </si>
  <si>
    <t>IQTR1886295984</t>
  </si>
  <si>
    <t>IQTR1886486492</t>
  </si>
  <si>
    <t>IQTR1886497366</t>
  </si>
  <si>
    <t>IQTR1886741010</t>
  </si>
  <si>
    <t>IQTR1888073602</t>
  </si>
  <si>
    <t>IQTR1888189782</t>
  </si>
  <si>
    <t>IQTR1886058086</t>
  </si>
  <si>
    <t>IQTR1886059694</t>
  </si>
  <si>
    <t>IQTR1886082186</t>
  </si>
  <si>
    <t>IQTR1886216041</t>
  </si>
  <si>
    <t>IQTR1886231338</t>
  </si>
  <si>
    <t>IQTR1886316286</t>
  </si>
  <si>
    <t>IQTR1886316743</t>
  </si>
  <si>
    <t>IQTR1886519869</t>
  </si>
  <si>
    <t>IQTR1886736471</t>
  </si>
  <si>
    <t>IQTR1885752698</t>
  </si>
  <si>
    <t>IQTR1885835849</t>
  </si>
  <si>
    <t>IQTR1885888221</t>
  </si>
  <si>
    <t>IQTR1885888890</t>
  </si>
  <si>
    <t>IQTR1885897120</t>
  </si>
  <si>
    <t>IQTR1885898038</t>
  </si>
  <si>
    <t>IQTR1902529280</t>
  </si>
  <si>
    <t>IQTR1885885693</t>
  </si>
  <si>
    <t>IQTR1885593634</t>
  </si>
  <si>
    <t>IQTR1885613683</t>
  </si>
  <si>
    <t>IQTR1885625714</t>
  </si>
  <si>
    <t>IQTR1885657613</t>
  </si>
  <si>
    <t>IQTR1885831322</t>
  </si>
  <si>
    <t>IQTR1885485413</t>
  </si>
  <si>
    <t>IQTR1885486914</t>
  </si>
  <si>
    <t>IQTR1885501417</t>
  </si>
  <si>
    <t>IQTR1885579175</t>
  </si>
  <si>
    <t>IQTR1885963115</t>
  </si>
  <si>
    <t>IQTR1893522563</t>
  </si>
  <si>
    <t>IQTR1902482215</t>
  </si>
  <si>
    <t>IQTR1885368950</t>
  </si>
  <si>
    <t>IQTR1885371369</t>
  </si>
  <si>
    <t>IQTR1885477263</t>
  </si>
  <si>
    <t>IQTR1887359078</t>
  </si>
  <si>
    <t>IQTR1899932171</t>
  </si>
  <si>
    <t>IQTR1885241854</t>
  </si>
  <si>
    <t>IQTR1885256215</t>
  </si>
  <si>
    <t>IQTR1885260152</t>
  </si>
  <si>
    <t>IQTR1886768782</t>
  </si>
  <si>
    <t>IQTR1885079889</t>
  </si>
  <si>
    <t>IQTR1885128544</t>
  </si>
  <si>
    <t>IQTR1884947706</t>
  </si>
  <si>
    <t>IQTR1884947823</t>
  </si>
  <si>
    <t>IQTR1884949258</t>
  </si>
  <si>
    <t>IQTR1884949734</t>
  </si>
  <si>
    <t>IQTR1884951025</t>
  </si>
  <si>
    <t>IQTR1884955920</t>
  </si>
  <si>
    <t>IQTR1884960952</t>
  </si>
  <si>
    <t>IQTR1885009465</t>
  </si>
  <si>
    <t>IQTR1884893826</t>
  </si>
  <si>
    <t>IQTR1884913058</t>
  </si>
  <si>
    <t>IQTR1884939502</t>
  </si>
  <si>
    <t>IQTR1884939620</t>
  </si>
  <si>
    <t>IQTR1884941978</t>
  </si>
  <si>
    <t>IQTR1884978924</t>
  </si>
  <si>
    <t>IQTR1884668455</t>
  </si>
  <si>
    <t>IQTR1884671909</t>
  </si>
  <si>
    <t>IQTR1884711558</t>
  </si>
  <si>
    <t>IQTR1884579455</t>
  </si>
  <si>
    <t>IQTR1884682398</t>
  </si>
  <si>
    <t>IQTR1884454340</t>
  </si>
  <si>
    <t>IQTR1884459914</t>
  </si>
  <si>
    <t>IQTR1884461228</t>
  </si>
  <si>
    <t>IQTR1884467663</t>
  </si>
  <si>
    <t>IQTR1884396367</t>
  </si>
  <si>
    <t>IQTR1884396672</t>
  </si>
  <si>
    <t>IQTR1884428982</t>
  </si>
  <si>
    <t>IQTR1884454306</t>
  </si>
  <si>
    <t>IQTR1884241995</t>
  </si>
  <si>
    <t>IQTR1884283880</t>
  </si>
  <si>
    <t>IQTR1884433030</t>
  </si>
  <si>
    <t>IQTR1884438060</t>
  </si>
  <si>
    <t>IQTR1884118045</t>
  </si>
  <si>
    <t>IQTR1884130639</t>
  </si>
  <si>
    <t>IQTR1884140367</t>
  </si>
  <si>
    <t>IQTR1884224079</t>
  </si>
  <si>
    <t>IQTR1883898733</t>
  </si>
  <si>
    <t>IQTR1883913416</t>
  </si>
  <si>
    <t>IQTR1884118374</t>
  </si>
  <si>
    <t>IQTR1884430538</t>
  </si>
  <si>
    <t>IQTR1887689742</t>
  </si>
  <si>
    <t>IQTR1917082371</t>
  </si>
  <si>
    <t>IQTR1883784722</t>
  </si>
  <si>
    <t>IQTR1883872883</t>
  </si>
  <si>
    <t>IQTR1883429319</t>
  </si>
  <si>
    <t>IQTR1883430374</t>
  </si>
  <si>
    <t>IQTR1883448372</t>
  </si>
  <si>
    <t>IQTR1883711365</t>
  </si>
  <si>
    <t>IQTR1883750259</t>
  </si>
  <si>
    <t>IQTR1883867415</t>
  </si>
  <si>
    <t>IQTR1888388455</t>
  </si>
  <si>
    <t>IQTR1884788686</t>
  </si>
  <si>
    <t>IQTR1885125702</t>
  </si>
  <si>
    <t>IQTR1880254024</t>
  </si>
  <si>
    <t>IQTR1884390828</t>
  </si>
  <si>
    <t>IQTR1884559365</t>
  </si>
  <si>
    <t>IQTR1884682278</t>
  </si>
  <si>
    <t>IQTR1882350639</t>
  </si>
  <si>
    <t>IQTR1882368306</t>
  </si>
  <si>
    <t>IQTR1882387577</t>
  </si>
  <si>
    <t>IQTR1882394377</t>
  </si>
  <si>
    <t>IQTR1882477081</t>
  </si>
  <si>
    <t>IQTR1883731179</t>
  </si>
  <si>
    <t>IQTR1891121619</t>
  </si>
  <si>
    <t>IQTR1882234365</t>
  </si>
  <si>
    <t>IQTR1882265386</t>
  </si>
  <si>
    <t>IQTR1882269068</t>
  </si>
  <si>
    <t>IQTR1882269891</t>
  </si>
  <si>
    <t>IQTR1882271023</t>
  </si>
  <si>
    <t>IQTR1882156487</t>
  </si>
  <si>
    <t>IQTR1882171715</t>
  </si>
  <si>
    <t>IQTR1882220276</t>
  </si>
  <si>
    <t>IQTR1882238965</t>
  </si>
  <si>
    <t>IQTR1883740590</t>
  </si>
  <si>
    <t>IQTR1882129726</t>
  </si>
  <si>
    <t>IQTR1882147545</t>
  </si>
  <si>
    <t>IQTR1882234353</t>
  </si>
  <si>
    <t>IQTR1882064243</t>
  </si>
  <si>
    <t>IQTR1882159153</t>
  </si>
  <si>
    <t>IQTR1892761893</t>
  </si>
  <si>
    <t>IQTR1881930007</t>
  </si>
  <si>
    <t>IQTR1881773130</t>
  </si>
  <si>
    <t>IQTR1881902795</t>
  </si>
  <si>
    <t>IQTR1881578051</t>
  </si>
  <si>
    <t>IQTR1881580784</t>
  </si>
  <si>
    <t>IQTR1881586214</t>
  </si>
  <si>
    <t>IQTR1883238980</t>
  </si>
  <si>
    <t>IQTR1881566177</t>
  </si>
  <si>
    <t>IQTR1881478648</t>
  </si>
  <si>
    <t>IQTR1881494002</t>
  </si>
  <si>
    <t>IQTR1882064439</t>
  </si>
  <si>
    <t>IQTR1884548144</t>
  </si>
  <si>
    <t>IQTR1881248428</t>
  </si>
  <si>
    <t>IQTR1881481857</t>
  </si>
  <si>
    <t>IQTR1881656099</t>
  </si>
  <si>
    <t>IQTR1882147065</t>
  </si>
  <si>
    <t>IQTR1887384247</t>
  </si>
  <si>
    <t>IQTR1881127430</t>
  </si>
  <si>
    <t>IQTR1881208048</t>
  </si>
  <si>
    <t>IQTR1882063538</t>
  </si>
  <si>
    <t>IQTR1889204531</t>
  </si>
  <si>
    <t>IQTR1881000118</t>
  </si>
  <si>
    <t>IQTR1881211818</t>
  </si>
  <si>
    <t>IQTR1881218465</t>
  </si>
  <si>
    <t>IQTR1885367155</t>
  </si>
  <si>
    <t>IQTR1880865961</t>
  </si>
  <si>
    <t>IQTR1880878329</t>
  </si>
  <si>
    <t>IQTR1880896677</t>
  </si>
  <si>
    <t>IQTR1881229170</t>
  </si>
  <si>
    <t>IQTR1880860814</t>
  </si>
  <si>
    <t>IQTR1880679212</t>
  </si>
  <si>
    <t>IQTR1880686785</t>
  </si>
  <si>
    <t>IQTR1880890753</t>
  </si>
  <si>
    <t>IQTR1880678905</t>
  </si>
  <si>
    <t>IQTR1880441431</t>
  </si>
  <si>
    <t>IQTR1880677856</t>
  </si>
  <si>
    <t>IQTR1880352383</t>
  </si>
  <si>
    <t>IQTR1880358437</t>
  </si>
  <si>
    <t>IQTR1880437322</t>
  </si>
  <si>
    <t>IQTR1880440705</t>
  </si>
  <si>
    <t>IQTR1880468032</t>
  </si>
  <si>
    <t>IQTR1880535879</t>
  </si>
  <si>
    <t>IQTR1880560940</t>
  </si>
  <si>
    <t>IQTR1881129322</t>
  </si>
  <si>
    <t>IQTR1880383109</t>
  </si>
  <si>
    <t>IQTR1880699981</t>
  </si>
  <si>
    <t>IQTR1880261370</t>
  </si>
  <si>
    <t>IQTR1880045543</t>
  </si>
  <si>
    <t>IQTR1931610365</t>
  </si>
  <si>
    <t>IQTR1879995700</t>
  </si>
  <si>
    <t>IQTR1880001678</t>
  </si>
  <si>
    <t>IQTR1880046567</t>
  </si>
  <si>
    <t>IQTR1880261933</t>
  </si>
  <si>
    <t>IQTR1880262855</t>
  </si>
  <si>
    <t>IQTR1884388827</t>
  </si>
  <si>
    <t>IQTR1879623181</t>
  </si>
  <si>
    <t>IQTR1879671735</t>
  </si>
  <si>
    <t>IQTR1879490308</t>
  </si>
  <si>
    <t>IQTR1879516146</t>
  </si>
  <si>
    <t>IQTR1880260207</t>
  </si>
  <si>
    <t>IQTR1879426471</t>
  </si>
  <si>
    <t>IQTR1879429562</t>
  </si>
  <si>
    <t>IQTR1879457531</t>
  </si>
  <si>
    <t>IQTR1879461826</t>
  </si>
  <si>
    <t>IQTR1879478812</t>
  </si>
  <si>
    <t>IQTR1879490705</t>
  </si>
  <si>
    <t>IQTR1880417275</t>
  </si>
  <si>
    <t>IQTR1879392877</t>
  </si>
  <si>
    <t>IQTR1879397542</t>
  </si>
  <si>
    <t>IQTR1879409716</t>
  </si>
  <si>
    <t>IQTR1879410603</t>
  </si>
  <si>
    <t>IQTR1879610996</t>
  </si>
  <si>
    <t>IQTR1879241155</t>
  </si>
  <si>
    <t>IQTR1879525741</t>
  </si>
  <si>
    <t>IQTR1903326665</t>
  </si>
  <si>
    <t>IQTR1905726148</t>
  </si>
  <si>
    <t>IQTR1878976108</t>
  </si>
  <si>
    <t>IQTR1879057876</t>
  </si>
  <si>
    <t>IQTR1879115519</t>
  </si>
  <si>
    <t>IQTR1878943499</t>
  </si>
  <si>
    <t>IQTR1878948570</t>
  </si>
  <si>
    <t>IQTR1879001929</t>
  </si>
  <si>
    <t>IQTR1878744181</t>
  </si>
  <si>
    <t>IQTR1878753413</t>
  </si>
  <si>
    <t>IQTR1878898958</t>
  </si>
  <si>
    <t>IQTR1878936276</t>
  </si>
  <si>
    <t>IQTR1878577614</t>
  </si>
  <si>
    <t>IQTR1878704073</t>
  </si>
  <si>
    <t>IQTR1878717851</t>
  </si>
  <si>
    <t>IQTR1878744428</t>
  </si>
  <si>
    <t>IQTR1878973512</t>
  </si>
  <si>
    <t>IQTR1879393807</t>
  </si>
  <si>
    <t>IQTR1880372266</t>
  </si>
  <si>
    <t>IQTR1878505032</t>
  </si>
  <si>
    <t>IQTR1888393948</t>
  </si>
  <si>
    <t>IQTR1878428497</t>
  </si>
  <si>
    <t>IQTR1878433918</t>
  </si>
  <si>
    <t>IQTR1878469475</t>
  </si>
  <si>
    <t>IQTR1885893666</t>
  </si>
  <si>
    <t>IQTR1896591111</t>
  </si>
  <si>
    <t>IQTR1880263440</t>
  </si>
  <si>
    <t>IQTR1881818011</t>
  </si>
  <si>
    <t>IQTR1878153984</t>
  </si>
  <si>
    <t>IQTR1878154412</t>
  </si>
  <si>
    <t>IQTR1878162030</t>
  </si>
  <si>
    <t>IQTR1878345352</t>
  </si>
  <si>
    <t>IQTR1878986271</t>
  </si>
  <si>
    <t>IQTR1877919709</t>
  </si>
  <si>
    <t>IQTR1877820232</t>
  </si>
  <si>
    <t>IQTR1877832222</t>
  </si>
  <si>
    <t>IQTR1877768557</t>
  </si>
  <si>
    <t>IQTR1877782665</t>
  </si>
  <si>
    <t>IQTR1877783811</t>
  </si>
  <si>
    <t>IQTR1877955773</t>
  </si>
  <si>
    <t>IQTR1878173215</t>
  </si>
  <si>
    <t>IQTR1877628784</t>
  </si>
  <si>
    <t>IQTR1877425342</t>
  </si>
  <si>
    <t>IQTR1877493491</t>
  </si>
  <si>
    <t>IQTR1877509142</t>
  </si>
  <si>
    <t>IQTR1877211436</t>
  </si>
  <si>
    <t>IQTR1877294183</t>
  </si>
  <si>
    <t>IQTR1877309279</t>
  </si>
  <si>
    <t>IQTR1877095408</t>
  </si>
  <si>
    <t>IQTR1877122423</t>
  </si>
  <si>
    <t>IQTR1877123627</t>
  </si>
  <si>
    <t>IQTR1877183421</t>
  </si>
  <si>
    <t>IQTR1877285119</t>
  </si>
  <si>
    <t>IQTR1876942175</t>
  </si>
  <si>
    <t>IQTR1877180479</t>
  </si>
  <si>
    <t>IQTR1877611947</t>
  </si>
  <si>
    <t>IQTR1881544949</t>
  </si>
  <si>
    <t>IQTR1876652896</t>
  </si>
  <si>
    <t>IQTR1877510128</t>
  </si>
  <si>
    <t>IQTR1876551804</t>
  </si>
  <si>
    <t>IQTR1876593910</t>
  </si>
  <si>
    <t>IQTR1876682396</t>
  </si>
  <si>
    <t>IQTR1930260824</t>
  </si>
  <si>
    <t>IQTR1875997425</t>
  </si>
  <si>
    <t>IQTR1876006424</t>
  </si>
  <si>
    <t>IQTR1876549144</t>
  </si>
  <si>
    <t>IQTR1875824183</t>
  </si>
  <si>
    <t>IQTR1875861883</t>
  </si>
  <si>
    <t>IQTR1875864018</t>
  </si>
  <si>
    <t>IQTR1875983613</t>
  </si>
  <si>
    <t>IQTR1876109996</t>
  </si>
  <si>
    <t>IQTR1875688675</t>
  </si>
  <si>
    <t>IQTR1875708112</t>
  </si>
  <si>
    <t>IQTR1875727772</t>
  </si>
  <si>
    <t>IQTR1876572603</t>
  </si>
  <si>
    <t>IQTR1876659832</t>
  </si>
  <si>
    <t>IQTR1876676043</t>
  </si>
  <si>
    <t>IQTR1875777082</t>
  </si>
  <si>
    <t>IQTR1877315877</t>
  </si>
  <si>
    <t>IQTR1875476243</t>
  </si>
  <si>
    <t>IQTR1875579648</t>
  </si>
  <si>
    <t>IQTR1875580362</t>
  </si>
  <si>
    <t>IQTR1876608398</t>
  </si>
  <si>
    <t>IQTR1875545225</t>
  </si>
  <si>
    <t>IQTR1879013776</t>
  </si>
  <si>
    <t>IQTR1875148512</t>
  </si>
  <si>
    <t>IQTR1875348374</t>
  </si>
  <si>
    <t>IQTR1875688731</t>
  </si>
  <si>
    <t>IQTR1875106320</t>
  </si>
  <si>
    <t>IQTR1875139689</t>
  </si>
  <si>
    <t>IQTR1875140905</t>
  </si>
  <si>
    <t>IQTR1874992744</t>
  </si>
  <si>
    <t>IQTR1874997509</t>
  </si>
  <si>
    <t>IQTR1875029093</t>
  </si>
  <si>
    <t>IQTR1875071766</t>
  </si>
  <si>
    <t>IQTR1874874261</t>
  </si>
  <si>
    <t>IQTR1874885538</t>
  </si>
  <si>
    <t>IQTR1880935602</t>
  </si>
  <si>
    <t>IQTR1913885210</t>
  </si>
  <si>
    <t>IQTR1874719713</t>
  </si>
  <si>
    <t>IQTR1874734898</t>
  </si>
  <si>
    <t>IQTR1874607392</t>
  </si>
  <si>
    <t>IQTR1874630880</t>
  </si>
  <si>
    <t>IQTR1874686769</t>
  </si>
  <si>
    <t>IQTR1874503796</t>
  </si>
  <si>
    <t>IQTR1874554757</t>
  </si>
  <si>
    <t>IQTR1874556536</t>
  </si>
  <si>
    <t>IQTR1874596291</t>
  </si>
  <si>
    <t>IQTR1874385145</t>
  </si>
  <si>
    <t>IQTR1874416317</t>
  </si>
  <si>
    <t>IQTR1874490135</t>
  </si>
  <si>
    <t>IQTR1874490261</t>
  </si>
  <si>
    <t>IQTR1874471411</t>
  </si>
  <si>
    <t>IQTR1873936264</t>
  </si>
  <si>
    <t>IQTR1873674665</t>
  </si>
  <si>
    <t>IQTR1873901825</t>
  </si>
  <si>
    <t>IQTR1873922207</t>
  </si>
  <si>
    <t>IQTR1873926094</t>
  </si>
  <si>
    <t>IQTR1873942063</t>
  </si>
  <si>
    <t>IQTR1875219946</t>
  </si>
  <si>
    <t>IQTR1879007380</t>
  </si>
  <si>
    <t>IQTR1873519208</t>
  </si>
  <si>
    <t>IQTR1873538970</t>
  </si>
  <si>
    <t>IQTR1873561136</t>
  </si>
  <si>
    <t>IQTR1874433737</t>
  </si>
  <si>
    <t>IQTR1873367493</t>
  </si>
  <si>
    <t>IQTR1873367885</t>
  </si>
  <si>
    <t>IQTR1873576403</t>
  </si>
  <si>
    <t>IQTR1873599236</t>
  </si>
  <si>
    <t>IQTR1886915511</t>
  </si>
  <si>
    <t>IQTR1873372547</t>
  </si>
  <si>
    <t>IQTR1873131893</t>
  </si>
  <si>
    <t>IQTR1873138327</t>
  </si>
  <si>
    <t>IQTR1873347184</t>
  </si>
  <si>
    <t>IQTR1873349777</t>
  </si>
  <si>
    <t>IQTR1873380572</t>
  </si>
  <si>
    <t>IQTR1874636306</t>
  </si>
  <si>
    <t>IQTR1873022730</t>
  </si>
  <si>
    <t>IQTR1873024265</t>
  </si>
  <si>
    <t>IQTR1873071234</t>
  </si>
  <si>
    <t>IQTR1873074403</t>
  </si>
  <si>
    <t>IQTR1873370713</t>
  </si>
  <si>
    <t>IQTR1874738709</t>
  </si>
  <si>
    <t>IQTR1872878540</t>
  </si>
  <si>
    <t>IQTR1872905400</t>
  </si>
  <si>
    <t>IQTR1872913364</t>
  </si>
  <si>
    <t>IQTR1872979460</t>
  </si>
  <si>
    <t>IQTR1873013171</t>
  </si>
  <si>
    <t>IQTR1873325710</t>
  </si>
  <si>
    <t>IQTR1872660120</t>
  </si>
  <si>
    <t>IQTR1872677015</t>
  </si>
  <si>
    <t>IQTR1872679019</t>
  </si>
  <si>
    <t>IQTR1874740309</t>
  </si>
  <si>
    <t>IQTR1940020573</t>
  </si>
  <si>
    <t>IQTR1872684776</t>
  </si>
  <si>
    <t>IQTR1872710298</t>
  </si>
  <si>
    <t>IQTR1895723633</t>
  </si>
  <si>
    <t>IQTR1872417254</t>
  </si>
  <si>
    <t>IQTR1872445155</t>
  </si>
  <si>
    <t>IQTR1872268600</t>
  </si>
  <si>
    <t>IQTR1872646277</t>
  </si>
  <si>
    <t>IQTR1872162483</t>
  </si>
  <si>
    <t>IQTR1872170488</t>
  </si>
  <si>
    <t>IQTR1872067052</t>
  </si>
  <si>
    <t>IQTR1872128382</t>
  </si>
  <si>
    <t>IQTR1871899795</t>
  </si>
  <si>
    <t>IQTR1871999197</t>
  </si>
  <si>
    <t>IQTR1872053624</t>
  </si>
  <si>
    <t>IQTR1871819921</t>
  </si>
  <si>
    <t>IQTR1871866591</t>
  </si>
  <si>
    <t>IQTR1872974075</t>
  </si>
  <si>
    <t>IQTR1871707405</t>
  </si>
  <si>
    <t>IQTR1871720524</t>
  </si>
  <si>
    <t>IQTR1871783966</t>
  </si>
  <si>
    <t>IQTR1872379805</t>
  </si>
  <si>
    <t>IQTR1871554723</t>
  </si>
  <si>
    <t>IQTR1871609173</t>
  </si>
  <si>
    <t>IQTR1871557485</t>
  </si>
  <si>
    <t>IQTR1871283988</t>
  </si>
  <si>
    <t>IQTR1871334813</t>
  </si>
  <si>
    <t>IQTR1871366501</t>
  </si>
  <si>
    <t>IQTR1871470212</t>
  </si>
  <si>
    <t>IQTR1871299035</t>
  </si>
  <si>
    <t>IQTR1871104673</t>
  </si>
  <si>
    <t>IQTR1871117623</t>
  </si>
  <si>
    <t>IQTR1871163161</t>
  </si>
  <si>
    <t>IQTR1871163666</t>
  </si>
  <si>
    <t>IQTR1871178580</t>
  </si>
  <si>
    <t>IQTR1871219903</t>
  </si>
  <si>
    <t>IQTR1871714473</t>
  </si>
  <si>
    <t>IQTR1871013058</t>
  </si>
  <si>
    <t>IQTR1871017470</t>
  </si>
  <si>
    <t>IQTR1871083653</t>
  </si>
  <si>
    <t>IQTR1870918481</t>
  </si>
  <si>
    <t>IQTR1870967180</t>
  </si>
  <si>
    <t>IQTR1870769910</t>
  </si>
  <si>
    <t>IQTR1870785595</t>
  </si>
  <si>
    <t>IQTR1870865889</t>
  </si>
  <si>
    <t>IQTR1870866776</t>
  </si>
  <si>
    <t>IQTR1871112934</t>
  </si>
  <si>
    <t>IQTR1888929148</t>
  </si>
  <si>
    <t>IQTR1870329551</t>
  </si>
  <si>
    <t>IQTR1870343575</t>
  </si>
  <si>
    <t>IQTR1870363330</t>
  </si>
  <si>
    <t>IQTR1870570044</t>
  </si>
  <si>
    <t>IQTR1870573477</t>
  </si>
  <si>
    <t>IQTR1870876910</t>
  </si>
  <si>
    <t>IQTR1883917225</t>
  </si>
  <si>
    <t>IQTR1869996994</t>
  </si>
  <si>
    <t>IQTR1870033475</t>
  </si>
  <si>
    <t>IQTR1870322337</t>
  </si>
  <si>
    <t>IQTR1870324530</t>
  </si>
  <si>
    <t>IQTR1870340585</t>
  </si>
  <si>
    <t>IQTR1871099560</t>
  </si>
  <si>
    <t>IQTR1869795019</t>
  </si>
  <si>
    <t>IQTR1870785470</t>
  </si>
  <si>
    <t>IQTR1871094481</t>
  </si>
  <si>
    <t>IQTR1872173009</t>
  </si>
  <si>
    <t>IQTR1869681399</t>
  </si>
  <si>
    <t>IQTR1869684482</t>
  </si>
  <si>
    <t>IQTR1869685555</t>
  </si>
  <si>
    <t>IQTR1869701152</t>
  </si>
  <si>
    <t>IQTR1869784629</t>
  </si>
  <si>
    <t>IQTR1888981117</t>
  </si>
  <si>
    <t>IQTR1869525830</t>
  </si>
  <si>
    <t>IQTR1869759378</t>
  </si>
  <si>
    <t>IQTR1869422215</t>
  </si>
  <si>
    <t>IQTR1869450641</t>
  </si>
  <si>
    <t>IQTR1869458963</t>
  </si>
  <si>
    <t>IQTR1869355589</t>
  </si>
  <si>
    <t>IQTR1869360638</t>
  </si>
  <si>
    <t>IQTR1869421834</t>
  </si>
  <si>
    <t>IQTR1869185835</t>
  </si>
  <si>
    <t>IQTR1869195498</t>
  </si>
  <si>
    <t>IQTR1869400299</t>
  </si>
  <si>
    <t>IQTR1869400659</t>
  </si>
  <si>
    <t>IQTR1869068214</t>
  </si>
  <si>
    <t>IQTR1869071049</t>
  </si>
  <si>
    <t>IQTR1869138949</t>
  </si>
  <si>
    <t>IQTR1869170290</t>
  </si>
  <si>
    <t>IQTR1869141604</t>
  </si>
  <si>
    <t>IQTR1869024944</t>
  </si>
  <si>
    <t>IQTR1869025563</t>
  </si>
  <si>
    <t>IQTR1869410957</t>
  </si>
  <si>
    <t>IQTR1868743496</t>
  </si>
  <si>
    <t>IQTR1868761574</t>
  </si>
  <si>
    <t>IQTR1868771604</t>
  </si>
  <si>
    <t>IQTR1868778114</t>
  </si>
  <si>
    <t>IQTR1868794280</t>
  </si>
  <si>
    <t>IQTR1868989105</t>
  </si>
  <si>
    <t>IQTR1874877223</t>
  </si>
  <si>
    <t>IQTR1868762437</t>
  </si>
  <si>
    <t>IQTR1953385122</t>
  </si>
  <si>
    <t>IQTR1868539728</t>
  </si>
  <si>
    <t>IQTR1868615074</t>
  </si>
  <si>
    <t>IQTR1868718883</t>
  </si>
  <si>
    <t>IQTR1868454147</t>
  </si>
  <si>
    <t>IQTR1868502052</t>
  </si>
  <si>
    <t>IQTR1868534034</t>
  </si>
  <si>
    <t>IQTR1868194979</t>
  </si>
  <si>
    <t>IQTR1868195000</t>
  </si>
  <si>
    <t>IQTR1868228870</t>
  </si>
  <si>
    <t>IQTR1868249242</t>
  </si>
  <si>
    <t>IQTR1867943768</t>
  </si>
  <si>
    <t>IQTR1867951711</t>
  </si>
  <si>
    <t>IQTR1867952221</t>
  </si>
  <si>
    <t>IQTR1867968271</t>
  </si>
  <si>
    <t>IQTR1867972568</t>
  </si>
  <si>
    <t>IQTR1870914643</t>
  </si>
  <si>
    <t>IQTR1867849025</t>
  </si>
  <si>
    <t>IQTR1867864904</t>
  </si>
  <si>
    <t>IQTR1867780682</t>
  </si>
  <si>
    <t>IQTR1867785910</t>
  </si>
  <si>
    <t>IQTR1867790430</t>
  </si>
  <si>
    <t>IQTR1867824132</t>
  </si>
  <si>
    <t>IQTR1867871142</t>
  </si>
  <si>
    <t xml:space="preserve">Transaction Ticker </t>
  </si>
  <si>
    <t>Total Transaction Value ($USDmm, Historical rate)</t>
  </si>
  <si>
    <t>Buyers/Investors</t>
  </si>
  <si>
    <t>Ligand Pharmaceuticals Incorporated (NasdaqGM:LGND)</t>
  </si>
  <si>
    <t>Seeing Machines Limited (AIM:SEE)</t>
  </si>
  <si>
    <t>ESCO Technologies Inc. (NYSE:ESE)</t>
  </si>
  <si>
    <t>Frequentis AG (XTRA:FQT)</t>
  </si>
  <si>
    <t>Keysight Technologies, Inc. (NYSE:KEYS)</t>
  </si>
  <si>
    <t>Monkey Rock Group, Inc. (OTCPK:MKRO)</t>
  </si>
  <si>
    <t>AKVA group ASA (OB:AKVA)</t>
  </si>
  <si>
    <t>Span d.d. (ZGSE:SPAN)</t>
  </si>
  <si>
    <t>NCAB Group AB  (OM:NCAB)</t>
  </si>
  <si>
    <t>Morrow Bank ASA (OB:MOBA)</t>
  </si>
  <si>
    <t>Thermador Groupe SA (ENXTPA:THEP)</t>
  </si>
  <si>
    <t>Exsitec Holding AB  (OM:EXS)</t>
  </si>
  <si>
    <t>AAC Clyde Space AB  (OM:AAC)</t>
  </si>
  <si>
    <t>Zehnder Group AG (SWX:ZEHN)</t>
  </si>
  <si>
    <t>Administer Oyj (HLSE:ADMIN)</t>
  </si>
  <si>
    <t>DOF Group ASA (OB:DOFG)</t>
  </si>
  <si>
    <t>MoveByBike Europe AB  (XSAT:MBBAB)</t>
  </si>
  <si>
    <t>Nekkar ASA (OB:NKR)</t>
  </si>
  <si>
    <t>Bechtle AG (XTRA:BC8)</t>
  </si>
  <si>
    <t>Similarweb Ltd. (NYSE:SMWB)</t>
  </si>
  <si>
    <t>Northamber plc (AIM:NAR)</t>
  </si>
  <si>
    <t>Lemonsoft Oyj (HLSE:LEMON)</t>
  </si>
  <si>
    <t>Archer Limited (OB:ARCH)</t>
  </si>
  <si>
    <t>TXT e-solutions S.p.A. (BIT:TXT)</t>
  </si>
  <si>
    <t>Konecranes Plc (HLSE:KCR)</t>
  </si>
  <si>
    <t>Bossard Holding AG (SWX:BOSN)</t>
  </si>
  <si>
    <t>Skandia GreenPower AS (OB:SKAND)</t>
  </si>
  <si>
    <t>Gaming Factory S.A. (WSE:GIF)</t>
  </si>
  <si>
    <t>Fintel Plc (AIM:FNTL)</t>
  </si>
  <si>
    <t>Judges Scientific plc (AIM:JDG)</t>
  </si>
  <si>
    <t>InvestAcc Group Limited (LSE:INAC)</t>
  </si>
  <si>
    <t>Espe S.p.A. (BIT:ESPE)</t>
  </si>
  <si>
    <t>SG Company S.p.A. (BIT:SGC)</t>
  </si>
  <si>
    <t>Lindbergh S.p.A. (BIT:LDB)</t>
  </si>
  <si>
    <t>EuKedos S.p.A. (BIT:EUK)</t>
  </si>
  <si>
    <t>Wetteri Oyj (HLSE:WETTERI)</t>
  </si>
  <si>
    <t>IDNTT SA (BIT:IDNTT)</t>
  </si>
  <si>
    <t>Compagnie de Saint-Gobain S.A. (ENXTPA:SGO)</t>
  </si>
  <si>
    <t>Above Food Ingredients Inc. (NasdaqGM:ABVE)</t>
  </si>
  <si>
    <t>Norbit ASA (OB:NORBT)</t>
  </si>
  <si>
    <t>Scandinavian Tobacco Group A/S (CPSE:STG)</t>
  </si>
  <si>
    <t>Inin Group AS (OB:ININ)</t>
  </si>
  <si>
    <t>Zinzino AB  (OM:ZZ B)</t>
  </si>
  <si>
    <t>Fitzroy Minerals Inc. (TSXV:FTZ)</t>
  </si>
  <si>
    <t>Tortilla Mexican Grill plc (AIM:MEX)</t>
  </si>
  <si>
    <t>Kennedy-Wilson Holdings, Inc. (NYSE:KW)</t>
  </si>
  <si>
    <t>Revolve Group, Inc. (NYSE:RVLV)</t>
  </si>
  <si>
    <t>FNM S.p.A. (BIT:FNM)</t>
  </si>
  <si>
    <t>Sulzer Ltd (SWX:SUN)</t>
  </si>
  <si>
    <t>Supreme Plc (AIM:SUP)</t>
  </si>
  <si>
    <t>Sonoco Products Company (NYSE:SON)</t>
  </si>
  <si>
    <t>Progyny, Inc. (NasdaqGS:PGNY)</t>
  </si>
  <si>
    <t>Brødrene A &amp; O Johansen A/S (CPSE:AOJ B)</t>
  </si>
  <si>
    <t>Meren Energy Inc. (TSX:MER)</t>
  </si>
  <si>
    <t>IntelliAM AI Plc (OFEX:INT)</t>
  </si>
  <si>
    <t>VIB Vermögen AG (XTRA:VIH1)</t>
  </si>
  <si>
    <t>NKT A/S (CPSE:NKT)</t>
  </si>
  <si>
    <t>Switch Metals Plc (AIM:SWT)</t>
  </si>
  <si>
    <t>Darfon Electronics Corp. (TWSE:8163)</t>
  </si>
  <si>
    <t>Tinexta S.p.A. (BIT:TNXT)</t>
  </si>
  <si>
    <t>BTS Group AB  (OM:BTS B)</t>
  </si>
  <si>
    <t>80 Mile Plc (AIM:80M)</t>
  </si>
  <si>
    <t>Tate &amp; Lyle plc (LSE:TATE)</t>
  </si>
  <si>
    <t>Gedeon Richter PLC (BUSE:RICHTER)</t>
  </si>
  <si>
    <t>Perpetua Medical AB  (OM:PERP B)</t>
  </si>
  <si>
    <t>Castings P.L.C. (LSE:CGS)</t>
  </si>
  <si>
    <t>Gentoo Media Inc. (OM:G2M)</t>
  </si>
  <si>
    <t>AS Infortar (TLSE:INF1T)</t>
  </si>
  <si>
    <t>Japan Petroleum Exploration Co., Ltd. (TSE:1662)</t>
  </si>
  <si>
    <t>Sampo Oyj (HLSE:SAMPO)</t>
  </si>
  <si>
    <t>Sustainion Group AB (XSAT:SUSG)</t>
  </si>
  <si>
    <t>Magle Chemoswed Holding AB  (OM:MAGLE)</t>
  </si>
  <si>
    <t>Managem S.A. (CBSE:MNG)</t>
  </si>
  <si>
    <t>Logistea AB  (OM:LOGI A)</t>
  </si>
  <si>
    <t>Agora S.A. (WSE:AGO)</t>
  </si>
  <si>
    <t>Grupa Kety S.A. (WSE:KTY)</t>
  </si>
  <si>
    <t>Studsvik AB  (OM:SVIK)</t>
  </si>
  <si>
    <t>Storebrand ASA (OB:STB)</t>
  </si>
  <si>
    <t>Deterra Royalties Limited (ASX:DRR)</t>
  </si>
  <si>
    <t>Petards Group plc (AIM:PEG)</t>
  </si>
  <si>
    <t>Liberty Global Ltd. (NasdaqGS:LBTY.A)</t>
  </si>
  <si>
    <t>Aqua Bio Technology ASA (OB:ABTEC)</t>
  </si>
  <si>
    <t>Grupo Financiero Inbursa, S.A.B. de C.V. (BMV:GFINBUR O)</t>
  </si>
  <si>
    <t>Renew Holdings plc (AIM:RNWH)</t>
  </si>
  <si>
    <t>Oxford Instruments plc (LSE:OXIG)</t>
  </si>
  <si>
    <t>Axfood AB  (OM:AXFO)</t>
  </si>
  <si>
    <t>The Descartes Systems Group Inc. (TSX:DSG)</t>
  </si>
  <si>
    <t>Vitalhub Corp. (TSX:VHI)</t>
  </si>
  <si>
    <t>Critical Metals Corp. (NasdaqGM:CRML)</t>
  </si>
  <si>
    <t>Wulff-Yhtiöt Oyj (HLSE:WUF1V)</t>
  </si>
  <si>
    <t>AUB Group Limited (ASX:AUB)</t>
  </si>
  <si>
    <t>Public Policy Holding Company, Inc. (AIM:PPHC)</t>
  </si>
  <si>
    <t>COLOPL, Inc. (TSE:3668)</t>
  </si>
  <si>
    <t>Moreld ASA (OB:MORLD)</t>
  </si>
  <si>
    <t>Midea Group Co., Ltd. (SZSE:000333)</t>
  </si>
  <si>
    <t>Rohto Pharmaceutical Co.,Ltd. (TSE:4527)</t>
  </si>
  <si>
    <t>UG Healthcare Corporation Limited (Catalist:8K7)</t>
  </si>
  <si>
    <t>Robinhood Markets, Inc. (NasdaqGS:HOOD)</t>
  </si>
  <si>
    <t>CTS Eventim AG &amp; Co. KGaA (XTRA:EVD)</t>
  </si>
  <si>
    <t>TotalEnergies SE (ENXTPA:TTE)</t>
  </si>
  <si>
    <t>Octave Specialty Group, Inc. (NYSE:OSG)</t>
  </si>
  <si>
    <t>edyoutec AB (NGM:EDYOU)</t>
  </si>
  <si>
    <t>Koninklijke KPN N.V. (ENXTAM:KPN)</t>
  </si>
  <si>
    <t>Casta Diva Group S.p.A. (BIT:CDG)</t>
  </si>
  <si>
    <t>discoverIE Group plc (LSE:DSCV)</t>
  </si>
  <si>
    <t>SigmaRoc plc (AIM:SRC)</t>
  </si>
  <si>
    <t>Multiconsult ASA (OB:MULTI)</t>
  </si>
  <si>
    <t>74Software (ENXTPA:74SW)</t>
  </si>
  <si>
    <t>Curtiss-Wright Corporation (NYSE:CW)</t>
  </si>
  <si>
    <t>The Property Franchise Group PLC (AIM:TPFG)</t>
  </si>
  <si>
    <t>Interpump Group S.p.A. (BIT:IP)</t>
  </si>
  <si>
    <t>Lincoln Electric Holdings, Inc. (NasdaqGS:LECO)</t>
  </si>
  <si>
    <t>ILPRA S.p.A. (BIT:ILP)</t>
  </si>
  <si>
    <t>Shift4 Payments, Inc. (NYSE:FOUR)</t>
  </si>
  <si>
    <t>easyJet plc (LSE:EZJ)</t>
  </si>
  <si>
    <t>LeadDesk Oyj (HLSE:LEADD)</t>
  </si>
  <si>
    <t>I.M.D. International Medical Devices S.p.A. (BIT:IMD)</t>
  </si>
  <si>
    <t>Cellularline S.p.A. (BIT:CELL)</t>
  </si>
  <si>
    <t>Software Circle plc (AIM:SFT)</t>
  </si>
  <si>
    <t>Energy S.p.A. (BIT:ENY)</t>
  </si>
  <si>
    <t>Hoist Finance AB  (OM:HOFI)</t>
  </si>
  <si>
    <t>Insig AI Plc (AIM:INSG)</t>
  </si>
  <si>
    <t>Soiltech ASA (OB:STECH)</t>
  </si>
  <si>
    <t>Temasek Holdings (Private) Limited; Brookfield Corporation (TSX:BN); Brookfield Renewable Corporation (NYSE:BEPC)</t>
  </si>
  <si>
    <t>Mortgage Advice Bureau (Holdings) plc (AIM:MAB1)</t>
  </si>
  <si>
    <t>Merck &amp; Co., Inc. (NYSE:MRK)</t>
  </si>
  <si>
    <t>Worthington Enterprises, Inc. (NYSE:WOR)</t>
  </si>
  <si>
    <t>Hexagon Composites ASA (OB:HEX)</t>
  </si>
  <si>
    <t>Gold Royalty Corp. (NYSEAM:GROY)</t>
  </si>
  <si>
    <t>Asahi Kasei Corporation (TSE:3407)</t>
  </si>
  <si>
    <t>LINK Mobility Group Holding ASA (OB:LINK)</t>
  </si>
  <si>
    <t>Minerales y Productos Derivados, S.A. (BDM:MYD)</t>
  </si>
  <si>
    <t>CTP N.V. (ENXTAM:CTPNV)</t>
  </si>
  <si>
    <t>Wihlborgs Fastigheter AB  (OM:WIHL)</t>
  </si>
  <si>
    <t>NewPrinces S.p.A. (BIT:NWL)</t>
  </si>
  <si>
    <t>iVision Tech S.p.A. (BIT:IVN)</t>
  </si>
  <si>
    <t>Gogolook Co., Ltd. (TWSE:6902)</t>
  </si>
  <si>
    <t>Krona Public Real Estate AB  (XSAT:KRONA)</t>
  </si>
  <si>
    <t>CPI Europe AG (WBAG:CPI)</t>
  </si>
  <si>
    <t>B3 Consulting Group AB  (OM:B3)</t>
  </si>
  <si>
    <t>UL Solutions Inc. (NYSE:ULS)</t>
  </si>
  <si>
    <t>Mitchells &amp; Butlers plc (LSE:MAB)</t>
  </si>
  <si>
    <t>AL Sydbank A/S (CPSE:ALSYDB)</t>
  </si>
  <si>
    <t>Vossloh AG (XTRA:VOS)</t>
  </si>
  <si>
    <t>Austriacard Holdings AG (ATSE:ACAG)</t>
  </si>
  <si>
    <t>NV Bekaert SA (ENXTBR:BEKB)</t>
  </si>
  <si>
    <t>Veidekke ASA (OB:VEI)</t>
  </si>
  <si>
    <t>Arbonia AG (SWX:ARBN)</t>
  </si>
  <si>
    <t>CVK Maden Isletmeleri Sanayi ve Ticaret Anonim Sirketi (IBSE:CVKMD)</t>
  </si>
  <si>
    <t>NovAccess Global Inc. (OTCPK:XSNX)</t>
  </si>
  <si>
    <t>Teako Minerals Corp. (CNSX:TMIN)</t>
  </si>
  <si>
    <t>Better Collective A/S (OM:BETCO)</t>
  </si>
  <si>
    <t>All Things Considered Group Plc (AIM:ATC)</t>
  </si>
  <si>
    <t>Netweek S.p.A. (BIT:NTW)</t>
  </si>
  <si>
    <t>Banco di Desio e della Brianza S.p.A. (BIT:BDB)</t>
  </si>
  <si>
    <t>ABL Group ASA (OB:ABL)</t>
  </si>
  <si>
    <t>Magna International Inc. (TSX:MG)</t>
  </si>
  <si>
    <t>Nordicus Partners Corporation (OTCPK:NORD)</t>
  </si>
  <si>
    <t>Mitsubishi Materials Corporation (TSE:5711)</t>
  </si>
  <si>
    <t>Equita Group S.p.A. (BIT:EQUI)</t>
  </si>
  <si>
    <t>doValue S.p.A. (BIT:DOV)</t>
  </si>
  <si>
    <t>CRISM Therapeutics Corporation (AIM:CRTX)</t>
  </si>
  <si>
    <t>FRP Advisory Group plc (AIM:FRP)</t>
  </si>
  <si>
    <t>Paris Miki Holdings Inc. (TSE:7455)</t>
  </si>
  <si>
    <t>Italgas S.p.A. (BIT:IG)</t>
  </si>
  <si>
    <t>Calian Group Ltd. (TSX:CGY)</t>
  </si>
  <si>
    <t>Meko AB  (OM:MEKO)</t>
  </si>
  <si>
    <t>Sphere Entertainment Co. (NYSE:SPHR)</t>
  </si>
  <si>
    <t>Fincantieri S.p.A. (BIT:FCT)</t>
  </si>
  <si>
    <t>PetroTal Corp. (TSX:TAL)</t>
  </si>
  <si>
    <t>InfraCom Group AB  (NGM:INFRA)</t>
  </si>
  <si>
    <t>AdvancedAdvT Limited (AIM:ADVT)</t>
  </si>
  <si>
    <t>Abingdon Health Plc (AIM:ABDX)</t>
  </si>
  <si>
    <t>Mandatum Oyj (HLSE:MANTA)</t>
  </si>
  <si>
    <t>BOSQAR d.d. (ZGSE:BSQR)</t>
  </si>
  <si>
    <t>Focuslight Technologies Inc (SHSE:688167)</t>
  </si>
  <si>
    <t>PORR AG (WBAG:POS); Strabag SE (WBAG:STR)</t>
  </si>
  <si>
    <t>Solid World Group S.p.A. (BIT:S3D)</t>
  </si>
  <si>
    <t>FOM Technologies A/S (CPSE:FOM)</t>
  </si>
  <si>
    <t>Golcap Resources Corp. (CNSX:GCP)</t>
  </si>
  <si>
    <t>Sun Pharmaceutical Industries Limited (NSEI:SUNPHARMA)</t>
  </si>
  <si>
    <t>TROPHY GAMES Development A/S (CPSE:TGAMES)</t>
  </si>
  <si>
    <t>Karnov Group AB  (OM:KAR)</t>
  </si>
  <si>
    <t>Vitrolife AB  (OM:VITR)</t>
  </si>
  <si>
    <t>Intapp, Inc. (NasdaqGS:INTA)</t>
  </si>
  <si>
    <t>SmartCraft ASA (OB:SMCRT)</t>
  </si>
  <si>
    <t>E-Globe S.p.A. (BIT:EGB)</t>
  </si>
  <si>
    <t>Sidetrade SA (ENXTPA:ALBFR)</t>
  </si>
  <si>
    <t>Orange Belgium S.A. (ENXTBR:OBEL)</t>
  </si>
  <si>
    <t>Safestay plc (AIM:SSTY)</t>
  </si>
  <si>
    <t>Halma plc (LSE:HLMA)</t>
  </si>
  <si>
    <t>K-Bro Linen Inc. (TSX:KBL)</t>
  </si>
  <si>
    <t>Sicily by Car S.p.A. (BIT:SBC)</t>
  </si>
  <si>
    <t>United Lithium Corp. (CNSX:ULTH)</t>
  </si>
  <si>
    <t>Richmond Hill Resources PLC (AIM:RHR)</t>
  </si>
  <si>
    <t>Hologic, Inc. (NasdaqGS:HOLX)</t>
  </si>
  <si>
    <t>Sirma Group Holding AD (BUL:SGH)</t>
  </si>
  <si>
    <t>Premier Energy PLC (BVB:PE)</t>
  </si>
  <si>
    <t>Aplicaciones y Tratamiento de Sistemas, S.A. (BME:ATSI)</t>
  </si>
  <si>
    <t>Benefit Systems S.A. (WSE:BFT)</t>
  </si>
  <si>
    <t>Azerion Group N.V. (ENXTAM:AZRN)</t>
  </si>
  <si>
    <t>Electrolux Professional AB  (OM:EPRO B)</t>
  </si>
  <si>
    <t>Vend Marketplaces ASA (OB:VEND)</t>
  </si>
  <si>
    <t>Advantech Co., Ltd. (TWSE:2395)</t>
  </si>
  <si>
    <t>Poindus Systems Corp. (TPEX:6599)</t>
  </si>
  <si>
    <t>Formpipe Software AB  (OM:FPIP)</t>
  </si>
  <si>
    <t>Super Group (SGHC) Limited (NYSE:SGHC)</t>
  </si>
  <si>
    <t>Nick Scali Limited (ASX:NCK)</t>
  </si>
  <si>
    <t>Singular People, S.A. (BME:SNG)</t>
  </si>
  <si>
    <t>Fairfax Financial Holdings Limited (TSX:FFH)</t>
  </si>
  <si>
    <t>Prevas AB (OM:PREV B)</t>
  </si>
  <si>
    <t>Ithaca Energy plc (LSE:ITH)</t>
  </si>
  <si>
    <t>European Lithium Limited (ASX:EUR)</t>
  </si>
  <si>
    <t>Quanex Building Products Corporation (NYSE:NX)</t>
  </si>
  <si>
    <t>Frenkel Topping Group Plc (AIM:FEN)</t>
  </si>
  <si>
    <t>Ellaktor S.A. (ATSE:ELLAKTOR)</t>
  </si>
  <si>
    <t>Bambuser AB  (OM:BUSER)</t>
  </si>
  <si>
    <t>Lyko Group AB  (OM:LYKO A)</t>
  </si>
  <si>
    <t>Donaldson Company, Inc. (NYSE:DCI)</t>
  </si>
  <si>
    <t>Digital Value S.p.A. (BIT:DGV)</t>
  </si>
  <si>
    <t>Chongqing Millison Technologies INC. (SZSE:301307)</t>
  </si>
  <si>
    <t>Etex N.V. (ENXTBR:094124453)</t>
  </si>
  <si>
    <t>Novavest Real Estate AG (SWX:NREN)</t>
  </si>
  <si>
    <t>Wirtek A/S (CPSE:WIRTEK)</t>
  </si>
  <si>
    <t>Krones AG (XTRA:KRN)</t>
  </si>
  <si>
    <t>Bruker Corporation (NasdaqGS:BRKR)</t>
  </si>
  <si>
    <t>Strickland Metals Limited (ASX:STK)</t>
  </si>
  <si>
    <t>Premier Energy PLC (BVB:PE); Omnia Capital</t>
  </si>
  <si>
    <t>Nidhogg Resources Holding AB  (NGM:NIDHOG)</t>
  </si>
  <si>
    <t>Scandinavian Astor Group AB  (DB:Y73)</t>
  </si>
  <si>
    <t>Group 1 Automotive, Inc. (NYSE:GPI)</t>
  </si>
  <si>
    <t>Vinci SA (ENXTPA:DG)</t>
  </si>
  <si>
    <t>Hempalta Corp. (TSXV:HEMP)</t>
  </si>
  <si>
    <t>Huddled Group Plc (AIM:HUD)</t>
  </si>
  <si>
    <t>Sdiptech AB  (OM:SDIP B)</t>
  </si>
  <si>
    <t>Attica Holdings S.A. (ATSE:ATTICA)</t>
  </si>
  <si>
    <t>Planetel S.p.A. (BIT:PLN)</t>
  </si>
  <si>
    <t>Decisive Dividend Corporation (TSXV:DE)</t>
  </si>
  <si>
    <t>Clean Motion AB  (OM:CLEMO)</t>
  </si>
  <si>
    <t>Alisa Pankki Oyj (HLSE:ALISA)</t>
  </si>
  <si>
    <t>Groupe LDLC société anonyme (ENXTPA:ALLDL)</t>
  </si>
  <si>
    <t>XANO Industri AB  (OM:XANO B)</t>
  </si>
  <si>
    <t>Grit Metals Corp. (TSXV:FIN)</t>
  </si>
  <si>
    <t>Kering SA (ENXTPA:KER)</t>
  </si>
  <si>
    <t>MHP SE (LSE:MHPC)</t>
  </si>
  <si>
    <t>Arctic Stream S.A. (BVB:AST)</t>
  </si>
  <si>
    <t>Ingersoll Rand Inc. (NYSE:IR)</t>
  </si>
  <si>
    <t>Lindsay Corporation (NYSE:LNN)</t>
  </si>
  <si>
    <t>Telekom Austria AG (WBAG:TKA)</t>
  </si>
  <si>
    <t>Vimab Group AB  (OM:VIMAB)</t>
  </si>
  <si>
    <t>Websolute S.p.A. (BIT:WBS)</t>
  </si>
  <si>
    <t>Stellantis N.V. (BIT:STLAM)</t>
  </si>
  <si>
    <t>Formula One Group (NasdaqGS:FWON.K)</t>
  </si>
  <si>
    <t>Flora Growth Corp. (NasdaqCM:FLGC)</t>
  </si>
  <si>
    <t>Aerkomm Inc. (OTCPK:AKOM)</t>
  </si>
  <si>
    <t>Purcari Wineries Public Company Limited (BVB:WINE)</t>
  </si>
  <si>
    <t>China Communications Construction Company Limited (SEHK:1800)</t>
  </si>
  <si>
    <t>Portobello S.p.A. (BIT:POR)</t>
  </si>
  <si>
    <t>Kitwave Group plc (AIM:KITW)</t>
  </si>
  <si>
    <t>Public Joint-Stock Company "Second Generating Company of the Electric Power Wholesale Market" (MISX:OGKB)</t>
  </si>
  <si>
    <t>Honeywell International Inc. (NasdaqGS:HON)</t>
  </si>
  <si>
    <t>GO p.l.c. (MTSE:GO)</t>
  </si>
  <si>
    <t>Denarius Metals Corp. (NEOE:DMET)</t>
  </si>
  <si>
    <t>Calviks AB  (OM:CALVIK)</t>
  </si>
  <si>
    <t>Selvita S.A. (WSE:SLV)</t>
  </si>
  <si>
    <t>Many Peaks Minerals Limited (ASX:MPK)</t>
  </si>
  <si>
    <t>Repsol, S.A. (BME:REP)</t>
  </si>
  <si>
    <t>Wiit S.p.A. (BIT:WIIT)</t>
  </si>
  <si>
    <t>International Paper Company (NYSE:IP)</t>
  </si>
  <si>
    <t>Torghatten Aqua AS (OTCNO:TORG)</t>
  </si>
  <si>
    <t>SSE plc (LSE:SSE)</t>
  </si>
  <si>
    <t>Mycronic AB  (OM:MYCR)</t>
  </si>
  <si>
    <t>Meadow Capital Management LLC; Roadside Real Estate plc (AIM:ROAD)</t>
  </si>
  <si>
    <t>Bahnhof AB  (OM:BAHN B)</t>
  </si>
  <si>
    <t>Mangold Fondkommission AB (OM:MANG)</t>
  </si>
  <si>
    <t>Europris ASA (OB:EPR)</t>
  </si>
  <si>
    <t>Power Assets Holdings Limited (SEHK:6); CK Infrastructure Holdings Limited (SEHK:1038); CK Asset Holdings Limited (SEHK:1113)</t>
  </si>
  <si>
    <t>Sonic Healthcare Limited (ASX:SHL)</t>
  </si>
  <si>
    <t>CEZ, a. s. (SEP:CEZ)</t>
  </si>
  <si>
    <t>Capri Holdings Limited (NYSE:CPRI)</t>
  </si>
  <si>
    <t>Wickes Group plc (LSE:WIX)</t>
  </si>
  <si>
    <t>Theracryf Plc (AIM:TCF)</t>
  </si>
  <si>
    <t>Munters Group AB  (OM:MTRS)</t>
  </si>
  <si>
    <t>VCI Global Limited (NasdaqCM:VCIG)</t>
  </si>
  <si>
    <t>Medios AG (XTRA:ILM1)</t>
  </si>
  <si>
    <t>Gentili Mosconi S.p.A. (BIT:GM)</t>
  </si>
  <si>
    <t>Quarterhill Inc. (TSX:QTRH)</t>
  </si>
  <si>
    <t>AB Akola Group (NSEL:AKO1L)</t>
  </si>
  <si>
    <t>Aker Solutions ASA (OB:AKSO)</t>
  </si>
  <si>
    <t>Vmoto Limited (ASX:VMT)</t>
  </si>
  <si>
    <t>AstraZeneca PLC (LSE:AZN)</t>
  </si>
  <si>
    <t>Advanced Medical Solutions Group plc (AIM:AMS)</t>
  </si>
  <si>
    <t>Red Rock Resources Plc (AIM:RRR)</t>
  </si>
  <si>
    <t>Compagnie des Alpes SA (ENXTPA:CDA)</t>
  </si>
  <si>
    <t>Domino's Pizza Group plc (LSE:DOM)</t>
  </si>
  <si>
    <t>Teledyne Technologies Incorporated (NYSE:TDY)</t>
  </si>
  <si>
    <t>ArcelorMittal S.A. (ENXTAM:MT)</t>
  </si>
  <si>
    <t>Capitec Bank Holdings Limited (JSE:CPI)</t>
  </si>
  <si>
    <t>SPIE SA (ENXTPA:SPIE)</t>
  </si>
  <si>
    <t>Crane NXT, Co. (NYSE:CXT)</t>
  </si>
  <si>
    <t>Amadeus IT Group, S.A. (BME:AMS)</t>
  </si>
  <si>
    <t>AQ Group AB  (OM:AQ)</t>
  </si>
  <si>
    <t>A2A S.p.A. (BIT:A2A)</t>
  </si>
  <si>
    <t>Nationwide Building Society (LSE:NBS)</t>
  </si>
  <si>
    <t>Twin Disc, Incorporated (NasdaqGS:TWIN)</t>
  </si>
  <si>
    <t>Balco Group AB (OM:BALCO)</t>
  </si>
  <si>
    <t>Alcadon Group AB  (OM:ALCA)</t>
  </si>
  <si>
    <t>Metalac a.d., Gornji Milanovac (BELEX:MTLC)</t>
  </si>
  <si>
    <t>Breedon Group plc (LSE:BREE)</t>
  </si>
  <si>
    <t>Cadence Design Systems, Inc. (NasdaqGS:CDNS)</t>
  </si>
  <si>
    <t>Park-Ohio Holdings Corp. (NasdaqGS:PKOH)</t>
  </si>
  <si>
    <t>Smart Parking Limited (ASX:SPZ)</t>
  </si>
  <si>
    <t>Saudi Paper Manufacturing Company (SASE:2300)</t>
  </si>
  <si>
    <t>Cicor Technologies Ltd. (SWX:CICN)</t>
  </si>
  <si>
    <t>Vistin Pharma ASA (OB:VISTN)</t>
  </si>
  <si>
    <t>Kingsrose Mining Limited (ASX:KRM)</t>
  </si>
  <si>
    <t>AutoWallis Nyilvánosan Muködo Részvénytársaság (BUSE:AUTOWALLIS)</t>
  </si>
  <si>
    <t>Yankuang Energy Group Company Limited (SEHK:1171)</t>
  </si>
  <si>
    <t>Tennant Company (NYSE:TNC)</t>
  </si>
  <si>
    <t>Luceco plc (LSE:LUCE)</t>
  </si>
  <si>
    <t>Acrow Limited (ASX:ACF)</t>
  </si>
  <si>
    <t>Sygnity S.A. (WSE:SGN)</t>
  </si>
  <si>
    <t>Ecomembrane S.p.A. (BIT:ECMB)</t>
  </si>
  <si>
    <t>Nyab AB  (OM:NYAB)</t>
  </si>
  <si>
    <t>VAALCO Energy, Inc. (NYSE:EGY)</t>
  </si>
  <si>
    <t>GXO Logistics, Inc. (NYSE:GXO)</t>
  </si>
  <si>
    <t>Trade Estates REIC (ATSE:TRESTATES)</t>
  </si>
  <si>
    <t>Quaker Chemical Corporation (NYSE:KWR)</t>
  </si>
  <si>
    <t>Power Metal Resources plc (AIM:POW)</t>
  </si>
  <si>
    <t>DevPort AB  (OM:DEVP B)</t>
  </si>
  <si>
    <t>Verallia Société Anonyme (ENXTPA:VRLA)</t>
  </si>
  <si>
    <t>Irisity AB  (OM:IRIS)</t>
  </si>
  <si>
    <t>Davide Campari-Milano N.V. (BIT:CPR)</t>
  </si>
  <si>
    <t>Gaztransport &amp; Technigaz SA (ENXTPA:GTT)</t>
  </si>
  <si>
    <t>Directa Plus Plc (AIM:DCTA)</t>
  </si>
  <si>
    <t>Bunzl plc (LSE:BNZL)</t>
  </si>
  <si>
    <t>Zuiko Corporation (TSE:6279)</t>
  </si>
  <si>
    <t>Schaeffler AG (XTRA:SHA0)</t>
  </si>
  <si>
    <t>YHI International Limited (SGX:BPF)</t>
  </si>
  <si>
    <t>learnd SE (DB:LRND)</t>
  </si>
  <si>
    <t>Unlimit Group A/S (CPSE:UNLGRP)</t>
  </si>
  <si>
    <t>Shelly Group SE (BUL:SLYG)</t>
  </si>
  <si>
    <t>Italian Exhibition Group S.p.A. (BIT:IEG)</t>
  </si>
  <si>
    <t>Kistos Holdings Plc (AIM:KIST)</t>
  </si>
  <si>
    <t>White Pearl Technology Group AB (OM:WPTG B)</t>
  </si>
  <si>
    <t>Satori Electric Co., Ltd. (TSE:7420)</t>
  </si>
  <si>
    <t>McPhy Energy S.A. (ENXTPA:ALMCP)</t>
  </si>
  <si>
    <t>Unipol Assicurazioni S.p.A. (BIT:UNI); Unipol Finance S.r.l.; Unipol Investment SpA; UnipolPart I S.p.A.</t>
  </si>
  <si>
    <t>Verisk Analytics, Inc. (NasdaqGS:VRSK)</t>
  </si>
  <si>
    <t>Lottery.com Inc. (NasdaqGM:SEGG)</t>
  </si>
  <si>
    <t>Action S.A. (WSE:ACT)</t>
  </si>
  <si>
    <t>Motorola Solutions, Inc. (NYSE:MSI)</t>
  </si>
  <si>
    <t>Sunoco LP (NYSE:SUN)</t>
  </si>
  <si>
    <t>Telelink Business Services Group AD (BUL:TBS)</t>
  </si>
  <si>
    <t>Fabrity S.A. (WSE:FAB)</t>
  </si>
  <si>
    <t>Hansen Technologies Limited (ASX:HSN)</t>
  </si>
  <si>
    <t>Expro Group Holdings N.V. (NYSE:XPRO)</t>
  </si>
  <si>
    <t>Nexans S.A. (ENXTPA:NEX)</t>
  </si>
  <si>
    <t>RaySearch Laboratories AB  (OM:RAY B)</t>
  </si>
  <si>
    <t>Banca Transilvania S.A. (BVB:TLV)</t>
  </si>
  <si>
    <t>AcadeMedia AB  (OM:ACAD)</t>
  </si>
  <si>
    <t>Barratt Redrow plc (LSE:BTRW)</t>
  </si>
  <si>
    <t>MSCI Inc. (NYSE:MSCI)</t>
  </si>
  <si>
    <t>Castles Technology Co., Ltd. (TWSE:5258)</t>
  </si>
  <si>
    <t>Fastighetsbolaget Emilshus AB  (OM:EMIL B)</t>
  </si>
  <si>
    <t>Monolithic Power Systems, Inc. (NasdaqGS:MPWR)</t>
  </si>
  <si>
    <t>ATS Corporation (TSX:ATS)</t>
  </si>
  <si>
    <t>Kadant Inc. (NYSE:KAI)</t>
  </si>
  <si>
    <t>Evolution AB  (OM:EVO)</t>
  </si>
  <si>
    <t>Energizer Holdings, Inc. (NYSE:ENR)</t>
  </si>
  <si>
    <t>Gamma Communications plc (LSE:GAMA)</t>
  </si>
  <si>
    <t>PJSC LUKOIL (MISX:LKOH); AMC "Lerta Capital" Ltd - Argonavt</t>
  </si>
  <si>
    <t>Elanders AB  (OM:ELAN B)</t>
  </si>
  <si>
    <t>BAE Systems plc (LSE:BA.)</t>
  </si>
  <si>
    <t>Octopus Renewables Infrastructure Trust plc (LSE:ORIT)</t>
  </si>
  <si>
    <t>SKP Bearing Industries Limited (NSEI:SKP)</t>
  </si>
  <si>
    <t>Chubu Electric Power Company, Incorporated (TSE:9502)</t>
  </si>
  <si>
    <t>Binero Group AB  (OM:BINERO)</t>
  </si>
  <si>
    <t>BAWAG Group AG (WBAG:BG)</t>
  </si>
  <si>
    <t>Rightmove plc (LSE:RMV)</t>
  </si>
  <si>
    <t>Shutterstock, Inc. (NYSE:SSTK)</t>
  </si>
  <si>
    <t>Quadient S.A. (ENXTPA:QDT)</t>
  </si>
  <si>
    <t>Teraplast S.A. (BVB:TRP)</t>
  </si>
  <si>
    <t>Sociallite US AB  (DB:8450)</t>
  </si>
  <si>
    <t>Trinity Biotech plc (NasdaqGS:TRIB)</t>
  </si>
  <si>
    <t>Keskisuomalainen Oyj (HLSE:KSL)</t>
  </si>
  <si>
    <t>Rebl Group Oyj (HLSE:REBL)</t>
  </si>
  <si>
    <t>Enapter AG (DB:H2O); Technology Center Holding GmbH</t>
  </si>
  <si>
    <t>Lokotech Group AS (OB:LOKO)</t>
  </si>
  <si>
    <t>Mendell Helium plc (OFEX:MDH)</t>
  </si>
  <si>
    <t>Ibstock plc (LSE:IBST)</t>
  </si>
  <si>
    <t>LIDDS AB  (OM:LIDDS)</t>
  </si>
  <si>
    <t>Curatis Holding AG (SWX:CURN)</t>
  </si>
  <si>
    <t>Dynatrace, Inc. (NYSE:DT)</t>
  </si>
  <si>
    <t>Intred S.p.A. (BIT:ITD)</t>
  </si>
  <si>
    <t>INSPECS Group plc (AIM:SPEC)</t>
  </si>
  <si>
    <t>FirstGroup plc (LSE:FGP)</t>
  </si>
  <si>
    <t>Norwegian Block Exchange AS (OB:NBX)</t>
  </si>
  <si>
    <t>SkinBioTherapeutics plc (AIM:SBTX)</t>
  </si>
  <si>
    <t>Solwers Oyj (HLSE:SOLWERS)</t>
  </si>
  <si>
    <t>Assystem S.A. (ENXTPA:ASY)</t>
  </si>
  <si>
    <t>Netcall plc (AIM:NET)</t>
  </si>
  <si>
    <t>Unigel Group plc (OFEX:UNX)</t>
  </si>
  <si>
    <t>IMHO Intermedia House AB  (NGM:IMHO B)</t>
  </si>
  <si>
    <t>Compass Group PLC (LSE:CPG)</t>
  </si>
  <si>
    <t>Brickability Group Plc (AIM:BRCK)</t>
  </si>
  <si>
    <t>iQSTEL Inc. (NasdaqCM:IQST)</t>
  </si>
  <si>
    <t>FDJ United (ENXTPA:FDJU)</t>
  </si>
  <si>
    <t>Cykel AI Development Limited (LSE:CYK)</t>
  </si>
  <si>
    <t>Yamaha Motor Co., Ltd. (TSE:7272)</t>
  </si>
  <si>
    <t>Admicom Oyj (HLSE:ADMCM)</t>
  </si>
  <si>
    <t>Alma Media Oyj (HLSE:ALMA)</t>
  </si>
  <si>
    <t>Hypoport SE (XTRA:HYQ)</t>
  </si>
  <si>
    <t>Kontron AG (XTRA:SANT)</t>
  </si>
  <si>
    <t>Commerzbank AG (XTRA:CBK)</t>
  </si>
  <si>
    <t>Dayforce, Inc. (NYSE:DAY)</t>
  </si>
  <si>
    <t>Q Technology (Group) Company Limited (SEHK:1478)</t>
  </si>
  <si>
    <t>Síminn hf. (ICSE:SIMINN)</t>
  </si>
  <si>
    <t>Au Brandz Co.,Ltd (KOSDAQ:A481070)</t>
  </si>
  <si>
    <t>Embla Medical hf. (CPSE:EMBLA)</t>
  </si>
  <si>
    <t>La Française de l'Energie S.A. (ENXTPA:FDE)</t>
  </si>
  <si>
    <t>Elisa Oyj (HLSE:ELISA)</t>
  </si>
  <si>
    <t>Elkem ASA (OB:ELK)</t>
  </si>
  <si>
    <t>Attendo AB  (OM:ATT)</t>
  </si>
  <si>
    <t>Metir plc (AIM:MET)</t>
  </si>
  <si>
    <t>Talenom Oyj (HLSE:TNOM)</t>
  </si>
  <si>
    <t>Arla Plast AB (OM:ARPL)</t>
  </si>
  <si>
    <t>Puig Brands, S.A. (BME:PUIG)</t>
  </si>
  <si>
    <t>Aquila Part Prod Com S.A. (BVB:AQ)</t>
  </si>
  <si>
    <t>Pennon Group Plc (LSE:PNN)</t>
  </si>
  <si>
    <t>Elis SA (ENXTPA:ELIS)</t>
  </si>
  <si>
    <t>Public Joint Stock Company Severstal (MISX:CHMF)</t>
  </si>
  <si>
    <t>Microlise Group plc (AIM:SAAS)</t>
  </si>
  <si>
    <t>DATAGROUP SE (XTRA:D6H)</t>
  </si>
  <si>
    <t>Etteplan Oyj (HLSE:ETTE)</t>
  </si>
  <si>
    <t>Norrhydro Group Oyj (HLSE:NORRH)</t>
  </si>
  <si>
    <t>Mysore Petro Chemicals Limited (BSE:506734)</t>
  </si>
  <si>
    <t>Cranswick plc (LSE:CWK)</t>
  </si>
  <si>
    <t>Company Type [Target/Issuer]</t>
  </si>
  <si>
    <t>Private Company</t>
  </si>
  <si>
    <t>Assets/Products</t>
  </si>
  <si>
    <t>Public Company</t>
  </si>
  <si>
    <t>Private Investment Firm</t>
  </si>
  <si>
    <t>Trade Association</t>
  </si>
  <si>
    <t>NOSH</t>
  </si>
  <si>
    <t>Share Price D-0</t>
  </si>
  <si>
    <t>Date D+1</t>
  </si>
  <si>
    <t xml:space="preserve">Date D-2 </t>
  </si>
  <si>
    <t>Share Price D-2</t>
  </si>
  <si>
    <t xml:space="preserve">Date D-3 </t>
  </si>
  <si>
    <t xml:space="preserve">Share Price D-3 </t>
  </si>
  <si>
    <t xml:space="preserve">Date D-4 </t>
  </si>
  <si>
    <t xml:space="preserve">Share Price D-4 </t>
  </si>
  <si>
    <t xml:space="preserve">Date D-1 </t>
  </si>
  <si>
    <t>Date D+2</t>
  </si>
  <si>
    <t>Share Price D+2</t>
  </si>
  <si>
    <t>Date D+3</t>
  </si>
  <si>
    <t>Share Price D+3</t>
  </si>
  <si>
    <t>Date D+4</t>
  </si>
  <si>
    <t>Share Price D+4</t>
  </si>
  <si>
    <t>Var D-1/D+1</t>
  </si>
  <si>
    <t>Var D-7/D+7</t>
  </si>
  <si>
    <t>Sector GICS</t>
  </si>
  <si>
    <t>Total Cash ($USDmm, Historical rate)</t>
  </si>
  <si>
    <t>Cash % of Consideration (%)</t>
  </si>
  <si>
    <t>Total Debt ($USDmm, Historical rate)</t>
  </si>
  <si>
    <t>Debt % of Consideration (%)</t>
  </si>
  <si>
    <t>Stock % of Consideration (%)</t>
  </si>
  <si>
    <t>Consideration Offered</t>
  </si>
  <si>
    <t>Cash</t>
  </si>
  <si>
    <t>Cash; Combinations</t>
  </si>
  <si>
    <t>Combinations</t>
  </si>
  <si>
    <t>Cash; Debt</t>
  </si>
  <si>
    <t>Cash; Combinations; Common Equity</t>
  </si>
  <si>
    <t>Cash; Common Equity</t>
  </si>
  <si>
    <t>Debt</t>
  </si>
  <si>
    <t>Unknown</t>
  </si>
  <si>
    <t>Cash; Common Equity; Debt</t>
  </si>
  <si>
    <t>Cash; Unknown</t>
  </si>
  <si>
    <t>Elections</t>
  </si>
  <si>
    <t>Combinations; Common Equity</t>
  </si>
  <si>
    <t>Common Equity; Rights / Warrants / Options</t>
  </si>
  <si>
    <t>-</t>
  </si>
  <si>
    <t>Buyer's Headquarter</t>
  </si>
  <si>
    <t>Seller's Headquarter</t>
  </si>
  <si>
    <t>United States</t>
  </si>
  <si>
    <t>Austria</t>
  </si>
  <si>
    <t>Australia</t>
  </si>
  <si>
    <t>Germany</t>
  </si>
  <si>
    <t>Croatia</t>
  </si>
  <si>
    <t>Norway</t>
  </si>
  <si>
    <t>Sweden</t>
  </si>
  <si>
    <t>France</t>
  </si>
  <si>
    <t>Finland</t>
  </si>
  <si>
    <t>Switzerland</t>
  </si>
  <si>
    <t>Spain</t>
  </si>
  <si>
    <t>Denmark</t>
  </si>
  <si>
    <t>United Kingdom</t>
  </si>
  <si>
    <t>Italy</t>
  </si>
  <si>
    <t>Canada</t>
  </si>
  <si>
    <t>Cyprus</t>
  </si>
  <si>
    <t>Netherlands</t>
  </si>
  <si>
    <t>Taiwan</t>
  </si>
  <si>
    <t>Malta</t>
  </si>
  <si>
    <t>Estonia</t>
  </si>
  <si>
    <t>Japan</t>
  </si>
  <si>
    <t>Morocco</t>
  </si>
  <si>
    <t>Poland</t>
  </si>
  <si>
    <t>Mexico</t>
  </si>
  <si>
    <t>Brookfield Corporation (TSX:BN) (Canada); Brookfield Renewable Corporation (NYSE:BEPC) (United States); Temasek Holdings (Private) Limited (Singapore)</t>
  </si>
  <si>
    <t>Bosnia-Herzegovina</t>
  </si>
  <si>
    <t>Portugal</t>
  </si>
  <si>
    <t>Romania</t>
  </si>
  <si>
    <t>British Virgin Islands</t>
  </si>
  <si>
    <t>Slovenia</t>
  </si>
  <si>
    <t>China</t>
  </si>
  <si>
    <t>PORR AG (WBAG:POS) (Austria); Strabag SE (WBAG:STR) (Austria)</t>
  </si>
  <si>
    <t>India</t>
  </si>
  <si>
    <t>Luxembourg</t>
  </si>
  <si>
    <t>Ukraine</t>
  </si>
  <si>
    <t>Ireland</t>
  </si>
  <si>
    <t>Serbia</t>
  </si>
  <si>
    <t>Omnia Capital (Romania); Premier Energy PLC (BVB:PE) (Cyprus)</t>
  </si>
  <si>
    <t>Belgium</t>
  </si>
  <si>
    <t>Greece</t>
  </si>
  <si>
    <t>Russia</t>
  </si>
  <si>
    <t>Guernsey</t>
  </si>
  <si>
    <t>Meadow Capital Management LLC (United States); Roadside Real Estate plc (AIM:ROAD) (United Kingdom)</t>
  </si>
  <si>
    <t>Malaysia</t>
  </si>
  <si>
    <t>South Africa</t>
  </si>
  <si>
    <t>Hungary</t>
  </si>
  <si>
    <t>Czech Republic</t>
  </si>
  <si>
    <t>Singapore</t>
  </si>
  <si>
    <t>Unipol Assicurazioni S.p.A. (BIT:UNI) (Italy); Unipol Finance S.r.l. (Italy); Unipol Investment SpA (Italy); UnipolPart I S.p.A. (Italy)</t>
  </si>
  <si>
    <t>Bulgaria</t>
  </si>
  <si>
    <t>AMC "Lerta Capital" Ltd - Argonavt (Russia); PJSC LUKOIL (MISX:LKOH) (Russia)</t>
  </si>
  <si>
    <t>Iceland</t>
  </si>
  <si>
    <t>South Korea</t>
  </si>
  <si>
    <t>Israel</t>
  </si>
  <si>
    <t>Bermuda</t>
  </si>
  <si>
    <t>Turkey</t>
  </si>
  <si>
    <t>Moldova</t>
  </si>
  <si>
    <t>CK Asset Holdings Limited (SEHK:1113) (Hong Kong); CK Infrastructure Holdings Limited (SEHK:1038) (Hong Kong); Power Assets Holdings Limited (SEHK:6) (Hong Kong)</t>
  </si>
  <si>
    <t>Lithuania</t>
  </si>
  <si>
    <t>Saudi Arabia</t>
  </si>
  <si>
    <t>Enapter AG (DB:H2O) (Germany); Technology Center Holding GmbH (Germany)</t>
  </si>
  <si>
    <t xml:space="preserve">Beta </t>
  </si>
  <si>
    <t>Health Care</t>
  </si>
  <si>
    <t>Materials</t>
  </si>
  <si>
    <t>Industrials</t>
  </si>
  <si>
    <t>Information Technology</t>
  </si>
  <si>
    <t>Energy</t>
  </si>
  <si>
    <t>Communication Services</t>
  </si>
  <si>
    <t>Consumer Staples</t>
  </si>
  <si>
    <t>Utilities</t>
  </si>
  <si>
    <t>Financials</t>
  </si>
  <si>
    <t>Consumer Discretionary</t>
  </si>
  <si>
    <t>Real Estate</t>
  </si>
  <si>
    <t>BAABTAVMT0NBTAFI/////wFQyBkAACdDSVEuTkVULklRX0xBU1RTQUxFUFJJQ0UuMjIvMDEvMjAyNC5VU0QBAAAANPXgBAIAAAAFODQsNjgAST9KrOtH3gjYzUu260feCCdDSVEuTkVULklRX0xBU1RTQUxFUFJJQ0UuMjEvMDEvMjAyNC5VU0QBAAAANPXgBAIAAAAFODEsMzUAST9KrOtH3gjYzUu260feCCdDSVEuTkVULklRX0xBU1RTQUxFUFJJQ0UuMjAvMDEvMjAyNC5VU0QBAAAANPXgBAIAAAAFODEsMzUAST9KrOtH3gjYzUu260feCCdDSVEuTkVULklRX0xBU1RTQUxFUFJJQ0UuMTkvMDEvMjAyNC5VU0QBAAAANPXgBAIAAAAFODEsMzUAST9KrOtH3gjYzUu260feCCdDSVEuTkVULklRX0xBU1RTQUxFUFJJQ0UuMjQvMDEvMjAyNC5VU0QBAAAANPXgBAIAAAAFODIsMzMAST9KrOtH3gjYzUu260feCCdDSVEuTkVULklRX0xBU1RTQUxFUFJJQ0UuMjUvMDEvMjAyNC5VU0QBAAAANPXgBAIAAAAFODEsODYAST9KrOtH3gjYzUu260feCCdDSVEuTkVULklRX0xBU1RTQUxFUFJJQ0UuMjYvMDEvMjAyNC5VU0QBAAAANPXgBAIAAAAFODAsMTgAST9KrOtH3gjYzUu260feCCdDSVEuTkVULklRX0xBU1RTQUxFUFJJQ0UuMjcvMDEvMjAyNC5VU0QBAAAANPXgBAIAAAAFODAsMTgAST9KrOtH3gjYzUu260feCCdDSVEuTkVULklRX0xBU1RTQUxFUFJJQ0UuMTYvMDEvMjAyNC5VU0QBAAAANPXgBAIAAAAFNzgsNDUA</t>
  </si>
  <si>
    <t>ST9KrOtH3ggw9Uu260feCCdDSVEuTkVULklRX0xBU1RTQUxFUFJJQ0UuMzAvMDEvMjAyNC5VU0QBAAAANPXgBAIAAAAFODIsOTYAST9KrOtH3ggw9Uu260feCCdDSVEuVFRFLklRX0xBU1RTQUxFUFJJQ0UuMjIvMDEvMjAyNC5VU0QBAAAAnPoEAAIAAAAONjIsODg3OTQ1MTM5MjUAST9KrOtH3giKHEy260feCCdDSVEuVFRFLklRX0xBU1RTQUxFUFJJQ0UuMjEvMDEvMjAyNC5VU0QBAAAAnPoEAAIAAAAONjMsNDIzNjU4Njk3NzIAST9KrOtH3ggw9Uu260feCCdDSVEuVFRFLklRX0xBU1RTQUxFUFJJQ0UuMjAvMDEvMjAyNC5VU0QBAAAAnPoEAAIAAAAONjMsNDIzNjU4Njk3NzIAST9KrOtH3giKHEy260feCCdDSVEuVFRFLklRX0xBU1RTQUxFUFJJQ0UuMTkvMDEvMjAyNC5VU0QBAAAAnPoEAAIAAAAONjMsNDIzNjU4Njk3NzIAST9KrOtH3giKHEy260feCCdDSVEuVFRFLklRX0xBU1RTQUxFUFJJQ0UuMjQvMDEvMjAyNC5VU0QBAAAAnPoEAAIAAAAONjQsMTQ1NTk3MjE2MjIAST9KrOtH3giKHEy260feCCdDSVEuVFRFLklRX0xBU1RTQUxFUFJJQ0UuMjUvMDEvMjAyNC5VU0QBAAAAnPoEAAIAAAANNjMsODc3NzUwMDcyNQBJP0qs60feCIocTLbrR94IJ0NJUS5UVEUuSVFfTEFTVFNBTEVQUklDRS4yNi8wMS8yMDI0LlVTRAEAAACc+gQAAgAAAA42NCw3NzYxODQyNDc5NABJP0qs60feCDD1S7brR94IJ0NJ</t>
  </si>
  <si>
    <t>US5UVEUuSVFfTEFTVFNBTEVQUklDRS4yNy8wMS8yMDI0LlVTRAEAAACc+gQAAgAAAA42NCw3NzYxODQyNDc5NABJP0qs60feCDD1S7brR94IJ0NJUS5UVEUuSVFfTEFTVFNBTEVQUklDRS4xNi8wMS8yMDI0LlVTRAEAAACc+gQAAgAAAA42NCw5MDE5NjA4MDAwMgBJP0qs60feCDD1S7brR94IJ0NJUS5UVEUuSVFfTEFTVFNBTEVQUklDRS4zMC8wMS8yMDI0LlVTRAEAAACc+gQAAgAAAA42NSw0OTI1NzYxMjYyNQBJP0qs60feCOdDTLbrR94IJ0NJUS5VTlguSVFfTEFTVFNBTEVQUklDRS4yMi8wMS8yMDI0LlVTRAEAAACMtbF0AwAAAAAAST9KrOtH3gjnQ0y260feCCdDSVEuVU5YLklRX0xBU1RTQUxFUFJJQ0UuMjEvMDEvMjAyNC5VU0QBAAAAjLWxdAMAAAAAAEk/SqzrR94ILmtMtutH3ggnQ0lRLlVOWC5JUV9MQVNUU0FMRVBSSUNFLjIwLzAxLzIwMjQuVVNEAQAAAIy1sXQDAAAAAABJP0qs60feCC5rTLbrR94IJ0NJUS5VTlguSVFfTEFTVFNBTEVQUklDRS4xOS8wMS8yMDI0LlVTRAEAAACMtbF0AwAAAAAAST9KrOtH3ggua0y260feCCdDSVEuVU5YLklRX0xBU1RTQUxFUFJJQ0UuMjQvMDEvMjAyNC5VU0QBAAAAjLWxdAMAAAAAAEk/SqzrR94ILmtMtutH3ggnQ0lRLlVOWC5JUV9MQVNUU0FMRVBSSUNFLjI1LzAxLzIwMjQuVVNEAQAAAIy1sXQDAAAAAABJP0qs60feCC5rTLbrR94IJ0NJUS5VTlguSVFf</t>
  </si>
  <si>
    <t>TEFTVFNBTEVQUklDRS4yNi8wMS8yMDI0LlVTRAEAAACMtbF0AwAAAAAAST9KrOtH3giKHEy260feCCdDSVEuVU5YLklRX0xBU1RTQUxFUFJJQ0UuMjcvMDEvMjAyNC5VU0QBAAAAjLWxdAMAAAAAAEk/SqzrR94I7pFMtutH3ggnQ0lRLlVOWC5JUV9MQVNUU0FMRVBSSUNFLjE2LzAxLzIwMjQuVVNEAQAAAIy1sXQDAAAAAABJP0qs60feCO6RTLbrR94IJ0NJUS5VTlguSVFfTEFTVFNBTEVQUklDRS4zMC8wMS8yMDI0LlVTRAEAAACMtbF0AwAAAAAAST9KrOtH3gjukUy260feCCpDSVEuSU1ITyBCLklRX0xBU1RTQUxFUFJJQ0UuMjIvMDEvMjAyNC5VU0QBAAAAvxs9IQIAAAANMCwwNDU5NjYxMzYzMgBJP0qs60feCGy7TLbrR94IKkNJUS5JTUhPIEIuSVFfTEFTVFNBTEVQUklDRS4yMS8wMS8yMDI0LlVTRAEAAAC/Gz0hAgAAAA4wLDA0NTMzODMxNDQyNQBJP0qs60feCGy7TLbrR94IKkNJUS5JTUhPIEIuSVFfTEFTVFNBTEVQUklDRS4yMC8wMS8yMDI0LlVTRAEAAAC/Gz0hAgAAAA4wLDA0NTMzODMxNDQyNQBJP0qs60feCGy7TLbrR94IKkNJUS5JTUhPIEIuSVFfTEFTVFNBTEVQUklDRS4xOS8wMS8yMDI0LlVTRAEAAAC/Gz0hAgAAAA4wLDA0NTMzODMxNDQyNQBJP0qs60feCOriTLbrR94IKkNJUS5JTUhPIEIuSVFfTEFTVFNBTEVQUklDRS4yNC8wMS8yMDI0LlVTRAEAAAC/Gz0hAgAAAA0wLDA1MDg4NjQz</t>
  </si>
  <si>
    <t>MjA4AEk/SqzrR94I6uJMtutH3ggqQ0lRLklNSE8gQi5JUV9MQVNUU0FMRVBSSUNFLjI1LzAxLzIwMjQuVVNEAQAAAL8bPSECAAAADTAsMDUxNzAwMTIwMDIAST9KrOtH3ghsu0y260feCCpDSVEuSU1ITyBCLklRX0xBU1RTQUxFUFJJQ0UuMjYvMDEvMjAyNC5VU0QBAAAAvxs9IQIAAAAOMCwwNTE0MjgyMzY4MDgAST9KrOtH3gjq4ky260feCCpDSVEuSU1ITyBCLklRX0xBU1RTQUxFUFJJQ0UuMjcvMDEvMjAyNC5VU0QBAAAAvxs9IQIAAAAOMCwwNTE0MjgyMzY4MDgAST9KrOtH3gjq4ky260feCCpDSVEuSU1ITyBCLklRX0xBU1RTQUxFUFJJQ0UuMTYvMDEvMjAyNC5VU0QBAAAAvxs9IQIAAAANMCwwNDEzMDQ0OTE5NABJP0qs60feCGy7TLbrR94IKkNJUS5JTUhPIEIuSVFfTEFTVFNBTEVQUklDRS4zMC8wMS8yMDI0LlVTRAEAAAC/Gz0hAgAAAA0wLDA1MDg1MjE1NzUxAEk/SqzrR94IbLtMtutH3ggnQ0lRLkNQRy5JUV9MQVNUU0FMRVBSSUNFLjIxLzAxLzIwMjQuVVNEAQAAAPiQCgACAAAADTI3LDQ5NDQ1Njc1NjkABWdKrOtH3gjq4ky260feCCdDSVEuQ1BHLklRX0xBU1RTQUxFUFJJQ0UuMjAvMDEvMjAyNC5VU0QBAAAA+JAKAAIAAAANMjcsNDk0NDU2NzU2OQAFZ0qs60feCGgKTbbrR94IJ0NJUS5DUEcuSVFfTEFTVFNBTEVQUklDRS4xOS8wMS8yMDI0LlVTRAEAAAD4kAoAAgAAAA0yNyw0OTQ0NTY3</t>
  </si>
  <si>
    <t>NTY5AAVnSqzrR94I7DFNtutH3ggnQ0lRLkNQRy5JUV9MQVNUU0FMRVBSSUNFLjE4LzAxLzIwMjQuVVNEAQAAAPiQCgACAAAADjI3LDU5Njk3MDA0NTc1AAVnSqzrR94I7DFNtutH3ggnQ0lRLkNQRy5JUV9MQVNUU0FMRVBSSUNFLjIzLzAxLzIwMjQuVVNEAQAAAPiQCgACAAAADjI2LDcxMTQxNzg5NTA2AAVnSqzrR94I7DFNtutH3ggnQ0lRLkNQRy5JUV9MQVNUU0FMRVBSSUNFLjI0LzAxLzIwMjQuVVNEAQAAAPiQCgACAAAADTI3LDAyMjU0ODUzOTIABWdKrOtH3gjsMU2260feCCdDSVEuQ1BHLklRX0xBU1RTQUxFUFJJQ0UuMjUvMDEvMjAyNC5VU0QBAAAA+JAKAAIAAAAOMjcsMjI3NDcxMjk4ODgABWdKrOtH3ghoCk2260feCCdDSVEuQ1BHLklRX0xBU1RTQUxFUFJJQ0UuMjYvMDEvMjAyNC5VU0QBAAAA+JAKAAIAAAANMjcsMzExMDA0NTMyOAAFZ0qs60feCGgKTbbrR94IJ0NJUS5DUEcuSVFfTEFTVFNBTEVQUklDRS4xNS8wMS8yMDI0LlVTRAEAAAD4kAoAAgAAAA0yNyw4OTQxODA0MzExAAVnSqzrR94IaApNtutH3ggnQ0lRLkNQRy5JUV9MQVNUU0FMRVBSSUNFLjI5LzAxLzIwMjQuVVNEAQAAAPiQCgACAAAADTI3LDI2NDU0MjEzODUABWdKrOtH3ggzgU2260feCChDSVEuQlJDSy5JUV9MQVNUU0FMRVBSSUNFLjIxLzAxLzIwMjQuVVNEAQAAAAxbXCQCAAAADTAsNzA5NTM0MzY3OTIABWdKrOtH3ggz</t>
  </si>
  <si>
    <t>gU2260feCChDSVEuQlJDSy5JUV9MQVNUU0FMRVBSSUNFLjIwLzAxLzIwMjQuVVNEAQAAAAxbXCQCAAAADTAsNzA5NTM0MzY3OTIABWdKrOtH3ggzgU2260feCChDSVEuQlJDSy5JUV9MQVNUU0FMRVBSSUNFLjE5LzAxLzIwMjQuVVNEAQAAAAxbXCQCAAAADTAsNzA5NTM0MzY3OTIABWdKrOtH3ggzgU2260feCChDSVEuQlJDSy5JUV9MQVNUU0FMRVBSSUNFLjE4LzAxLzIwMjQuVVNEAQAAAAxbXCQCAAAADjAsNjYzNTk2MTA3MzA3AAVnSqzrR94IM4FNtutH3ggoQ0lRLkJSQ0suSVFfTEFTVFNBTEVQUklDRS4yMy8wMS8yMDI0LlVTRAEAAAAMW1wkAgAAAA0wLDc3MjU5MTk4Mjc0AAVnSqzrR94IsFlNtutH3ggoQ0lRLkJSQ0suSVFfTEFTVFNBTEVQUklDRS4yNC8wMS8yMDI0LlVTRAEAAAAMW1wkAgAAAA0wLDc3NzUzNTU5NDc2AAVnSqzrR94IjqhNtutH3ggoQ0lRLkJSQ0suSVFfTEFTVFNBTEVQUklDRS4yNS8wMS8yMDI0LlVTRAEAAAAMW1wkAgAAAA4wLDc4MTAxMTg4NjYwNQAFZ0qs60feCI6oTbbrR94IKENJUS5CUkNLLklRX0xBU1RTQUxFUFJJQ0UuMjYvMDEvMjAyNC5VU0QBAAAADFtcJAIAAAANMCw4MDM5MzgyNzk2OAAFZ0qs60feCFTQTbbrR94IKENJUS5CUkNLLklRX0xBU1RTQUxFUFJJQ0UuMTUvMDEvMjAyNC5VU0QBAAAADFtcJAIAAAAOMCw3MDY5MDczMTIyOTUABWdKrOtH3ghU0E2260fe</t>
  </si>
  <si>
    <t>CChDSVEuQlJDSy5JUV9MQVNUU0FMRVBSSUNFLjI5LzAxLzIwMjQuVVNEAQAAAAxbXCQCAAAADjAsODg1MTQ2NTMwODIyAAVnSqzrR94IVNBNtutH3ggoQ0lRLklRU1QuSVFfTEFTVFNBTEVQUklDRS4yMS8wMS8yMDI0LlVTRAEAAABp324ZAgAAAAkxMiw0MzUzMTQABWdKrOtH3ghU0E2260feCChDSVEuSVFTVC5JUV9MQVNUU0FMRVBSSUNFLjIwLzAxLzIwMjQuVVNEAQAAAGnfbhkCAAAACTEyLDQzNTMxNAAFZ0qs60feCF/3TbbrR94IKENJUS5JUVNULklRX0xBU1RTQUxFUFJJQ0UuMTkvMDEvMjAyNC5VU0QBAAAAad9uGQIAAAAJMTIsNDM1MzE0AAVnSqzrR94IVNBNtutH3ggoQ0lRLklRU1QuSVFfTEFTVFNBTEVQUklDRS4xOC8wMS8yMDI0LlVTRAEAAABp324ZAgAAAAkxMiw0MzUzMTQABWdKrOtH3ghf902260feCChDSVEuSVFTVC5JUV9MQVNUU0FMRVBSSUNFLjIzLzAxLzIwMjQuVVNEAQAAAGnfbhkCAAAACTE1LDUyMDUzMgAFZ0qs60feCF/3TbbrR94IKENJUS5JUVNULklRX0xBU1RTQUxFUFJJQ0UuMjQvMDEvMjAyNC5VU0QBAAAAad9uGQIAAAAJMTQsOTkzMjExAAVnSqzrR94IX/dNtutH3ggoQ0lRLklRU1QuSVFfTEFTVFNBTEVQUklDRS4yNS8wMS8yMDI0LlVTRAEAAABp324ZAgAAAAkxNCw3MTA2NjIABWdKrOtH3ghf902260feCChDSVEuSVFTVC5JUV9MQVNUU0FMRVBSSUNFLjI2LzAxLzIw</t>
  </si>
  <si>
    <t>MjQuVVNEAQAAAGnfbhkCAAAACTE0LDMyNDIyMwAFZ0qs60feCF/3TbbrR94IKENJUS5JUVNULklRX0xBU1RTQUxFUFJJQ0UuMTUvMDEvMjAyNC5VU0QBAAAAad9uGQIAAAAJMTIsNjk1MDM5AAVnSqzrR94IVNBNtutH3ggoQ0lRLklRU1QuSVFfTEFTVFNBTEVQUklDRS4yOS8wMS8yMDI0LlVTRAEAAABp324ZAgAAAAkxNCwyNTMzODkABWdKrOtH3ghU0E2260feCClDSVEuQkFMQ08uSVFfTEFTVFNBTEVQUklDRS4yMS8wMS8yMDI0LlVTRAEAAABLDCAgAgAAAA00LDQ3MTc4OTUzODU1AAVnSqzrR94Ibx5OtutH3ggpQ0lRLkJBTENPLklRX0xBU1RTQUxFUFJJQ0UuMjAvMDEvMjAyNC5VU0QBAAAASwwgIAIAAAANNCw0NzE3ODk1Mzg1NQAFZ0qs60feCF/3TbbrR94IKUNJUS5CQUxDTy5JUV9MQVNUU0FMRVBSSUNFLjE5LzAxLzIwMjQuVVNEAQAAAEsMICACAAAADTQsNDcxNzg5NTM4NTUABWdKrOtH3gh/RU6260feCClDSVEuQkFMQ08uSVFfTEFTVFNBTEVQUklDRS4xOC8wMS8yMDI0LlVTRAEAAABLDCAgAgAAAAw0LDY4MTc5NTQyNDQABWdKrOtH3gh/RU6260feCClDSVEuQkFMQ08uSVFfTEFTVFNBTEVQUklDRS4yMy8wMS8yMDI0LlVTRAEAAABLDCAgAgAAAAw0LDUwNzQxMDU1MTYABWdKrOtH3gh/RU6260feCClDSVEuQkFMQ08uSVFfTEFTVFNBTEVQUklDRS4yNC8wMS8yMDI0LlVTRAEAAABLDCAgAgAA</t>
  </si>
  <si>
    <t>AAw0LDU0MTM3NDAzMjgABWdKrOtH3gh/RU6260feCClDSVEuQkFMQ08uSVFfTEFTVFNBTEVQUklDRS4yNS8wMS8yMDI0LlVTRAEAAABLDCAgAgAAAAw0LDQ3MTEwMjk3MjEABWdKrOtH3ghvHk6260feCClDSVEuQkFMQ08uSVFfTEFTVFNBTEVQUklDRS4yNi8wMS8yMDI0LlVTRAEAAABLDCAgAgAAAA00LDUyMzk1Nzc3MTQ1AAVnSqzrR94Ibx5OtutH3ggpQ0lRLkJBTENPLklRX0xBU1RTQUxFUFJJQ0UuMTUvMDEvMjAyNC5VU0QBAAAASwwgIAIAAAAMNCw3NDMxNTIwMjg2AAVnSqzrR94Ibx5OtutH3ggpQ0lRLkJBTENPLklRX0xBU1RTQUxFUFJJQ0UuMjkvMDEvMjAyNC5VU0QBAAAASwwgIAIAAAAMNCw3NTk2NzY5MDMzAAVnSqzrR94IkWxOtutH3ggoQ0lRLkZESlUuSVFfTEFTVFNBTEVQUklDRS4yMC8wMS8yMDI0LlVTRAEAAACtA1QAAgAAAA4zNywzOTI1MzQ1Mzc2NAAFZ0qs60feCJFsTrbrR94IKENJUS5GREpVLklRX0xBU1RTQUxFUFJJQ0UuMTkvMDEvMjAyNC5VU0QBAAAArQNUAAIAAAAOMzcsMzkyNTM0NTM3NjQABWdKrOtH3ggzlE6260feCChDSVEuRkRKVS5JUV9MQVNUU0FMRVBSSUNFLjE4LzAxLzIwMjQuVVNEAQAAAK0DVAACAAAADjM2LDc4ODM1Mjg3ODgyAAVnSqzrR94IM5ROtutH3ggoQ0lRLkZESlUuSVFfTEFTVFNBTEVQUklDRS4xNy8wMS8yMDI0LlVTRAEAAACtA1QAAgAAAAwzNiwz</t>
  </si>
  <si>
    <t>Njk1NTgxNDIABWdKrOtH3ggzlE6260feCChDSVEuRkRKVS5JUV9MQVNUU0FMRVBSSUNFLjIyLzAxLzIwMjQuVVNEAQAAAK0DVAACAAAADTM5LDc0NzM1OTI2NTUABWdKrOtH3gh/RU6260feCChDSVEuRkRKVS5JUV9MQVNUU0FMRVBSSUNFLjIzLzAxLzIwMjQuVVNEAQAAAK0DVAACAAAADTM5LDIyNDE4NDYzNDQABWdKrOtH3ggzlE6260feCChDSVEuRkRKVS5JUV9MQVNUU0FMRVBSSUNFLjI0LzAxLzIwMjQuVVNEAQAAAK0DVAACAAAADTM5LDQ1MDc0MTA2NzQABWdKrOtH3ggzlE6260feCChDSVEuRkRKVS5JUV9MQVNUU0FMRVBSSUNFLjI1LzAxLzIwMjQuVVNEAQAAAK0DVAACAAAADTQwLDY0MTU5NTMxMjUABWdKrOtH3giwuk6260feCChDSVEuRkRKVS5JUV9MQVNUU0FMRVBSSUNFLjE0LzAxLzIwMjQuVVNEAQAAAK0DVAACAAAADjM2LDEwNDQwODg0Nzg4AAVnSqzrR94IsLpOtutH3ggoQ0lRLkZESlUuSVFfTEFTVFNBTEVQUklDRS4yOC8wMS8yMDI0LlVTRAEAAACtA1QAAgAAAA40MCw1OTEwNDczNTgzMgAFZ0qs60feCLC6TrbrR94IJ0NJUS5DWUsuSVFfTEFTVFNBTEVQUklDRS4xOC8wMS8yMDI0LlVTRAEAAABFRo1uAwAAAAAABWdKrOtH3giB7U6260feCCdDSVEuQ1lLLklRX0xBU1RTQUxFUFJJQ0UuMTcvMDEvMjAyNC5VU0QBAAAARUaNbgMAAAAAAAVnSqzrR94IsLpOtutH3ggnQ0lRLkNZSy5J</t>
  </si>
  <si>
    <t>UV9MQVNUU0FMRVBSSUNFLjE2LzAxLzIwMjQuVVNEAQAAAEVGjW4DAAAAAAAFZ0qs60feCLC6TrbrR94IJ0NJUS5DWUsuSVFfTEFTVFNBTEVQUklDRS4xNS8wMS8yMDI0LlVTRAEAAABFRo1uAwAAAAAABWdKrOtH3giB7U6260feCCdDSVEuQ1lLLklRX0xBU1RTQUxFUFJJQ0UuMjAvMDEvMjAyNC5VU0QBAAAARUaNbgMAAAAAAAVnSqzrR94Ige1OtutH3ggnQ0lRLkNZSy5JUV9MQVNUU0FMRVBSSUNFLjIxLzAxLzIwMjQuVVNEAQAAAEVGjW4DAAAAAAAFZ0qs60feCLC6TrbrR94IJ0NJUS5DWUsuSVFfTEFTVFNBTEVQUklDRS4yMi8wMS8yMDI0LlVTRAEAAABFRo1uAwAAAAAABWdKrOtH3giwuk6260feCCdDSVEuQ1lLLklRX0xBU1RTQUxFUFJJQ0UuMjMvMDEvMjAyNC5VU0QBAAAARUaNbgMAAAAAAAVnSqzrR94Ige1OtutH3ggnQ0lRLkNZSy5JUV9MQVNUU0FMRVBSSUNFLjEyLzAxLzIwMjQuVVNEAQAAAEVGjW4DAAAAAAAFZ0qs60feCIHtTrbrR94IJ0NJUS5DWUsuSVFfTEFTVFNBTEVQUklDRS4yNi8wMS8yMDI0LlVTRAEAAABFRo1uAwAAAAAABWdKrOtH3giB7U6260feCChDSVEuNzI3Mi5JUV9MQVNUU0FMRVBSSUNFLjE4LzAxLzIwMjQuVVNEAQAAAJ9WDQACAAAADDksMzI2NTY4MjY3NQAFZ0qs60feCN8UT7brR94IKENJUS43MjcyLklRX0xBU1RTQUxFUFJJQ0UuMTcvMDEvMjAyNC5VU0QBAAAAn1YN</t>
  </si>
  <si>
    <t>AAIAAAALOSwxMTI1MzA5NjUABWdKrOtH3giB7U6260feCChDSVEuNzI3Mi5JUV9MQVNUU0FMRVBSSUNFLjE2LzAxLzIwMjQuVVNEAQAAAJ9WDQACAAAADDksMTc5NTg4NzYxNQAFZ0qs60feCN8UT7brR94IKENJUS43MjcyLklRX0xBU1RTQUxFUFJJQ0UuMTUvMDEvMjAyNC5VU0QBAAAAn1YNAAIAAAALOSwyMDkyMDkwMDUABWdKrOtH3gg8PE+260feCChDSVEuNzI3Mi5JUV9MQVNUU0FMRVBSSUNFLjIwLzAxLzIwMjQuVVNEAQAAAJ9WDQACAAAACjksMzI4ODg2OTYABWdKrOtH3gg8PE+260feCChDSVEuNzI3Mi5JUV9MQVNUU0FMRVBSSUNFLjIxLzAxLzIwMjQuVVNEAQAAAJ9WDQACAAAACjksMzI4ODg2OTYABWdKrOtH3gg8PE+260feCChDSVEuNzI3Mi5JUV9MQVNUU0FMRVBSSUNFLjIyLzAxLzIwMjQuVVNEAQAAAJ9WDQACAAAADDksOTI2MjUzNzkzNQAFZ0qs60feCN8UT7brR94IKENJUS43MjcyLklRX0xBU1RTQUxFUFJJQ0UuMjMvMDEvMjAyNC5VU0QBAAAAn1YNAAIAAAAMOSw3NTQ4MDAxMjc1AAVnSqzrR94I3xRPtutH3ggoQ0lRLjcyNzIuSVFfTEFTVFNBTEVQUklDRS4xMi8wMS8yMDI0LlVTRAEAAACfVg0AAgAAAAs5LDMxMjg0MTQ1NQAFZ0qs60feCN8UT7brR94IKENJUS43MjcyLklRX0xBU1RTQUxFUFJJQ0UuMjYvMDEvMjAyNC5VU0QBAAAAn1YNAAIAAAALOSwzODc1MjkwODkABWdKrOtH</t>
  </si>
  <si>
    <t>3gg8PE+260feCClDSVEuQURNQ00uSVFfTEFTVFNBTEVQUklDRS4xOC8wMS8yMDI0LlVTRAEAAADGNZMSAgAAAA40Niw5OTA0Mzg5MjUyNQAFZ0qs60feCDw8T7brR94IKUNJUS5BRE1DTS5JUV9MQVNUU0FMRVBSSUNFLjE3LzAxLzIwMjQuVVNEAQAAAMY1kxICAAAADDQ3LDIyNjE0MjY2MgAFZ0qs60feCDw8T7brR94IKUNJUS5BRE1DTS5JUV9MQVNUU0FMRVBSSUNFLjE2LzAxLzIwMjQuVVNEAQAAAMY1kxICAAAADjQ4LDUyOTQxMTc3NjQ1AAVnSqzrR94ImmNPtutH3ggpQ0lRLkFETUNNLklRX0xBU1RTQUxFUFJJQ0UuMTUvMDEvMjAyNC5VU0QBAAAAxjWTEgIAAAANNDgsOTQzMzkyMDk4NAAFZ0qs60feCJpjT7brR94IKUNJUS5BRE1DTS5JUV9MQVNUU0FMRVBSSUNFLjIwLzAxLzIwMjQuVVNEAQAAAMY1kxICAAAADTQzLDMxMjY1NjQyMDIABWdKrOtH3giaY0+260feCClDSVEuQURNQ00uSVFfTEFTVFNBTEVQUklDRS4yMS8wMS8yMDI0LlVTRAEAAADGNZMSAgAAAA00MywzMTI2NTY0MjAyAAVnSqzrR94IPDxPtutH3ggpQ0lRLkFETUNNLklRX0xBU1RTQUxFUFJJQ0UuMjIvMDEvMjAyNC5VU0QBAAAAxjWTEgIAAAANNDUsNDA5OTk2NzQ5OQAFZ0qs60feCJpjT7brR94IKUNJUS5BRE1DTS5JUV9MQVNUU0FMRVBSSUNFLjIzLzAxLzIwMjQuVVNEAQAAAMY1kxICAAAADTQ0LDEwMDExOTE4ODQABWdKrOtH</t>
  </si>
  <si>
    <t>3giaY0+260feCClDSVEuQURNQ00uSVFfTEFTVFNBTEVQUklDRS4xMi8wMS8yMDI0LlVTRAEAAADGNZMSAgAAAA00OSw2ODE5NDc3NzY3AAVnSqzrR94ImmNPtutH3ggpQ0lRLkFETUNNLklRX0xBU1RTQUxFUFJJQ0UuMjYvMDEvMjAyNC5VU0QBAAAAxjWTEgIAAAAONDQsMjc0MjI4NTgyNzUABWdKrOtH3giaY0+260feCChDSVEuQUxNQS5JUV9MQVNUU0FMRVBSSUNFLjE3LzAxLzIwMjQuVVNEAQAAAA1YCCgCAAAADTAsMDMzMjgzMDM4OTYABWdKrOtH3gj5ik+260feCChDSVEuQUxNQS5JUV9MQVNUU0FMRVBSSUNFLjE2LzAxLzIwMjQuVVNEAQAAAA1YCCgCAAAADTAsMDMzNDExMDQ0OTcABWdKrOtH3ghSsk+260feCChDSVEuQUxNQS5JUV9MQVNUU0FMRVBSSUNFLjE1LzAxLzIwMjQuVVNEAQAAAA1YCCgCAAAADjAsMDMzNDcyNDI5ODc1AAVnSqzrR94I+YpPtutH3ggoQ0lRLkFMTUEuSVFfTEFTVFNBTEVQUklDRS4xNC8wMS8yMDI0LlVTRAEAAAANWAgoAgAAAA4wLDAzMzYzNTMwMzU5NQAFZ0qs60feCFKyT7brR94IKENJUS5BTE1BLklRX0xBU1RTQUxFUFJJQ0UuMTkvMDEvMjAyNC5VU0QBAAAADVgIKAIAAAANMCwwMjk3MDkwNzM4OAAFZ0qs60feCFKyT7brR94IKENJUS5BTE1BLklRX0xBU1RTQUxFUFJJQ0UuMjAvMDEvMjAyNC5VU0QBAAAADVgIKAIAAAANMCwwMjk3MDkwNzM4OAAFZ0qs60feCPmK</t>
  </si>
  <si>
    <t>T7brR94IKENJUS5BTE1BLklRX0xBU1RTQUxFUFJJQ0UuMjEvMDEvMjAyNC5VU0QBAAAADVgIKAIAAAANMCwwMjk3MDkwNzM4OAAFZ0qs60feCFKyT7brR94IKENJUS5BTE1BLklRX0xBU1RTQUxFUFJJQ0UuMjIvMDEvMjAyNC5VU0QBAAAADVgIKAIAAAAOMCwwMzM0NTAwMzY3OTUABWdKrOtH3ghSsk+260feCChDSVEuQUxNQS5JUV9MQVNUU0FMRVBSSUNFLjExLzAxLzIwMjQuVVNEAQAAAA1YCCgCAAAADTAsMDMzNDgzMTM5MzgABWdKrOtH3gj5ik+260feCChDSVEuQUxNQS5JUV9MQVNUU0FMRVBSSUNFLjI1LzAxLzIwMjQuVVNEAQAAAA1YCCgCAAAADjAsMDMzMzMzMzMzMzQ1AAVnSqzrR94I+YpPtutH3ggnQ0lRLkhZUS5JUV9MQVNUU0FMRVBSSUNFLjE3LzAxLzIwMjQuVVNEAQAAAE4C/gECAAAADTE3NSw4NzY2NjkyMjQABWdKrOtH3gjl2U+260feCCdDSVEuSFlRLklRX0xBU1RTQUxFUFJJQ0UuMTYvMDEvMjAyNC5VU0QBAAAATgL+AQIAAAAOMTc1LDgxNjk5MzUwNjYABWdKrOtH3ghSsk+260feCCdDSVEuSFlRLklRX0xBU1RTQUxFUFJJQ0UuMTUvMDEvMjAyNC5VU0QBAAAATgL+AQIAAAANMTc0LDA5Mzk0NTA0OAAFZ0qs60feCOXZT7brR94IJ0NJUS5IWVEuSVFfTEFTVFNBTEVQUklDRS4xNC8wMS8yMDI0LlVTRAEAAABOAv4BAgAAAA4xNzgsOTg2NjE5ODA0OAAFZ0qs60feCOXZT7brR94IJ0NJ</t>
  </si>
  <si>
    <t>US5IWVEuSVFfTEFTVFNBTEVQUklDRS4xOS8wMS8yMDI0LlVTRAEAAABOAv4BAgAAAA4xODAsODY4NDI5NTczOAAFZ0qs60feCJ8AULbrR94IJ0NJUS5IWVEuSVFfTEFTVFNBTEVQUklDRS4yMC8wMS8yMDI0LlVTRAEAAABOAv4BAgAAAA4xODAsODY4NDI5NTczOAAFZ0qs60feCJ8AULbrR94IJ0NJUS5IWVEuSVFfTEFTVFNBTEVQUklDRS4yMS8wMS8yMDI0LlVTRAEAAABOAv4BAgAAAA4xODAsODY4NDI5NTczOAAFZ0qs60feCOXZT7brR94IJ0NJUS5IWVEuSVFfTEFTVFNBTEVQUklDRS4yMi8wMS8yMDI0LlVTRAEAAABOAv4BAgAAAA4xOTMsNTA5NzQ2MzQxOQAFZ0qs60feCOXZT7brR94IJ0NJUS5IWVEuSVFfTEFTVFNBTEVQUklDRS4xMS8wMS8yMDI0LlVTRAEAAABOAv4BAgAAAA4xNzMsNDE3OTk4NzIzMgAFZ0qs60feCOXZT7brR94IJ0NJUS5IWVEuSVFfTEFTVFNBTEVQUklDRS4yNS8wMS8yMDI0LlVTRAEAAABOAv4BAgAAAA4yMDIsNzc0NDY2MjEyNQAFZ0qs60feCJ8AULbrR94IKENJUS5TQU5ULklRX0xBU1RTQUxFUFJJQ0UuMTcvMDEvMjAyNC5VU0QBAAAAiIYMAwIAAAAFMCwwMjEABWdKrOtH3gifAFC260feCChDSVEuU0FOVC5JUV9MQVNUU0FMRVBSSUNFLjE2LzAxLzIwMjQuVVNEAQAAAIiGDAMCAAAABTAsMDIxAAVnSqzrR94InwBQtutH3ggoQ0lRLlNBTlQuSVFfTEFTVFNBTEVQUklDRS4x</t>
  </si>
  <si>
    <t>NS8wMS8yMDI0LlVTRAEAAACIhgwDAgAAAAUwLDAyMQAFZ0qs60feCJ8AULbrR94IKENJUS5TQU5ULklRX0xBU1RTQUxFUFJJQ0UuMTQvMDEvMjAyNC5VU0QBAAAAiIYMAwIAAAAFMCwwMjEABWdKrOtH3giuJ1C260feCChDSVEuU0FOVC5JUV9MQVNUU0FMRVBSSUNFLjE5LzAxLzIwMjQuVVNEAQAAAIiGDAMCAAAABTAsMDIxAAVnSqzrR94InwBQtutH3ggoQ0lRLlNBTlQuSVFfTEFTVFNBTEVQUklDRS4yMC8wMS8yMDI0LlVTRAEAAACIhgwDAgAAAAUwLDAyMQAFZ0qs60feCK4nULbrR94IKENJUS5TQU5ULklRX0xBU1RTQUxFUFJJQ0UuMjEvMDEvMjAyNC5VU0QBAAAAiIYMAwIAAAAFMCwwMjEABWdKrOtH3giuJ1C260feCChDSVEuU0FOVC5JUV9MQVNUU0FMRVBSSUNFLjIyLzAxLzIwMjQuVVNEAQAAAIiGDAMCAAAABTAsMDIxAAVnSqzrR94IridQtutH3ggoQ0lRLlNBTlQuSVFfTEFTVFNBTEVQUklDRS4xMS8wMS8yMDI0LlVTRAEAAACIhgwDAgAAAAUwLDAyMQAFZ0qs60feCK4nULbrR94IKENJUS5TQU5ULklRX0xBU1RTQUxFUFJJQ0UuMjUvMDEvMjAyNC5VU0QBAAAAiIYMAwIAAAAFMCwwMjEABWdKrOtH3giuJ1C260feCCdDSVEuQ0JLLklRX0xBU1RTQUxFUFJJQ0UuMTcvMDEvMjAyNC5VU0QBAAAA97cKAAMAAAAAAAVnSqzrR94Ivk5QtutH3ggnQ0lRLkNCSy5JUV9MQVNUU0FMRVBSSUNFLjE2LzAx</t>
  </si>
  <si>
    <t>LzIwMjQuVVNEAQAAAPe3CgADAAAAAAAFZ0qs60feCL5OULbrR94IJ0NJUS5DQksuSVFfTEFTVFNBTEVQUklDRS4xNS8wMS8yMDI0LlVTRAEAAAD3twoAAwAAAAAABWdKrOtH3gi+TlC260feCCdDSVEuQ0JLLklRX0xBU1RTQUxFUFJJQ0UuMTQvMDEvMjAyNC5VU0QBAAAA97cKAAMAAAAAAAVnSqzrR94Ivk5QtutH3ggnQ0lRLkNCSy5JUV9MQVNUU0FMRVBSSUNFLjE5LzAxLzIwMjQuVVNEAQAAAPe3CgADAAAAAAAFZ0qs60feCK4nULbrR94IJ0NJUS5DQksuSVFfTEFTVFNBTEVQUklDRS4yMC8wMS8yMDI0LlVTRAEAAAD3twoAAwAAAAAABWdKrOtH3gi+TlC260feCCdDSVEuQ0JLLklRX0xBU1RTQUxFUFJJQ0UuMjEvMDEvMjAyNC5VU0QBAAAA97cKAAMAAAAAAAVnSqzrR94Ivk5QtutH3ggnQ0lRLkNCSy5JUV9MQVNUU0FMRVBSSUNFLjIyLzAxLzIwMjQuVVNEAQAAAPe3CgADAAAAAAAFZ0qs60feCL5OULbrR94IJ0NJUS5DQksuSVFfTEFTVFNBTEVQUklDRS4xMS8wMS8yMDI0LlVTRAEAAAD3twoAAwAAAAAABWdKrOtH3giuJ1C260feCCdDSVEuQ0JLLklRX0xBU1RTQUxFUFJJQ0UuMjUvMDEvMjAyNC5VU0QBAAAA97cKAAMAAAAAAAVnSqzrR94IridQtutH3ggnQ0lRLkRBWS5JUV9MQVNUU0FMRVBSSUNFLjE3LzAxLzIwMjQuVVNEAQAAAOLrtA4CAAAABTY0LDk2AAVnSqzrR94Iz3VQtutH3ggnQ0lRLkRB</t>
  </si>
  <si>
    <t>WS5JUV9MQVNUU0FMRVBSSUNFLjE2LzAxLzIwMjQuVVNEAQAAAOLrtA4CAAAABTY1LDQ5AAVnSqzrR94Iz3VQtutH3ggnQ0lRLkRBWS5JUV9MQVNUU0FMRVBSSUNFLjE1LzAxLzIwMjQuVVNEAQAAAOLrtA4CAAAABTY1LDMxAAVnSqzrR94Ivk5QtutH3ggnQ0lRLkRBWS5JUV9MQVNUU0FMRVBSSUNFLjE0LzAxLzIwMjQuVVNEAQAAAOLrtA4CAAAABTY1LDMxAAVnSqzrR94I35xQtutH3ggnQ0lRLkRBWS5JUV9MQVNUU0FMRVBSSUNFLjE5LzAxLzIwMjQuVVNEAQAAAOLrtA4CAAAABTY2LDI2AAVnSqzrR94I35xQtutH3ggnQ0lRLkRBWS5JUV9MQVNUU0FMRVBSSUNFLjIwLzAxLzIwMjQuVVNEAQAAAOLrtA4CAAAABTY2LDI2AAVnSqzrR94I35xQtutH3ggnQ0lRLkRBWS5JUV9MQVNUU0FMRVBSSUNFLjIxLzAxLzIwMjQuVVNEAQAAAOLrtA4CAAAABTY2LDI2AAVnSqzrR94Iz3VQtutH3ggnQ0lRLkRBWS5JUV9MQVNUU0FMRVBSSUNFLjIyLzAxLzIwMjQuVVNEAQAAAOLrtA4CAAAABTY3LDgyAAVnSqzrR94Iz3VQtutH3ggnQ0lRLkRBWS5JUV9MQVNUU0FMRVBSSUNFLjExLzAxLzIwMjQuVVNEAQAAAOLrtA4CAAAABTY0LDg4AAVnSqzrR94Iz3VQtutH3ggnQ0lRLkRBWS5JUV9MQVNUU0FMRVBSSUNFLjI1LzAxLzIwMjQuVVNEAQAAAOLrtA4CAAAABDY4LDYABWdKrOtH3gjtw1C260feCCpDSVEuU0lNSU5OLklR</t>
  </si>
  <si>
    <t>X0xBU1RTQUxFUFJJQ0UuMTcvMDEvMjAyNC5VU0QBAAAAoINTAAIAAAAMMCwwNjk4NDM1ODA4AAVnSqzrR94I7cNQtutH3ggqQ0lRLlNJTUlOTi5JUV9MQVNUU0FMRVBSSUNFLjE2LzAxLzIwMjQuVVNEAQAAAKCDUwACAAAADDAsMDcwMzM1Mjc5NQAFZ0qs60feCO3DULbrR94IKkNJUS5TSU1JTk4uSVFfTEFTVFNBTEVQUklDRS4xNS8wMS8yMDI0LlVTRAEAAACgg1MAAgAAAAwwLDA3MDkyMTk4NjUABWdKrOtH3gjfnFC260feCCpDSVEuU0lNSU5OLklRX0xBU1RTQUxFUFJJQ0UuMTQvMDEvMjAyNC5VU0QBAAAAoINTAAIAAAALMCwwNzEwNzQ0OTcABWdKrOtH3gjtw1C260feCCpDSVEuU0lNSU5OLklRX0xBU1RTQUxFUFJJQ0UuMTkvMDEvMjAyNC5VU0QBAAAAoINTAAIAAAANMCwwNzEyODc1NjM3NQAFZ0qs60feCO3DULbrR94IKkNJUS5TSU1JTk4uSVFfTEFTVFNBTEVQUklDRS4yMC8wMS8yMDI0LlVTRAEAAACgg1MAAgAAAA0wLDA3MTI4NzU2Mzc1AAVnSqzrR94I7cNQtutH3ggqQ0lRLlNJTUlOTi5JUV9MQVNUU0FMRVBSSUNFLjIxLzAxLzIwMjQuVVNEAQAAAKCDUwACAAAADTAsMDcxMjg3NTYzNzUABWdKrOtH3gjtw1C260feCCpDSVEuU0lNSU5OLklRX0xBU1RTQUxFUFJJQ0UuMjIvMDEvMjAyNC5VU0QBAAAAoINTAAIAAAAKMCwwNzMyMzMyNQAFZ0qs60feCO3DULbrR94IKkNJUS5TSU1JTk4uSVFf</t>
  </si>
  <si>
    <t>TEFTVFNBTEVQUklDRS4xMS8wMS8yMDI0LlVTRAEAAACgg1MAAgAAAAwwLDA3MTczMTgxNTQABWdKrOtH3gjI91C260feCCpDSVEuU0lNSU5OLklRX0xBU1RTQUxFUFJJQ0UuMjUvMDEvMjAyNC5VU0QBAAAAoINTAAIAAAAMMCwwNzk0MzUxMjMyAAVnSqzrR94IyPdQtutH3ggnQ0lRLkFTWS5JUV9MQVNUU0FMRVBSSUNFLjE3LzAxLzIwMjQuVVNEAQAAAJhkDQACAAAADTcsOTE2MzAyNTE4NzUA5UBLrOtH3gh9pku260feCCdDSVEuQVNZLklRX0xBU1RTQUxFUFJJQ0UuMTYvMDEvMjAyNC5VU0QBAAAAmGQNAAIAAAAMNyw5MTgxMDc3NjI1AAVnSqzrR94IyPdQtutH3ggnQ0lRLkFTWS5JUV9MQVNUU0FMRVBSSUNFLjE1LzAxLzIwMjQuVVNEAQAAAJhkDQACAAAADTcsOTYwNjY3OTMxMjUABWdKrOtH3gjI91C260feCCdDSVEuQVNZLklRX0xBU1RTQUxFUFJJQ0UuMTQvMDEvMjAyNC5VU0QBAAAAmGQNAAIAAAANNyw5NzU5MDYzODEyNQAFZ0qs60feCMj3ULbrR94IJ0NJUS5BU1kuSVFfTEFTVFNBTEVQUklDRS4xMy8wMS8yMDI0LlVTRAEAAACYZA0AAgAAAA03LDk3NTkwNjM4MTI1AAVnSqzrR94IZCZRtutH3ggnQ0lRLkFTWS5JUV9MQVNUU0FMRVBSSUNFLjE4LzAxLzIwMjQuVVNEAQAAAJhkDQACAAAADTcsOTMwMTYzODA2MjUABWdKrOtH3ghkJlG260feCCdDSVEuQVNZLklRX0xBU1RTQUxFUFJJQ0UuMTkv</t>
  </si>
  <si>
    <t>MDEvMjAyNC5VU0QBAAAAmGQNAAIAAAAONyw4ODcyMzQ3MTQ4MjUABWdKrOtH3gjI91C260feCCdDSVEuQVNZLklRX0xBU1RTQUxFUFJJQ0UuMjAvMDEvMjAyNC5VU0QBAAAAmGQNAAIAAAAONyw4ODcyMzQ3MTQ4MjUA5UBLrOtH3ghkJlG260feCCdDSVEuQVNZLklRX0xBU1RTQUxFUFJJQ0UuMjEvMDEvMjAyNC5VU0QBAAAAmGQNAAIAAAAONyw4ODcyMzQ3MTQ4MjUA5UBLrOtH3ghkJlG260feCCdDSVEuQVNZLklRX0xBU1RTQUxFUFJJQ0UuMTAvMDEvMjAyNC5VU0QBAAAAmGQNAAIAAAAMOCwwMTYwODMwNjMxAAVnSqzrR94IyPdQtutH3ggnQ0lRLkFTWS5JUV9MQVNUU0FMRVBSSUNFLjI0LzAxLzIwMjQuVVNEAQAAAJhkDQACAAAADDgsMDMwMjg1NjUwOADlQEus60feCMj3ULbrR94IK0NJUS5BNDgxMDcwLklRX0xBU1RTQUxFUFJJQ0UuMTYvMDEvMjAyNC5VU0QBAAAAZI88bwMAAAAAAAVnSqzrR94IlVBRtutH3ggrQ0lRLkE0ODEwNzAuSVFfTEFTVFNBTEVQUklDRS4xNS8wMS8yMDI0LlVTRAEAAABkjzxvAwAAAAAABWdKrOtH3ghkJlG260feCCtDSVEuQTQ4MTA3MC5JUV9MQVNUU0FMRVBSSUNFLjE0LzAxLzIwMjQuVVNEAQAAAGSPPG8DAAAAAAAFZ0qs60feCJVQUbbrR94IK0NJUS5BNDgxMDcwLklRX0xBU1RTQUxFUFJJQ0UuMTMvMDEvMjAyNC5VU0QBAAAAZI88bwMAAAAAAAVnSqzrR94IlVBRtutH</t>
  </si>
  <si>
    <t>3ggrQ0lRLkE0ODEwNzAuSVFfTEFTVFNBTEVQUklDRS4xOC8wMS8yMDI0LlVTRAEAAABkjzxvAwAAAAAABWdKrOtH3giVUFG260feCCtDSVEuQTQ4MTA3MC5JUV9MQVNUU0FMRVBSSUNFLjE5LzAxLzIwMjQuVVNEAQAAAGSPPG8DAAAAAAAFZ0qs60feCJVQUbbrR94IK0NJUS5BNDgxMDcwLklRX0xBU1RTQUxFUFJJQ0UuMjAvMDEvMjAyNC5VU0QBAAAAZI88bwMAAAAAAAVnSqzrR94IlVBRtutH3ggrQ0lRLkE0ODEwNzAuSVFfTEFTVFNBTEVQUklDRS4yMS8wMS8yMDI0LlVTRAEAAABkjzxvAwAAAAAABWdKrOtH3ghkJlG260feCCtDSVEuQTQ4MTA3MC5JUV9MQVNUU0FMRVBSSUNFLjEwLzAxLzIwMjQuVVNEAQAAAGSPPG8DAAAAAAAFZ0qs60feCGQmUbbrR94IK0NJUS5BNDgxMDcwLklRX0xBU1RTQUxFUFJJQ0UuMjQvMDEvMjAyNC5VU0QBAAAAZI88bwMAAAAAAAVnSqzrR94IMXtRtutH3ggpQ0lRLkVNQkxBLklRX0xBU1RTQUxFUFJJQ0UuMTUvMDEvMjAyNC5VU0QBAAAA3wkQAAIAAAAMNCwxNzA2NzQ1ODc2AAVnSqzrR94IMXtRtutH3ggpQ0lRLkVNQkxBLklRX0xBU1RTQUxFUFJJQ0UuMTQvMDEvMjAyNC5VU0QBAAAA3wkQAAIAAAAMNCwxNzE1MjI0MjA4AAVnSqzrR94IlVBRtutH3ggpQ0lRLkVNQkxBLklRX0xBU1RTQUxFUFJJQ0UuMTMvMDEvMjAyNC5VU0QBAAAA3wkQAAIAAAAMNCwxNzE1MjI0MjA4</t>
  </si>
  <si>
    <t>AFuOSqzrR94IMXtRtutH3ggpQ0lRLkVNQkxBLklRX0xBU1RTQUxFUFJJQ0UuMTIvMDEvMjAyNC5VU0QBAAAA3wkQAAIAAAAMNCwxNzE1MjI0MjA4AFuOSqzrR94IMXtRtutH3ggpQ0lRLkVNQkxBLklRX0xBU1RTQUxFUFJJQ0UuMTcvMDEvMjAyNC5VU0QBAAAA3wkQAAIAAAAMNCwxNjE2NjQ2Nzg2AFuOSqzrR94IMXtRtutH3ggpQ0lRLkVNQkxBLklRX0xBU1RTQUxFUFJJQ0UuMTgvMDEvMjAyNC5VU0QBAAAA3wkQAAIAAAANNCwyMDUyOTQxNDA3NQBbjkqs60feCDF7UbbrR94IKUNJUS5FTUJMQS5JUV9MQVNUU0FMRVBSSUNFLjE5LzAxLzIwMjQuVVNEAQAAAN8JEAACAAAADDQsMjg0MjI3NDgzMgBbjkqs60feCDF7UbbrR94IKUNJUS5FTUJMQS5JUV9MQVNUU0FMRVBSSUNFLjIwLzAxLzIwMjQuVVNEAQAAAN8JEAACAAAADDQsMjg0MjI3NDgzMgBbjkqs60feCFymUbbrR94IKUNJUS5FTUJMQS5JUV9MQVNUU0FMRVBSSUNFLjA5LzAxLzIwMjQuVVNEAQAAAN8JEAACAAAADDQsMjM0MDcyNDE0NABbjkqs60feCFymUbbrR94IKUNJUS5FTUJMQS5JUV9MQVNUU0FMRVBSSUNFLjIzLzAxLzIwMjQuVVNEAQAAAN8JEAACAAAADjQsMzUwMDQ0NDgyODc1AFuOSqzrR94IXKZRtutH3ggnQ0lRLkZERS5JUV9MQVNUU0FMRVBSSUNFLjE1LzAxLzIwMjQuVVNEAQAAADD+2AECAAAADTU3LDgxMjMyODkyMTYAW45KrOtH</t>
  </si>
  <si>
    <t>3gghzlG260feCCdDSVEuRkRFLklRX0xBU1RTQUxFUFJJQ0UuMTQvMDEvMjAyNC5VU0QBAAAAMP7YAQIAAAAMNTcsMDMwMDUwNDI4AFuOSqzrR94IIc5RtutH3ggnQ0lRLkZERS5JUV9MQVNUU0FMRVBSSUNFLjEzLzAxLzIwMjQuVVNEAQAAADD+2AECAAAADDU3LDAzMDA1MDQyOABbjkqs60feCCHOUbbrR94IJ0NJUS5GREUuSVFfTEFTVFNBTEVQUklDRS4xMi8wMS8yMDI0LlVTRAEAAAAw/tgBAgAAAAw1NywwMzAwNTA0MjgAW45KrOtH3ghcplG260feCCdDSVEuRkRFLklRX0xBU1RTQUxFUFJJQ0UuMTcvMDEvMjAyNC5VU0QBAAAAMP7YAQIAAAANNTMsNzk0Mzc2Mjk2NgBbjkqs60feCCHOUbbrR94IJ0NJUS5GREUuSVFfTEFTVFNBTEVQUklDRS4xOC8wMS8yMDI0LlVTRAEAAAAw/tgBAgAAAA01Myw3ODA5NjQ3ODE1AFuOSqzrR94IXKZRtutH3ggnQ0lRLkZERS5JUV9MQVNUU0FMRVBSSUNFLjE5LzAxLzIwMjQuVVNEAQAAADD+2AECAAAADjUyLDA3MzEzMDg5NzE1AFuOSqzrR94IXKZRtutH3ggnQ0lRLkZERS5JUV9MQVNUU0FMRVBSSUNFLjIwLzAxLzIwMjQuVVNEAQAAADD+2AECAAAADjUyLDA3MzEzMDg5NzE1AFuOSqzrR94IXKZRtutH3ggnQ0lRLkZERS5JUV9MQVNUU0FMRVBSSUNFLjA5LzAxLzIwMjQuVVNEAQAAADD+2AECAAAADTU0LDc0MjEzMjg4NDMAW45KrOtH3ghcplG260feCCdDSVEuRkRF</t>
  </si>
  <si>
    <t>LklRX0xBU1RTQUxFUFJJQ0UuMjMvMDEvMjAyNC5VU0QBAAAAMP7YAQIAAAAMNTAsMzg0NjU3MDU4AFuOSqzrR94IXKZRtutH3ggpQ0lRLkVMSVNBLklRX0xBU1RTQUxFUFJJQ0UuMTUvMDEvMjAyNC5VU0QBAAAAk6UUAAIAAAAONDcsNDIxNDM4NzQyMzIAW45KrOtH3gh59VG260feCClDSVEuRUxJU0EuSVFfTEFTVFNBTEVQUklDRS4xNC8wMS8yMDI0LlVTRAEAAACTpRQAAgAAAA40NywzMjM5NzQ1Mzc4NQBbjkqs60feCCHOUbbrR94IKUNJUS5FTElTQS5JUV9MQVNUU0FMRVBSSUNFLjEzLzAxLzIwMjQuVVNEAQAAAJOlFAACAAAADjQ3LDMyMzk3NDUzNzg1AFuOSqzrR94IefVRtutH3ggpQ0lRLkVMSVNBLklRX0xBU1RTQUxFUFJJQ0UuMTIvMDEvMjAyNC5VU0QBAAAAk6UUAAIAAAAONDcsMzIzOTc0NTM3ODUAW45KrOtH3gjcH1K260feCClDSVEuRUxJU0EuSVFfTEFTVFNBTEVQUklDRS4xNy8wMS8yMDI0LlVTRAEAAACTpRQAAgAAAA40NywzMjM4NTE5MjI2OABbjkqs60feCHn1UbbrR94IKUNJUS5FTElTQS5JUV9MQVNUU0FMRVBSSUNFLjE4LzAxLzIwMjQuVVNEAQAAAJOlFAACAAAADjQ3LDQyNTAzMjU4MDA1AFuOSqzrR94IefVRtutH3ggpQ0lRLkVMSVNBLklRX0xBU1RTQUxFUFJJQ0UuMTkvMDEvMjAyNC5VU0QBAAAAk6UUAAIAAAAONDcsNTI0MjEzNzE1MzMAW45KrOtH3gghzlG260feCClDSVEu</t>
  </si>
  <si>
    <t>RUxJU0EuSVFfTEFTVFNBTEVQUklDRS4yMC8wMS8yMDI0LlVTRAEAAACTpRQAAgAAAA40Nyw1MjQyMTM3MTUzMwBbjkqs60feCHn1UbbrR94IKUNJUS5FTElTQS5JUV9MQVNUU0FMRVBSSUNFLjA5LzAxLzIwMjQuVVNEAQAAAJOlFAACAAAADjQ2LDUxNDQyMzA5MTUxAFuOSqzrR94IIc5RtutH3ggpQ0lRLkVMSVNBLklRX0xBU1RTQUxFUFJJQ0UuMjMvMDEvMjAyNC5VU0QBAAAAk6UUAAIAAAANNDcsMTg4MjExMDcyNgBbjkqs60feCNwfUrbrR94IJ0NJUS5FTEsuSVFfTEFTVFNBTEVQUklDRS4xNC8wMS8yMDI0LlVTRAEAAABwKQsAAgAAAA0yLDI5MTM2NTg4Njg4AFuOSqzrR94I3B9StutH3ggnQ0lRLkVMSy5JUV9MQVNUU0FMRVBSSUNFLjEzLzAxLzIwMjQuVVNEAQAAAHApCwACAAAADTIsMjkxMzY1ODg2ODgAW45KrOtH3ghASlK260feCCdDSVEuRUxLLklRX0xBU1RTQUxFUFJJQ0UuMTIvMDEvMjAyNC5VU0QBAAAAcCkLAAIAAAANMiwyOTEzNjU4ODY4OABbjkqs60feCNwfUrbrR94IJ0NJUS5FTEsuSVFfTEFTVFNBTEVQUklDRS4xMS8wMS8yMDI0LlVTRAEAAABwKQsAAgAAAA0yLDI3NzYxODMwMzA2AFuOSqzrR94I3B9StutH3ggnQ0lRLkVMSy5JUV9MQVNUU0FMRVBSSUNFLjE2LzAxLzIwMjQuVVNEAQAAAHApCwACAAAADTIsMjE4MTM3MjQ1MjYAW45KrOtH3gjcH1K260feCCdDSVEuRUxLLklRX0xB</t>
  </si>
  <si>
    <t>U1RTQUxFUFJJQ0UuMTcvMDEvMjAyNC5VU0QBAAAAcCkLAAIAAAANMiwwNzY5Mzk3ODkzNgBbjkqs60feCNwfUrbrR94IJ0NJUS5FTEsuSVFfTEFTVFNBTEVQUklDRS4xOC8wMS8yMDI0LlVTRAEAAABwKQsAAgAAAAsyLDA0MDkxNTIxOQBbjkqs60feCNwfUrbrR94IJ0NJUS5FTEsuSVFfTEFTVFNBTEVQUklDRS4xOS8wMS8yMDI0LlVTRAEAAABwKQsAAgAAAA0yLDAxNzU0MTc3MDE4AFuOSqzrR94IQEpStutH3ggnQ0lRLkVMSy5JUV9MQVNUU0FMRVBSSUNFLjA4LzAxLzIwMjQuVVNEAQAAAHApCwACAAAADTIsMTM2NDQ5MDI2NDQAW45KrOtH3ghASlK260feCCdDSVEuRUxLLklRX0xBU1RTQUxFUFJJQ0UuMjIvMDEvMjAyNC5VU0QBAAAAcCkLAAIAAAANMiwwNjM4MTA0MTU5NgBbjkqs60feCEBKUrbrR94IJ0NJUS5BVFQuSVFfTEFTVFNBTEVQUklDRS4xNC8wMS8yMDI0LlVTRAEAAAA9eA0AAgAAAA0zLDg0MTE5NjUxMzIxAFuOSqzrR94IanVStutH3ggnQ0lRLkFUVC5JUV9MQVNUU0FMRVBSSUNFLjEzLzAxLzIwMjQuVVNEAQAAAD14DQACAAAADTMsODQxMTk2NTEzMjEAW45KrOtH3ghASlK260feCCdDSVEuQVRULklRX0xBU1RTQUxFUFJJQ0UuMTIvMDEvMjAyNC5VU0QBAAAAPXgNAAIAAAANMyw4NDExOTY1MTMyMQBbjkqs60feCGp1UrbrR94IJ0NJUS5BVFQuSVFfTEFTVFNBTEVQUklDRS4xMS8wMS8y</t>
  </si>
  <si>
    <t>MDI0LlVTRAEAAAA9eA0AAgAAAA4zLDc3OTg4OTcxNTg3NQBbjkqs60feCGp1UrbrR94IJ0NJUS5BVFQuSVFfTEFTVFNBTEVQUklDRS4xNi8wMS8yMDI0LlVTRAEAAAA9eA0AAgAAAA0zLDg4OTM3NDUzMjk0AFuOSqzrR94IanVStutH3ggnQ0lRLkFUVC5JUV9MQVNUU0FMRVBSSUNFLjE3LzAxLzIwMjQuVVNEAQAAAD14DQACAAAADTMsODEyNDkxMjkzMDMAW45KrOtH3ghASlK260feCCdDSVEuQVRULklRX0xBU1RTQUxFUFJJQ0UuMTgvMDEvMjAyNC5VU0QBAAAAPXgNAAIAAAANMyw5NDYwNDk1MDk5OQBbjkqs60feCGp1UrbrR94IJ0NJUS5BVFQuSVFfTEFTVFNBTEVQUklDRS4xOS8wMS8yMDI0LlVTRAEAAAA9eA0AAgAAAA0zLDk1MzEyMDA0OTg0AFuOSqzrR94IanVStutH3ggnQ0lRLkFUVC5JUV9MQVNUU0FMRVBSSUNFLjA4LzAxLzIwMjQuVVNEAQAAAD14DQACAAAADjMsNzA1Njg4MDA3NTk1AFuOSqzrR94IQEpStutH3ggnQ0lRLkFUVC5JUV9MQVNUU0FMRVBSSUNFLjIyLzAxLzIwMjQuVVNEAQAAAD14DQACAAAADTQsMDU2NzE3NzQ2MDcAW45KrOtH3ghASlK260feCCdDSVEuTUVULklRX0xBU1RTQUxFUFJJQ0UuMTQvMDEvMjAyNC5VU0QBAAAAMNUCAAIAAAAFNjgsODMAW45KrOtH3ggvy1K260feCCdDSVEuTUVULklRX0xBU1RTQUxFUFJJQ0UuMTMvMDEvMjAyNC5VU0QBAAAAMNUCAAIAAAAFNjgs</t>
  </si>
  <si>
    <t>ODMAW45KrOtH3ggvy1K260feCCdDSVEuTUVULklRX0xBU1RTQUxFUFJJQ0UuMTIvMDEvMjAyNC5VU0QBAAAAMNUCAAIAAAAFNjgsODMAW45KrOtH3ghqdVK260feCCdDSVEuTUVULklRX0xBU1RTQUxFUFJJQ0UuMTEvMDEvMjAyNC5VU0QBAAAAMNUCAAIAAAAENjksMwBbjkqs60feCMCgUrbrR94IJ0NJUS5NRVQuSVFfTEFTVFNBTEVQUklDRS4xNi8wMS8yMDI0LlVTRAEAAAAw1QIAAgAAAAU2OCwyMgBbjkqs60feCC/LUrbrR94IJ0NJUS5NRVQuSVFfTEFTVFNBTEVQUklDRS4xNy8wMS8yMDI0LlVTRAEAAAAw1QIAAgAAAAU2Nyw0MQBbjkqs60feCC/LUrbrR94IJ0NJUS5NRVQuSVFfTEFTVFNBTEVQUklDRS4xOC8wMS8yMDI0LlVTRAEAAAAw1QIAAgAAAAU2Nyw3MgBbjkqs60feCMCgUrbrR94IJ0NJUS5NRVQuSVFfTEFTVFNBTEVQUklDRS4xOS8wMS8yMDI0LlVTRAEAAAAw1QIAAgAAAAU2OCw4OQBbjkqs60feCC/LUrbrR94IJ0NJUS5NRVQuSVFfTEFTVFNBTEVQUklDRS4wOC8wMS8yMDI0LlVTRAEAAAAw1QIAAgAAAAU2OSw1MgBbjkqs60feCMCgUrbrR94IJ0NJUS5NRVQuSVFfTEFTVFNBTEVQUklDRS4yMi8wMS8yMDI0LlVTRAEAAAAw1QIAAgAAAAQ2OSw1AFuOSqzrR94IaAVTtutH3ggoQ0lRLlROT00uSVFfTEFTVFNBTEVQUklDRS4xMC8wMS8yMDI0LlVTRAEAAACSEFIBAgAAAAw2LDc5NjAxMDA4</t>
  </si>
  <si>
    <t>NTgAW45KrOtH3ghoBVO260feCChDSVEuVE5PTS5JUV9MQVNUU0FMRVBSSUNFLjA5LzAxLzIwMjQuVVNEAQAAAJIQUgECAAAADTYsNzg1NDAyMTAwMDMAW45KrOtH3giEMFO260feCChDSVEuVE5PTS5JUV9MQVNUU0FMRVBSSUNFLjA4LzAxLzIwMjQuVVNEAQAAAJIQUgECAAAADTYsODkyMDEwNTM1OTYAW45KrOtH3giEMFO260feCChDSVEuVE5PTS5JUV9MQVNUU0FMRVBSSUNFLjA3LzAxLzIwMjQuVVNEAQAAAJIQUgECAAAADTYsODUzODIxNjkzNzUAW45KrOtH3giEMFO260feCChDSVEuVE5PTS5JUV9MQVNUU0FMRVBSSUNFLjEyLzAxLzIwMjQuVVNEAQAAAJIQUgECAAAADTYsODU0NTczMzY4NzUAW45KrOtH3giEMFO260feCChDSVEuVE5PTS5JUV9MQVNUU0FMRVBSSUNFLjEzLzAxLzIwMjQuVVNEAQAAAJIQUgECAAAADTYsODU0NTczMzY4NzUAW45KrOtH3ggvy1K260feCChDSVEuVE5PTS5JUV9MQVNUU0FMRVBSSUNFLjE0LzAxLzIwMjQuVVNEAQAAAJIQUgECAAAADTYsODU0NTczMzY4NzUAW45KrOtH3giEMFO260feCChDSVEuVE5PTS5JUV9MQVNUU0FMRVBSSUNFLjE1LzAxLzIwMjQuVVNEAQAAAJIQUgECAAAADDYsNjI0MzI5MzU1NgBbjkqs60feCM9bU7brR94IKENJUS5UTk9NLklRX0xBU1RTQUxFUFJJQ0UuMDQvMDEvMjAyNC5VU0QBAAAAkhBSAQIAAAANNiw4MDU0Nzk0NTIzMQBbjkqs60fe</t>
  </si>
  <si>
    <t>CM9bU7brR94IKENJUS5UTk9NLklRX0xBU1RTQUxFUFJJQ0UuMTgvMDEvMjAyNC5VU0QBAAAAkhBSAQIAAAANNiw0OTcxNzUxMzkyNgBbjkqs60feCM9bU7brR94IKENJUS5BUlBMLklRX0xBU1RTQUxFUFJJQ0UuMTAvMDEvMjAyNC5VU0QBAAAAWRfTAQIAAAAMMyw3MDI0OTg4Mjk4AFuOSqzrR94Iz1tTtutH3ggoQ0lRLkFSUEwuSVFfTEFTVFNBTEVQUklDRS4wOS8wMS8yMDI0LlVTRAEAAABZF9MBAgAAAAszLDcwNDcxNDczNABbjkqs60feCOeUU7brR94IKENJUS5BUlBMLklRX0xBU1RTQUxFUFJJQ0UuMDgvMDEvMjAyNC5VU0QBAAAAWRfTAQIAAAAMMyw2Nzk5MDMyMzkyAFuOSqzrR94I55RTtutH3ggoQ0lRLkFSUEwuSVFfTEFTVFNBTEVQUklDRS4wNy8wMS8yMDI0LlVTRAEAAABZF9MBAgAAAAwzLDU4ODExMjA5NzQAW45KrOtH3gjPW1O260feCChDSVEuQVJQTC5JUV9MQVNUU0FMRVBSSUNFLjEyLzAxLzIwMjQuVVNEAQAAAFkX0wECAAAADDQsMDg2MTUwNDcyOQBbjkqs60feCM9bU7brR94IKENJUS5BUlBMLklRX0xBU1RTQUxFUFJJQ0UuMTMvMDEvMjAyNC5VU0QBAAAAWRfTAQIAAAAMNCwwODYxNTA0NzI5AFuOSqzrR94I55RTtutH3ggoQ0lRLkFSUEwuSVFfTEFTVFNBTEVQUklDRS4xNC8wMS8yMDI0LlVTRAEAAABZF9MBAgAAAAw0LDA4NjE1MDQ3MjkAW45KrOtH3gjnlFO260feCChDSVEuQVJQ</t>
  </si>
  <si>
    <t>TC5JUV9MQVNUU0FMRVBSSUNFLjE1LzAxLzIwMjQuVVNEAQAAAFkX0wECAAAADDMsOTk2Mjc1MzI4OABbjkqs60feCOeUU7brR94IKENJUS5BUlBMLklRX0xBU1RTQUxFUFJJQ0UuMDQvMDEvMjAyNC5VU0QBAAAAWRfTAQIAAAAKMyw1NzYxMTc0MwBbjkqs60feCM9bU7brR94IKENJUS5BUlBMLklRX0xBU1RTQUxFUFJJQ0UuMTgvMDEvMjAyNC5VU0QBAAAAWRfTAQIAAAALMyw5MTM0MjczNjgAW45KrOtH3gjnlFO260feCChDSVEuUFVJRy5JUV9MQVNUU0FMRVBSSUNFLjEwLzAxLzIwMjQuVVNEAQAAAEc2bgADAAAAAABbjkqs60feCDnqU7brR94IKENJUS5QVUlHLklRX0xBU1RTQUxFUFJJQ0UuMDkvMDEvMjAyNC5VU0QBAAAARzZuAAMAAAAAAFuOSqzrR94IOepTtutH3ggoQ0lRLlBVSUcuSVFfTEFTVFNBTEVQUklDRS4wOC8wMS8yMDI0LlVTRAEAAABHNm4AAwAAAAAAW45KrOtH3gjnlFO260feCChDSVEuUFVJRy5JUV9MQVNUU0FMRVBSSUNFLjA3LzAxLzIwMjQuVVNEAQAAAEc2bgADAAAAAABbjkqs60feCAHAU7brR94IKENJUS5QVUlHLklRX0xBU1RTQUxFUFJJQ0UuMTIvMDEvMjAyNC5VU0QBAAAARzZuAAMAAAAAAFuOSqzrR94IAcBTtutH3ggoQ0lRLlBVSUcuSVFfTEFTVFNBTEVQUklDRS4xMy8wMS8yMDI0LlVTRAEAAABHNm4AAwAAAAAAW45KrOtH3gg56lO260feCChDSVEuUFVJRy5JUV9MQVNU</t>
  </si>
  <si>
    <t>U0FMRVBSSUNFLjE0LzAxLzIwMjQuVVNEAQAAAEc2bgADAAAAAABbjkqs60feCAHAU7brR94IKENJUS5QVUlHLklRX0xBU1RTQUxFUFJJQ0UuMTUvMDEvMjAyNC5VU0QBAAAARzZuAAMAAAAAAFuOSqzrR94IOepTtutH3ggoQ0lRLlBVSUcuSVFfTEFTVFNBTEVQUklDRS4wNC8wMS8yMDI0LlVTRAEAAABHNm4AAwAAAAAAW45KrOtH3gjcE1S260feCChDSVEuUFVJRy5JUV9MQVNUU0FMRVBSSUNFLjE4LzAxLzIwMjQuVVNEAQAAAEc2bgADAAAAAABbjkqs60feCNwTVLbrR94IJkNJUS5BUS5JUV9MQVNUU0FMRVBSSUNFLjEwLzAxLzIwMjQuVVNEAQAAALMujwACAAAADDksNjMyMzU4NDMzMgBbjkqs60feCNwTVLbrR94IJkNJUS5BUS5JUV9MQVNUU0FMRVBSSUNFLjA5LzAxLzIwMjQuVVNEAQAAALMujwACAAAADDksNjIyNTA5MDU5MQBbjkqs60feCIxBVLbrR94IJkNJUS5BUS5JUV9MQVNUU0FMRVBSSUNFLjA4LzAxLzIwMjQuVVNEAQAAALMujwACAAAADDksNTcxNjYzMjEyNgBbjkqs60feCNwTVLbrR94IJkNJUS5BUS5JUV9MQVNUU0FMRVBSSUNFLjA3LzAxLzIwMjQuVVNEAQAAALMujwACAAAACzksMzg1Nzk3MzEyAFuOSqzrR94IjEFUtutH3ggmQ0lRLkFRLklRX0xBU1RTQUxFUFJJQ0UuMTIvMDEvMjAyNC5VU0QBAAAAsy6PAAIAAAANMTAsMjIwMjUyMjU2OABbjkqs60feCIxBVLbrR94IJkNJUS5BUS5J</t>
  </si>
  <si>
    <t>UV9MQVNUU0FMRVBSSUNFLjEzLzAxLzIwMjQuVVNEAQAAALMujwACAAAADTEwLDIyMDI1MjI1NjgAW45KrOtH3giMQVS260feCCZDSVEuQVEuSVFfTEFTVFNBTEVQUklDRS4xNC8wMS8yMDI0LlVTRAEAAACzLo8AAgAAAA0xMCwyMjAyNTIyNTY4AFuOSqzrR94I3BNUtutH3ggmQ0lRLkFRLklRX0xBU1RTQUxFUFJJQ0UuMTUvMDEvMjAyNC5VU0QBAAAAsy6PAAIAAAAMOSw1ODMzMDEwMzEyAFuOSqzrR94IjEFUtutH3ggmQ0lRLkFRLklRX0xBU1RTQUxFUFJJQ0UuMDQvMDEvMjAyNC5VU0QBAAAAsy6PAAIAAAALOSw1NjI0NDAwMzIAW45KrOtH3giybFS260feCCZDSVEuQVEuSVFfTEFTVFNBTEVQUklDRS4xOC8wMS8yMDI0LlVTRAEAAACzLo8AAgAAAAw5LDg1MDM4MzAzMzYAW45KrOtH3giybFS260feCCdDSVEuUE5OLklRX0xBU1RTQUxFUFJJQ0UuMDkvMDEvMjAyNC5VU0QBAAAALmINAAIAAAAOOSw1MjQzNTQxMzcyMDUAW45KrOtH3gixl1S260feCCdDSVEuUE5OLklRX0xBU1RTQUxFUFJJQ0UuMDgvMDEvMjAyNC5VU0QBAAAALmINAAIAAAANOSw0MjY4NjIwOTE2MQBbjkqs60feCLGXVLbrR94IJ0NJUS5QTk4uSVFfTEFTVFNBTEVQUklDRS4wNy8wMS8yMDI0LlVTRAEAAAAuYg0AAgAAAA05LDQ4MzQ3MjM4ODEyAFuOSqzrR94IsmxUtutH3ggnQ0lRLlBOTi5JUV9MQVNUU0FMRVBSSUNFLjA2LzAxLzIw</t>
  </si>
  <si>
    <t>MjQuVVNEAQAAAC5iDQACAAAADTksNDgzNDcyMzg4MTIAW45KrOtH3gixl1S260feCCdDSVEuUE5OLklRX0xBU1RTQUxFUFJJQ0UuMTEvMDEvMjAyNC5VU0QBAAAALmINAAIAAAAMOSwyNDk2MTI0ODEyAFuOSqzrR94IsmxUtutH3ggnQ0lRLlBOTi5JUV9MQVNUU0FMRVBSSUNFLjEyLzAxLzIwMjQuVVNEAQAAAC5iDQACAAAADjksNTAwODk5NjgxMzQ1AFuOSqzrR94IsmxUtutH3ggnQ0lRLlBOTi5JUV9MQVNUU0FMRVBSSUNFLjEzLzAxLzIwMjQuVVNEAQAAAC5iDQACAAAADjksNTAwODk5NjgxMzQ1AFuOSqzrR94IsmxUtutH3ggnQ0lRLlBOTi5JUV9MQVNUU0FMRVBSSUNFLjE0LzAxLzIwMjQuVVNEAQAAAC5iDQACAAAADjksNTAwODk5NjgxMzQ1AFuOSqzrR94IsZdUtutH3ggnQ0lRLlBOTi5JUV9MQVNUU0FMRVBSSUNFLjAzLzAxLzIwMjQuVVNEAQAAAC5iDQACAAAADDksMzU3MjU3NTY4NABbjkqs60feCLGXVLbrR94IJ0NJUS5QTk4uSVFfTEFTVFNBTEVQUklDRS4xNy8wMS8yMDI0LlVTRAEAAAAuYg0AAgAAAA44LDg4NTI1Nzk0NzA0NQBbjkqs60feCLGXVLbrR94IKENJUS5UUEZHLklRX0xBU1RTQUxFUFJJQ0UuMDkvMDEvMjAyNC5VU0QBAAAA3fASDwIAAAANNCwzNzE0MTgwNDI5NgBbjkqs60feCLGXVLbrR94IKENJUS5UUEZHLklRX0xBU1RTQUxFUFJJQ0UuMDgvMDEvMjAyNC5VU0QBAAAA3fAS</t>
  </si>
  <si>
    <t>DwIAAAAMNCw0NjQ2ODQzNDY1AFuOSqzrR94IV8JUtutH3ggoQ0lRLlRQRkcuSVFfTEFTVFNBTEVQUklDRS4wNy8wMS8yMDI0LlVTRAEAAADd8BIPAgAAAAw0LDM5NDYyNDU0NTIAW45KrOtH3ghXwlS260feCChDSVEuVFBGRy5JUV9MQVNUU0FMRVBSSUNFLjA2LzAxLzIwMjQuVVNEAQAAAN3wEg8CAAAADDQsMzk0NjI0NTQ1MgBbjkqs60feCFfCVLbrR94IKENJUS5UUEZHLklRX0xBU1RTQUxFUFJJQ0UuMTEvMDEvMjAyNC5VU0QBAAAA3fASDwIAAAAMMyw5Mzg3MDg2MTE1AFuOSqzrR94IV8JUtutH3ggoQ0lRLlRQRkcuSVFfTEFTVFNBTEVQUklDRS4xMi8wMS8yMDI0LlVTRAEAAADd8BIPAgAAAA4zLDkyNDE0NTkzOTU3NQBbjkqs60feCKLsVLbrR94IKENJUS5UUEZHLklRX0xBU1RTQUxFUFJJQ0UuMTMvMDEvMjAyNC5VU0QBAAAA3fASDwIAAAAOMyw5MjQxNDU5Mzk1NzUAW45KrOtH3ghXwlS260feCChDSVEuVFBGRy5JUV9MQVNUU0FMRVBSSUNFLjE0LzAxLzIwMjQuVVNEAQAAAN3wEg8CAAAADjMsOTI0MTQ1OTM5NTc1AFuOSqzrR94IouxUtutH3ggoQ0lRLlRQRkcuSVFfTEFTVFNBTEVQUklDRS4wMy8wMS8yMDI0LlVTRAEAAADd8BIPAgAAAAw0LDM2MjUwNTIxNzcAW45KrOtH3gii7FS260feCChDSVEuVFBGRy5JUV9MQVNUU0FMRVBSSUNFLjE3LzAxLzIwMjQuVVNEAQAAAN3wEg8CAAAADTMsOTg5</t>
  </si>
  <si>
    <t>ODE2NDY5NDUAW45KrOtH3gii7FS260feCChDSVEuT1hJRy5JUV9MQVNUU0FMRVBSSUNFLjA5LzAxLzIwMjQuVVNEAQAAAJ59CgACAAAADjI4LDkwOTgxNDA5MjI1AFuOSqzrR94IouxUtutH3ggoQ0lRLk9YSUcuSVFfTEFTVFNBTEVQUklDRS4wOC8wMS8yMDI0LlVTRAEAAACefQoAAgAAAA0yOCwzMTg4NTQ5OTc4AFuOSqzrR94IghhVtutH3ggoQ0lRLk9YSUcuSVFfTEFTVFNBTEVQUklDRS4wNy8wMS8yMDI0LlVTRAEAAACefQoAAgAAAAwyOCwwMjM2OTI3NTIAW45KrOtH3gii7FS260feCChDSVEuT1hJRy5JUV9MQVNUU0FMRVBSSUNFLjA2LzAxLzIwMjQuVVNEAQAAAJ59CgACAAAADDI4LDAyMzY5Mjc1MgBbjkqs60feCIIYVbbrR94IKENJUS5PWElHLklRX0xBU1RTQUxFUFJJQ0UuMTEvMDEvMjAyNC5VU0QBAAAAnn0KAAIAAAAMMjcsNDQzOTA1MTY0AFuOSqzrR94IghhVtutH3ggoQ0lRLk9YSUcuSVFfTEFTVFNBTEVQUklDRS4xMi8wMS8yMDI0LlVTRAEAAACefQoAAgAAAA4yNyw3NTYxNTQyMDY3NQBbjkqs60feCIIYVbbrR94IKENJUS5PWElHLklRX0xBU1RTQUxFUFJJQ0UuMTMvMDEvMjAyNC5VU0QBAAAAnn0KAAIAAAAOMjcsNzU2MTU0MjA2NzUAW45KrOtH3giCGFW260feCChDSVEuT1hJRy5JUV9MQVNUU0FMRVBSSUNFLjE0LzAxLzIwMjQuVVNEAQAAAJ59CgACAAAADjI3LDc1NjE1NDIwNjc1</t>
  </si>
  <si>
    <t>AFuOSqzrR94IBEBVtutH3ggoQ0lRLk9YSUcuSVFfTEFTVFNBTEVQUklDRS4wMy8wMS8yMDI0LlVTRAEAAACefQoAAgAAAA0yNyw2OTI0MjQ0MjU0AFuOSqzrR94IBEBVtutH3ggoQ0lRLk9YSUcuSVFfTEFTVFNBTEVQUklDRS4xNy8wMS8yMDI0LlVTRAEAAACefQoAAgAAAA4yNywyOTU0MTEwODQ2NQBbjkqs60feCARAVbbrR94IKENJUS5WUlNLLklRX0xBU1RTQUxFUFJJQ0UuMDkvMDEvMjAyNC5VU0QBAAAA76sPAAIAAAAGMjM0LDcyAFuOSqzrR94IBEBVtutH3ggoQ0lRLlZSU0suSVFfTEFTVFNBTEVQUklDRS4wOC8wMS8yMDI0LlVTRAEAAADvqw8AAgAAAAYyMzIsNzEAW45KrOtH3gj5alW260feCChDSVEuVlJTSy5JUV9MQVNUU0FMRVBSSUNFLjA3LzAxLzIwMjQuVVNEAQAAAO+rDwACAAAABTIzMyw3AFuOSqzrR94I+WpVtutH3ggoQ0lRLlZSU0suSVFfTEFTVFNBTEVQUklDRS4wNi8wMS8yMDI0LlVTRAEAAADvqw8AAgAAAAUyMzMsNwBbjkqs60feCARAVbbrR94IKENJUS5WUlNLLklRX0xBU1RTQUxFUFJJQ0UuMTEvMDEvMjAyNC5VU0QBAAAA76sPAAIAAAAGMjM0LDIxAFuOSqzrR94I+WpVtutH3ggoQ0lRLlZSU0suSVFfTEFTVFNBTEVQUklDRS4xMi8wMS8yMDI0LlVTRAEAAADvqw8AAgAAAAYyMzYsNzcAW45KrOtH3gj5alW260feCChDSVEuVlJTSy5JUV9MQVNUU0FMRVBSSUNFLjEzLzAxLzIw</t>
  </si>
  <si>
    <t>MjQuVVNEAQAAAO+rDwACAAAABjIzNiw3NwBbjkqs60feCPlqVbbrR94IKENJUS5WUlNLLklRX0xBU1RTQUxFUFJJQ0UuMTQvMDEvMjAyNC5VU0QBAAAA76sPAAIAAAAGMjM2LDc3AFuOSqzrR94I+WpVtutH3ggoQ0lRLlZSU0suSVFfTEFTVFNBTEVQUklDRS4wMy8wMS8yMDI0LlVTRAEAAADvqw8AAgAAAAUyMzYsNwBbjkqs60feCARAVbbrR94IKENJUS5WUlNLLklRX0xBU1RTQUxFUFJJQ0UuMTcvMDEvMjAyNC5VU0QBAAAA76sPAAIAAAAGMjM2LDY3AFuOSqzrR94IBEBVtutH3ggoQ0lRLkVMSVMuSVFfTEFTVFNBTEVQUklDRS4wOS8wMS8yMDI0LlVTRAEAAABVbQAAAgAAAA4yMCwzMTI1MDAwMDYzNwBbjkqs60feCPlqVbbrR94IKENJUS5FTElTLklRX0xBU1RTQUxFUFJJQ0UuMDgvMDEvMjAyNC5VU0QBAAAAVW0AAAIAAAAOMjAsNTc3MjYwNzU2MjUAW45KrOtH3ggtlVW260feCChDSVEuRUxJUy5JUV9MQVNUU0FMRVBSSUNFLjA3LzAxLzIwMjQuVVNEAQAAAFVtAAACAAAADjIwLDM2NDA3NTAxNjQ3AFuOSqzrR94ILZVVtutH3ggoQ0lRLkVMSVMuSVFfTEFTVFNBTEVQUklDRS4wNi8wMS8yMDI0LlVTRAEAAABVbQAAAgAAAA4yMCwzNjQwNzUwMTY0NwBbjkqs60feCC2VVbbrR94IKENJUS5FTElTLklRX0xBU1RTQUxFUFJJQ0UuMTEvMDEvMjAyNC5VU0QBAAAAVW0AAAIAAAAOMjAsNzEzODE2NTE0MTYA</t>
  </si>
  <si>
    <t>W45KrOtH3ggtlVW260feCChDSVEuRUxJUy5JUV9MQVNUU0FMRVBSSUNFLjEyLzAxLzIwMjQuVVNEAQAAAFVtAAACAAAADjIxLDM5NzIzNjIyNzg5AFuOSqzrR94Ikr9VtutH3ggoQ0lRLkVMSVMuSVFfTEFTVFNBTEVQUklDRS4xMy8wMS8yMDI0LlVTRAEAAABVbQAAAgAAAA4yMSwzOTcyMzYyMjc4OQBbjkqs60feCJK/VbbrR94IKENJUS5FTElTLklRX0xBU1RTQUxFUFJJQ0UuMTQvMDEvMjAyNC5VU0QBAAAAVW0AAAIAAAAOMjEsMzk3MjM2MjI3ODkAW45KrOtH3ggtlVW260feCChDSVEuRUxJUy5JUV9MQVNUU0FMRVBSSUNFLjAzLzAxLzIwMjQuVVNEAQAAAFVtAAACAAAADjE5LDg5NzQwMjMxOTU4AFuOSqzrR94ILZVVtutH3ggoQ0lRLkVMSVMuSVFfTEFTVFNBTEVQUklDRS4xNy8wMS8yMDI0LlVTRAEAAABVbQAAAgAAAA4yMSwwNDAwNjA3OTk3NgBbjkqs60feCJK/VbbrR94IKENJUS5DSE1GLklRX0xBU1RTQUxFUFJJQ0UuMDkvMDEvMjAyNC5VU0QBAAAARUlyAAIAAAALOSwxODI5ODkxNTIAW45KrOtH3giSv1W260feCChDSVEuQ0hNRi5JUV9MQVNUU0FMRVBSSUNFLjA4LzAxLzIwMjQuVVNEAQAAAEVJcgACAAAADDksMDM2MDU1NDc3MgBbjkqs60feCJK/VbbrR94IKENJUS5DSE1GLklRX0xBU1RTQUxFUFJJQ0UuMDcvMDEvMjAyNC5VU0QBAAAARUlyAAIAAAAMOSwwMzM1MDA5MjMyAFuOSqzrR94I</t>
  </si>
  <si>
    <t>kr9VtutH3ggoQ0lRLkNITUYuSVFfTEFTVFNBTEVQUklDRS4wNi8wMS8yMDI0LlVTRAEAAABFSXIAAgAAAAw5LDAzMzUwMDkyMzIAW45KrOtH3ggg71W260feCChDSVEuQ0hNRi5JUV9MQVNUU0FMRVBSSUNFLjExLzAxLzIwMjQuVVNEAQAAAEVJcgACAAAADDksMjY1NjUxNTYyNABbjkqs60feCCDvVbbrR94IKENJUS5DSE1GLklRX0xBU1RTQUxFUFJJQ0UuMTIvMDEvMjAyNC5VU0QBAAAARUlyAAIAAAAMOSwyOTA2NDY3NjQ0AFuOSqzrR94Ikr9VtutH3ggoQ0lRLkNITUYuSVFfTEFTVFNBTEVQUklDRS4xMy8wMS8yMDI0LlVTRAEAAABFSXIAAgAAAAw5LDI5MDY0Njc2NDQAW45KrOtH3ggg71W260feCChDSVEuQ0hNRi5JUV9MQVNUU0FMRVBSSUNFLjE0LzAxLzIwMjQuVVNEAQAAAEVJcgACAAAADDksMjkwNjQ2NzY0NABbjkqs60feCCDvVbbrR94IKENJUS5DSE1GLklRX0xBU1RTQUxFUFJJQ0UuMDMvMDEvMjAyNC5VU0QBAAAARUlyAAIAAAALOCw5NzEyMTU4MDQAW45KrOtH3ggg71W260feCChDSVEuQ0hNRi5JUV9MQVNUU0FMRVBSSUNFLjE3LzAxLzIwMjQuVVNEAQAAAEVJcgACAAAADDksMjY4MjY1MjU3MgBbjkqs60feCCDvVbbrR94IKENJUS5TQUFTLklRX0xBU1RTQUxFUFJJQ0UuMDgvMDEvMjAyNC5VU0QBAAAAwZN8AAIAAAANMSwzMTM4OTI4MjE5NwBbjkqs60feCM0WVrbrR94IKENJUS5TQUFT</t>
  </si>
  <si>
    <t>LklRX0xBU1RTQUxFUFJJQ0UuMDcvMDEvMjAyNC5VU0QBAAAAwZN8AAIAAAAMMSwzMDU2NDkzMjE0AFuOSqzrR94IIO9VtutH3ggoQ0lRLlNBQVMuSVFfTEFTVFNBTEVQUklDRS4wNi8wMS8yMDI0LlVTRAEAAADBk3wAAgAAAAwxLDMwNTY0OTMyMTQAW45KrOtH3gjNFla260feCChDSVEuU0FBUy5JUV9MQVNUU0FMRVBSSUNFLjA1LzAxLzIwMjQuVVNEAQAAAMGTfAACAAAADDEsMzA1NjQ5MzIxNABbjkqs60feCM0WVrbrR94IKENJUS5TQUFTLklRX0xBU1RTQUxFUFJJQ0UuMTAvMDEvMjAyNC5VU0QBAAAAwZN8AAIAAAAOMSwzMDQyMDM5OTA0MjUAW45KrOtH3gjNFla260feCChDSVEuU0FBUy5JUV9MQVNUU0FMRVBSSUNFLjExLzAxLzIwMjQuVVNEAQAAAMGTfAACAAAADjEsMzAyMzE0OTQ0MTI1AFuOSqzrR94IzRZWtutH3ggoQ0lRLlNBQVMuSVFfTEFTVFNBTEVQUklDRS4xMi8wMS8yMDI0LlVTRAEAAADBk3wAAgAAAA4xLDMwODA0ODY0NjUyNQBbjkqs60feCM0WVrbrR94IKENJUS5TQUFTLklRX0xBU1RTQUxFUFJJQ0UuMTMvMDEvMjAyNC5VU0QBAAAAwZN8AAIAAAAOMSwzMDgwNDg2NDY1MjUAW45KrOtH3gjNFla260feCChDSVEuU0FBUy5JUV9MQVNUU0FMRVBSSUNFLjAyLzAxLzIwMjQuVVNEAQAAAMGTfAACAAAADTEsMzUwODA1NDMzOTUAW45KrOtH3ggg71W260feCChDSVEuU0FBUy5JUV9MQVNU</t>
  </si>
  <si>
    <t>U0FMRVBSSUNFLjE2LzAxLzIwMjQuVVNEAQAAAMGTfAACAAAADTEsMjk4NTY5NjczMDUAW45KrOtH3ggg71W260feCCdDSVEuRDZILklRX0xBU1RTQUxFUFJJQ0UuMDgvMDEvMjAyNC5VU0QBAAAANPC4AQIAAAAMNTksMjYyNTEwOTc4AFuOSqzrR94IzRZWtutH3ggnQ0lRLkQ2SC5JUV9MQVNUU0FMRVBSSUNFLjA3LzAxLzIwMjQuVVNEAQAAADTwuAECAAAADTU4LDc3ODM3NDg0NTYAW45KrOtH3ggMPla260feCCdDSVEuRDZILklRX0xBU1RTQUxFUFJJQ0UuMDYvMDEvMjAyNC5VU0QBAAAANPC4AQIAAAANNTgsNzc4Mzc0ODQ1NgBbjkqs60feCAw+VrbrR94IKENJUS5BQ0FELklRX0xBU1RTQUxFUFJJQ0UuMDcvMDIvMjAyNC5VU0QBAAAAwW4KAAIAAAAFMjUsMjEAW45KrOtH3ghG7zu260feCChDSVEuQUNBRC5JUV9MQVNUU0FMRVBSSUNFLjA2LzAyLzIwMjQuVVNEAQAAAMFuCgACAAAABTI1LDc0AFuOSqzrR94IA8Q7tutH3ggoQ0lRLkFDQUQuSVFfTEFTVFNBTEVQUklDRS4wNS8wMi8yMDI0LlVTRAEAAADBbgoAAgAAAAQyNSwxAFuOSqzrR94IRu87tutH3ggnQ0lRLkQ2SC5JUV9MQVNUU0FMRVBSSUNFLjA1LzAxLzIwMjQuVVNEAQAAADTwuAECAAAADTU4LDc3ODM3NDg0NTYAW45KrOtH3gj5aVa260feCChDSVEuQUNBRC5JUV9MQVNUU0FMRVBSSUNFLjA0LzAyLzIwMjQuVVNEAQAAAMFuCgACAAAABTI1</t>
  </si>
  <si>
    <t>LDI5AFuOSqzrR94I/Rk8tutH3ggnQ0lRLkQ2SC5JUV9MQVNUU0FMRVBSSUNFLjEwLzAxLzIwMjQuVVNEAQAAADTwuAECAAAADTU5LDg0ODczMzk4MTQAW45KrOtH3ggMPla260feCChDSVEuQUNBRC5JUV9MQVNUU0FMRVBSSUNFLjA5LzAyLzIwMjQuVVNEAQAAAMFuCgACAAAABTI2LDM2AFuOSqzrR94I/Rk8tutH3ggnQ0lRLkQ2SC5JUV9MQVNUU0FMRVBSSUNFLjExLzAxLzIwMjQuVVNEAQAAADTwuAECAAAADDU5LDExOTc3MjI5MgBbjkqs60feCAw+VrbrR94IKENJUS5BQ0FELklRX0xBU1RTQUxFUFJJQ0UuMTAvMDIvMjAyNC5VU0QBAAAAwW4KAAIAAAAFMjYsMzYAW45KrOtH3gj9GTy260feCCdDSVEuRDZILklRX0xBU1RTQUxFUFJJQ0UuMTIvMDEvMjAyNC5VU0QBAAAANPC4AQIAAAANNTksNTUyNTMzNDI3NwBbjkqs60feCPlpVrbrR94IKENJUS5BQ0FELklRX0xBU1RTQUxFUFJJQ0UuMTEvMDIvMjAyNC5VU0QBAAAAwW4KAAIAAAAFMjYsMzYAW45KrOtH3ghG7zu260feCCdDSVEuRDZILklRX0xBU1RTQUxFUFJJQ0UuMTMvMDEvMjAyNC5VU0QBAAAANPC4AQIAAAANNTksNTUyNTMzNDI3NwBbjkqs60feCAw+VrbrR94IKENJUS5BQ0FELklRX0xBU1RTQUxFUFJJQ0UuMTIvMDIvMjAyNC5VU0QBAAAAwW4KAAIAAAAFMjYsNzYAW45KrOtH3ghG7zu260feCCdDSVEuRDZILklRX0xBU1RTQUxFUFJJQ0Uu</t>
  </si>
  <si>
    <t>MDIvMDEvMjAyNC5VU0QBAAAANPC4AQIAAAANNjAsNjA5MzgxODY2NgBbjkqs60feCPlpVrbrR94IKENJUS5BQ0FELklRX0xBU1RTQUxFUFJJQ0UuMDEvMDIvMjAyNC5VU0QBAAAAwW4KAAIAAAAFMjYsMTQAW45KrOtH3ghG7zu260feCCdDSVEuRDZILklRX0xBU1RTQUxFUFJJQ0UuMTYvMDEvMjAyNC5VU0QBAAAANPC4AQIAAAANNTcsNDA3NDA3NDIxMwBbjkqs60feCPlpVrbrR94IKENJUS5BQ0FELklRX0xBU1RTQUxFUFJJQ0UuMTUvMDIvMjAyNC5VU0QBAAAAwW4KAAIAAAAFMjUsMTgAW45KrOtH3gj9GTy260feCChDSVEuRVRURS5JUV9MQVNUU0FMRVBSSUNFLjA3LzAxLzIwMjQuVVNEAQAAAIPFdAACAAAADTE0LDkxMzkxNjAwNTYAW45KrOtH3gj5aVa260feCChDSVEuRVRURS5JUV9MQVNUU0FMRVBSSUNFLjA2LzAxLzIwMjQuVVNEAQAAAIPFdAACAAAADTE0LDkxMzkxNjAwNTYAW45KrOtH3ggtlVa260feCChDSVEuRVRURS5JUV9MQVNUU0FMRVBSSUNFLjA1LzAxLzIwMjQuVVNEAQAAAIPFdAACAAAADTE0LDkxMzkxNjAwNTYAW45KrOtH3gj5aVa260feCChDSVEuRVRURS5JUV9MQVNUU0FMRVBSSUNFLjA0LzAxLzIwMjQuVVNEAQAAAIPFdAACAAAADjE0LDg0OTMxNTA2OTA1AFuOSqzrR94I+WlWtutH3ggoQ0lRLkVUVEUuSVFfTEFTVFNBTEVQUklDRS4wOS8wMS8yMDI0LlVTRAEAAACDxXQAAgAA</t>
  </si>
  <si>
    <t>AA0xNSwxODc5MzcwNjc3AFuOSqzrR94I+WlWtutH3ggoQ0lRLkVUVEUuSVFfTEFTVFNBTEVQUklDRS4xMC8wMS8yMDI0LlVTRAEAAACDxXQAAgAAAA0xNCw5MDczNzY5NjI0AFuOSqzrR94ILZVWtutH3ggoQ0lRLkVUVEUuSVFfTEFTVFNBTEVQUklDRS4xMS8wMS8yMDI0LlVTRAEAAACDxXQAAgAAAA0xNCw5OTg5MDUxOTI2AFuOSqzrR94ILZVWtutH3ggoQ0lRLkVUVEUuSVFfTEFTVFNBTEVQUklDRS4xMi8wMS8yMDI0LlVTRAEAAACDxXQAAgAAAA4xNSwyOTk0MDc3NTkwNQBbjkqs60feCC2VVrbrR94IKENJUS5FVFRFLklRX0xBU1RTQUxFUFJJQ0UuMDEvMDEvMjAyNC5VU0QBAAAAg8V0AAIAAAANMTUsMjQ4NjE4Nzg4OABbjkqs60feCC2VVrbrR94IKENJUS5FVFRFLklRX0xBU1RTQUxFUFJJQ0UuMTUvMDEvMjAyNC5VU0QBAAAAg8V0AAIAAAANMTUsMjc0MjgwMDg0NABbjkqs60feCC2VVrbrR94IKENJUS5HQU1BLklRX0xBU1RTQUxFUFJJQ0UuMDcvMDEvMjAyNC5VU0QBAAAA/gdhAQIAAAANMTMsNzU3MDg1NTMyOABbjkqs60feCC2VVrbrR94IKENJUS5HQU1BLklRX0xBU1RTQUxFUFJJQ0UuMDYvMDEvMjAyNC5VU0QBAAAA/gdhAQIAAAANMTMsNzU3MDg1NTMyOABbjkqs60feCC2VVrbrR94IKENJUS5HQU1BLklRX0xBU1RTQUxFUFJJQ0UuMDUvMDEvMjAyNC5VU0QBAAAA/gdhAQIAAAANMTMsNzU3</t>
  </si>
  <si>
    <t>MDg1NTMyOABbjkqs60feCMO/VrbrR94IKENJUS5HQU1BLklRX0xBU1RTQUxFUFJJQ0UuMDQvMDEvMjAyNC5VU0QBAAAA/gdhAQIAAAAMMTMsOTY3NTQ0NTAzAFuOSqzrR94Iw79WtutH3ggoQ0lRLkdBTUEuSVFfTEFTVFNBTEVQUklDRS4wOS8wMS8yMDI0LlVTRAEAAAD+B2EBAgAAAAwxMyw5NzgzNzE2NDkAW45KrOtH3ggtlVa260feCChDSVEuR0FNQS5JUV9MQVNUU0FMRVBSSUNFLjEwLzAxLzIwMjQuVVNEAQAAAP4HYQECAAAADjEzLDgxODIwMDMyNzgyAFuOSqzrR94Iw79WtutH3ggoQ0lRLkdBTUEuSVFfTEFTVFNBTEVQUklDRS4xMS8wMS8yMDI0LlVTRAEAAAD+B2EBAgAAAA0xMyw3OTgxODU2NTE5AFuOSqzrR94Iw79WtutH3ggoQ0lRLkdBTUEuSVFfTEFTVFNBTEVQUklDRS4xMi8wMS8yMDI0LlVTRAEAAAD+B2EBAgAAAA4xNCwxMTQxNjM5MzIyNgBbjkqs60feCMO/VrbrR94IKENJUS5HQU1BLklRX0xBU1RTQUxFUFJJQ0UuMDEvMDEvMjAyNC5VU0QBAAAA/gdhAQIAAAANMTQsMzM1MTgzNTgxNABbjkqs60feCC2VVrbrR94IKENJUS5HQU1BLklRX0xBU1RTQUxFUFJJQ0UuMTUvMDEvMjAyNC5VU0QBAAAA/gdhAQIAAAAOMTQsMTEyNjcyMTA4NTIAW45KrOtH3gjDv1a260feCClDSVEuTk9SUkguSVFfTEFTVFNBTEVQUklDRS4wNy8wMS8yMDI0LlVTRAEAAABnykoZAgAAAA0yLDM1NzcxNDY2MjY1</t>
  </si>
  <si>
    <t>AFuOSqzrR94IWepWtutH3ggpQ0lRLk5PUlJILklRX0xBU1RTQUxFUFJJQ0UuMDYvMDEvMjAyNC5VU0QBAAAAZ8pKGQIAAAANMiwzNTc3MTQ2NjI2NQBbjkqs60feCMO/VrbrR94IKUNJUS5OT1JSSC5JUV9MQVNUU0FMRVBSSUNFLjA1LzAxLzIwMjQuVVNEAQAAAGfKShkCAAAADTIsMzU3NzE0NjYyNjUAW45KrOtH3ghZ6la260feCClDSVEuTk9SUkguSVFfTEFTVFNBTEVQUklDRS4wNC8wMS8yMDI0LlVTRAEAAABnykoZAgAAAA0yLDM1NjE2NDM4MzY1AFuOSqzrR94IWepWtutH3ggpQ0lRLk5PUlJILklRX0xBU1RTQUxFUFJJQ0UuMDkvMDEvMjAyNC5VU0QBAAAAZ8pKGQIAAAANMiwzODE5OTMwMDc3NABbjkqs60feCFnqVrbrR94IKUNJUS5OT1JSSC5JUV9MQVNUU0FMRVBSSUNFLjEwLzAxLzIwMjQuVVNEAQAAAGfKShkCAAAADDIsNDExNDg3NDQ5OABbjkqs60feCFnqVrbrR94IKUNJUS5OT1JSSC5JUV9MQVNUU0FMRVBSSUNFLjExLzAxLzIwMjQuVVNEAQAAAGfKShkCAAAADDIsMzUzODQyNzg1NwBbjkqs60feCIQTV7brR94IKUNJUS5OT1JSSC5JUV9MQVNUU0FMRVBSSUNFLjEyLzAxLzIwMjQuVVNEAQAAAGfKShkCAAAADTIsMzc5OTA3ODczNjMAW45KrOtH3ghZ6la260feCClDSVEuTk9SUkguSVFfTEFTVFNBTEVQUklDRS4wMS8wMS8yMDI0LlVTRAEAAABnykoZAgAAAA0yLDI4NzI5MjgxODMyAFuO</t>
  </si>
  <si>
    <t>SqzrR94IWepWtutH3ggpQ0lRLk5PUlJILklRX0xBU1RTQUxFUFJJQ0UuMTUvMDEvMjAyNC5VU0QBAAAAZ8pKGQIAAAANMiwzMTAzMDMyOTU5MgBbjkqs60feCIQTV7brR94IKkNJUS41MDY3MzQuSVFfTEFTVFNBTEVQUklDRS4wNy8wMS8yMDI0LlVTRAEAAADbnzYBAgAAAA0yLDAyNjY4MDczOTA1AFuOSqzrR94IhBNXtutH3ggqQ0lRLjUwNjczNC5JUV9MQVNUU0FMRVBSSUNFLjA2LzAxLzIwMjQuVVNEAQAAANufNgECAAAADTIsMDI2NjgwNzM5MDUAW45KrOtH3giEE1e260feCCpDSVEuNTA2NzM0LklRX0xBU1RTQUxFUFJJQ0UuMDUvMDEvMjAyNC5VU0QBAAAA2582AQIAAAANMiwwMjY2ODA3MzkwNQBbjkqs60feCIQTV7brR94IKkNJUS41MDY3MzQuSVFfTEFTVFNBTEVQUklDRS4wNC8wMS8yMDI0LlVTRAEAAADbnzYBAgAAAAwyLDAzNTc5NzM3ODYAW45KrOtH3giEE1e260feCCpDSVEuNTA2NzM0LklRX0xBU1RTQUxFUFJJQ0UuMDkvMDEvMjAyNC5VU0QBAAAA2582AQIAAAAMMiwxNDMxMTA3ODI4AFuOSqzrR94IhBNXtutH3ggqQ0lRLjUwNjczNC5JUV9MQVNUU0FMRVBSSUNFLjEwLzAxLzIwMjQuVVNEAQAAANufNgECAAAADDIsMjEyMTE3NTA4NQBbjkqs60feCIQTV7brR94IKkNJUS41MDY3MzQuSVFfTEFTVFNBTEVQUklDRS4xMS8wMS8yMDI0LlVTRAEAAADbnzYBAgAAAAwyLDI1MTk1MTMxNjQA</t>
  </si>
  <si>
    <t>W45KrOtH3giEE1e260feCCpDSVEuNTA2NzM0LklRX0xBU1RTQUxFUFJJQ0UuMTIvMDEvMjAyNC5VU0QBAAAA2582AQIAAAAMMiwyNTk1Nzk5NDQ3AFuOSqzrR94IeD9XtutH3ggqQ0lRLjUwNjczNC5JUV9MQVNUU0FMRVBSSUNFLjAxLzAxLzIwMjQuVVNEAQAAANufNgECAAAADTEsOTYyNDc1NjI4ODUAW45KrOtH3gh4P1e260feCCpDSVEuNTA2NzM0LklRX0xBU1RTQUxFUFJJQ0UuMTUvMDEvMjAyNC5VU0QBAAAA2582AQIAAAANMiwyMTI2OTY2NTQ3NQBbjkqs60feCHg/V7brR94IJ0NJUS5DV0suSVFfTEFTVFNBTEVQUklDRS4wNy8wMS8yMDI0LlVTRAEAAABFML4QAgAAAAQ5LDkxAFuOSqzrR94IeD9XtutH3ggnQ0lRLkNXSy5JUV9MQVNUU0FMRVBSSUNFLjA2LzAxLzIwMjQuVVNEAQAAAEUwvhACAAAABDksOTEAW45KrOtH3gh4P1e260feCCdDSVEuQ1dLLklRX0xBU1RTQUxFUFJJQ0UuMDUvMDEvMjAyNC5VU0QBAAAARTC+EAIAAAAEOSw5MQBbjkqs60feCMZmV7brR94IKENJUS5CVFJXLklRX0xBU1RTQUxFUFJJQ0UuMDYvMDIvMjAyNC5VU0QBAAAAolYNAAIAAAAMNiw2NzA3NzgyMTQ3AFuOSqzrR94I/Rk8tutH3ggoQ0lRLkJUUlcuSVFfTEFTVFNBTEVQUklDRS4wNS8wMi8yMDI0LlVTRAEAAACiVg0AAgAAAA02LDUyMzc4MTQ4NzcyAFuOSqzrR94I/Rk8tutH3ggoQ0lRLkJUUlcuSVFfTEFTVFNB</t>
  </si>
  <si>
    <t>TEVQUklDRS4wNC8wMi8yMDI0LlVTRAEAAACiVg0AAgAAAA02LDY5MjM3MDg5NzkzAFuOSqzrR94I/Rk8tutH3ggnQ0lRLkNXSy5JUV9MQVNUU0FMRVBSSUNFLjA0LzAxLzIwMjQuVVNEAQAAAEUwvhACAAAABTEwLDA5AFuOSqzrR94IxmZXtutH3ggnQ0lRLkNXSy5JUV9MQVNUU0FMRVBSSUNFLjA5LzAxLzIwMjQuVVNEAQAAAEUwvhACAAAABDksOTEAW45KrOtH3gjGZle260feCCdDSVEuQ1dLLklRX0xBU1RTQUxFUFJJQ0UuMTAvMDEvMjAyNC5VU0QBAAAARTC+EAIAAAAFMTAsMDcAW45KrOtH3gh4P1e260feCCdDSVEuQ1dLLklRX0xBU1RTQUxFUFJJQ0UuMTEvMDEvMjAyNC5VU0QBAAAARTC+EAIAAAAEOSw5OQCdtUqs60feCMZmV7brR94IJ0NJUS5DV0suSVFfTEFTVFNBTEVQUklDRS4xMi8wMS8yMDI0LlVTRAEAAABFML4QAgAAAAQ5LDkzAJ21SqzrR94IeD9XtutH3ggnQ0lRLkNXSy5JUV9MQVNUU0FMRVBSSUNFLjAxLzAxLzIwMjQuVVNEAQAAAEUwvhACAAAABDEwLDgAnbVKrOtH3gjGZle260feCCdDSVEuQ1dLLklRX0xBU1RTQUxFUFJJQ0UuMTUvMDEvMjAyNC5VU0QBAAAARTC+EAIAAAAEOSw5MwCdtUqs60feCMZmV7brR94ILUNJUS5ORVQuSVFfQ0FTSF9FUVVJVi4yMDAwLjAxLzAxLzIwMjQuLi5VU0QuSAEAAAA09eAEAgAAAAY4Niw4NjQBCAAAAAUAAAABMQEAAAALLTE5NTg2OTU2NTMDAAAA</t>
  </si>
  <si>
    <t>AzE2MAIAAAAEMTA5NgQAAAABMAcAAAAIMS8xLzIwMjQIAAAACjEyLzMxLzIwMjMJAAAAATCdtUqs60feCH2mS7brR94IK0NJUS5ORVQuSVFfTkVUX0RFQlQuMjAwMC4wMS8wMS8yMDI0Li4uVVNELkgBAAAANPXgBAIAAAAILTIzOCw1NDEBCAAAAAUAAAABMQEAAAALLTE5NTg2OTU2NTMDAAAAAzE2MAIAAAAENDM2NAQAAAABMAcAAAAIMS8xLzIwMjQIAAAACjEyLzMxLzIwMjMJAAAAATCdtUqs60feCH2mS7brR94IKUNJUS5UVEUuSVFfRUJJVERBLjIwMDAuMDEvMDEvMjAyNC4uLlVTRC5IAQAAAJz6BAACAAAABTQ1MDgxAQgAAAAFAAAAATEBAAAACy0xOTUyODM5OTc4AwAAAAMxNjACAAAABDQwNTEEAAAAATAHAAAACDEvMS8yMDI0CAAAAAoxMi8zMS8yMDIzCQAAAAEwATmLretH3ggw9Uu260feCDBDSVEuVFRFLklRX0VCSVREQV9NQVJHSU4uMjAwMC4wMS8wMS8yMDI0Li4uVVNELkgBAAAAnPoEAAIAAAAHMjAsNTkwMQEIAAAABQAAAAExAQAAAAstMTk1MjgzOTk3OAMAAAADMTYwAgAAAAQ0MDQ3BAAAAAEwBwAAAAgxLzEvMjAyNAgAAAAKMTIvMzEvMjAyMwkAAAABMAE5i63rR94IMPVLtutH3ggoQ0lRLkJUUlcuSVFfTEFTVFNBTEVQUklDRS4wMy8wMi8yMDI0LlVTRAEAAACiVg0AAgAAAA02LDY5MjM3MDg5NzkzAFuOSqzrR94IV0Q8tutH3ggvQ0lRLlRURS5JUV9UT1RBTF9BU1NFVFMuMjAwMC4wMS8w</t>
  </si>
  <si>
    <t>MS8yMDI0Li4uVVNELkgBAAAAnPoEAAIAAAAGMjgzNjU0AQgAAAAFAAAAATEBAAAACy0xOTUyODM5OTc4AwAAAAMxNjACAAAABDEwMDcEAAAAATAHAAAACDEvMS8yMDI0CAAAAAoxMi8zMS8yMDIzCQAAAAEwATmLretH3ggw9Uu260feCC1DSVEuVFRFLklRX0NBU0hfRVFVSVYuMjAwMC4wMS8wMS8yMDI0Li4uVVNELkgBAAAAnPoEAAIAAAAFMjcyNjMBCAAAAAUAAAABMQEAAAALLTE5NTI4Mzk5NzgDAAAAAzE2MAIAAAAEMTA5NgQAAAABMAcAAAAIMS8xLzIwMjQIAAAACjEyLzMxLzIwMjMJAAAAATABOYut60feCDD1S7brR94IK0NJUS5UVEUuSVFfTkVUX0RFQlQuMjAwMC4wMS8wMS8yMDI0Li4uVVNELkgBAAAAnPoEAAIAAAAFMTcwODYBCAAAAAUAAAABMQEAAAALLTE5NTI4Mzk5NzgDAAAAAzE2MAIAAAAENDM2NAQAAAABMAcAAAAIMS8xLzIwMjQIAAAACjEyLzMxLzIwMjMJAAAAATABOYut60feCDD1S7brR94IKUNJUS5VTlguSVFfRUJJVERBLjIwMDAuMDEvMDEvMjAyNC4uLlVTRC5IAQAAAIy1sXQDAAAAAACdtUqs60feCIocTLbrR94IMENJUS5VTlguSVFfRUJJVERBX01BUkdJTi4yMDAwLjAxLzAxLzIwMjQuLi5VU0QuSAEAAACMtbF0AwAAAAAAnbVKrOtH3giKHEy260feCC9DSVEuVU5YLklRX1RPVEFMX0FTU0VUUy4yMDAwLjAxLzAxLzIwMjQuLi5VU0QuSAEAAACMtbF0AwAAAAAAnbVKrOtH3gjn</t>
  </si>
  <si>
    <t>Q0y260feCC1DSVEuVU5YLklRX0NBU0hfRVFVSVYuMjAwMC4wMS8wMS8yMDI0Li4uVVNELkgBAAAAjLWxdAMAAAAAAJ21SqzrR94I50NMtutH3ggrQ0lRLlVOWC5JUV9ORVRfREVCVC4yMDAwLjAxLzAxLzIwMjQuLi5VU0QuSAEAAACMtbF0AwAAAAAAnbVKrOtH3gjnQ0y260feCCxDSVEuSU1ITyBCLklRX0VCSVREQS4yMDAwLjAxLzAxLzIwMjQuLi5VU0QuSAEAAAC/Gz0hAgAAAAktMCwyMzg4NDYBCAAAAAUAAAABMQEAAAALLTE5NDEzNjQ4NDQDAAAAAzE2MAIAAAAENDA1MQQAAAABMAcAAAAIMS8xLzIwMjQIAAAACjEyLzMxLzIwMjMJAAAAATCdtUqs60feCC5rTLbrR94IKENJUS5CVFJXLklRX0xBU1RTQUxFUFJJQ0UuMDgvMDIvMjAyNC5VU0QBAAAAolYNAAIAAAALNiwxNDc1NDA5ODQAnbVKrOtH3gj9GTy260feCDNDSVEuSU1ITyBCLklRX0VCSVREQV9NQVJHSU4uMjAwMC4wMS8wMS8yMDI0Li4uVVNELkgBAAAAvxs9IQIAAAAILTE1LDI2MDQBCAAAAAUAAAABMQEAAAALLTE5NDEzNjQ4NDQDAAAAAzEzNwIAAAAENDA0NwQAAAABMAcAAAAIMS8xLzIwMjQIAAAACjEyLzMxLzIwMjMJAAAAATCdtUqs60feCGy7TLbrR94IMkNJUS5JTUhPIEIuSVFfVE9UQUxfQVNTRVRTLjIwMDAuMDEvMDEvMjAyNC4uLlVTRC5IAQAAAL8bPSECAAAACDIsOTY4Mzc1AQgAAAAFAAAAATEBAAAACy0xOTQxMzY0ODQ0AwAA</t>
  </si>
  <si>
    <t>AAMxNjACAAAABDEwMDcEAAAAATAHAAAACDEvMS8yMDI0CAAAAAoxMi8zMS8yMDIzCQAAAAEwnbVKrOtH3ghsu0y260feCDBDSVEuSU1ITyBCLklRX0NBU0hfRVFVSVYuMjAwMC4wMS8wMS8yMDI0Li4uVVNELkgBAAAAvxs9IQIAAAAIMCwwMDQ4NzIBCAAAAAUAAAABMQEAAAALLTE5NDEzNjQ4NDQDAAAAAzE2MAIAAAAEMTA5NgQAAAABMAcAAAAIMS8xLzIwMjQIAAAACjEyLzMxLzIwMjMJAAAAATCdtUqs60feCO6RTLbrR94ILkNJUS5JTUhPIEIuSVFfTkVUX0RFQlQuMjAwMC4wMS8wMS8yMDI0Li4uVVNELkgBAAAAvxs9IQIAAAAIMCw4Nzg5MTgBCAAAAAUAAAABMQEAAAALLTE5NDEzNjQ4NDQDAAAAAzE2MAIAAAAENDM2NAQAAAABMAcAAAAIMS8xLzIwMjQIAAAACjEyLzMxLzIwMjMJAAAAATCdtUqs60feCO6RTLbrR94IKUNJUS5DUEcuSVFfRUJJVERBLjIwMDAuMDEvMDEvMjAyNC4uLlVTRC5IAQAAAPiQCgACAAAABDMwNTEBCAAAAAUAAAABMQEAAAALLTE5NDM5MDg3NjADAAAAAzE2MAIAAAAENDA1MQQAAAABMAcAAAAIMS8xLzIwMjQIAAAACjEyLzMxLzIwMjMJAAAAATCdtUqs60feCOriTLbrR94IMENJUS5DUEcuSVFfRUJJVERBX01BUkdJTi4yMDAwLjAxLzAxLzIwMjQuLi5VU0QuSAEAAAD4kAoAAgAAAAY3LDgzMjgBCAAAAAUAAAABMQEAAAALLTE5NDM5MDg3NjADAAAAAzE2MAIAAAAENDA0NwQA</t>
  </si>
  <si>
    <t>AAABMAcAAAAIMS8xLzIwMjQIAAAACjEyLzMxLzIwMjMJAAAAATCdtUqs60feCOriTLbrR94IL0NJUS5DUEcuSVFfVE9UQUxfQVNTRVRTLjIwMDAuMDEvMDEvMjAyNC4uLlVTRC5IAQAAAPiQCgACAAAABTIyNDQ3AQgAAAAFAAAAATEBAAAACy0xOTQzOTA4NzYwAwAAAAMxNjACAAAABDEwMDcEAAAAATAHAAAACDEvMS8yMDI0CAAAAAoxMi8zMS8yMDIzCQAAAAEwnbVKrOtH3ghoCk2260feCC1DSVEuQ1BHLklRX0NBU0hfRVFVSVYuMjAwMC4wMS8wMS8yMDI0Li4uVVNELkgBAAAA+JAKAAIAAAADNjk1AQgAAAAFAAAAATEBAAAACy0xOTQzOTA4NzYwAwAAAAMxNjACAAAABDEwOTYEAAAAATAHAAAACDEvMS8yMDI0CAAAAAoxMi8zMS8yMDIzCQAAAAEwnbVKrOtH3ghoCk2260feCCtDSVEuQ1BHLklRX05FVF9ERUJULjIwMDAuMDEvMDEvMjAyNC4uLlVTRC5IAQAAAPiQCgACAAAABDUxNDUBCAAAAAUAAAABMQEAAAALLTE5NDM5MDg3NjADAAAAAzE2MAIAAAAENDM2NAQAAAABMAcAAAAIMS8xLzIwMjQIAAAACjEyLzMxLzIwMjMJAAAAATCdtUqs60feCGgKTbbrR94IKENJUS5CVFJXLklRX0xBU1RTQUxFUFJJQ0UuMDkvMDIvMjAyNC5VU0QBAAAAolYNAAIAAAAONiwxNTM3NDg5NzQ3MTIAnbVKrOtH3ghXRDy260feCCpDSVEuQlJDSy5JUV9FQklUREEuMjAwMC4wMS8wMS8yMDI0Li4uVVNELkgBAAAADFtcJAIA</t>
  </si>
  <si>
    <t>AAAJNTQsNjA4NDQ4AQgAAAAFAAAAATEBAAAACy0xOTM1MzY0NjUwAwAAAAMxNjACAAAABDQwNTEEAAAAATAHAAAACDEvMS8yMDI0CAAAAAoxMi8zMS8yMDIzCQAAAAEwnbVKrOtH3gjsMU2260feCChDSVEuQlRSVy5JUV9MQVNUU0FMRVBSSUNFLjEwLzAyLzIwMjQuVVNEAQAAAKJWDQACAAAADjYsMTUzNzQ4OTc0NzEyAJ21SqzrR94IV0Q8tutH3ggoQ0lRLkJUUlcuSVFfTEFTVFNBTEVQUklDRS4xMS8wMi8yMDI0LlVTRAEAAACiVg0AAgAAAA42LDE1Mzc0ODk3NDcxMgCdtUqs60feCFdEPLbrR94IKENJUS5CVFJXLklRX0xBU1RTQUxFUFJJQ0UuMzEvMDEvMjAyNC5VU0QBAAAAolYNAAIAAAAONiw4NzA5NDcyMzUwNjgAnbVKrOtH3ghXRDy260feCDFDSVEuQlJDSy5JUV9FQklUREFfTUFSR0lOLjIwMDAuMDEvMDEvMjAyNC4uLlVTRC5IAQAAAAxbXCQCAAAABjYsODc0MQEIAAAABQAAAAExAQAAAAstMTkzNTM2NDY1MAMAAAACNTUCAAAABDQwNDcEAAAAATAHAAAACDEvMS8yMDI0CAAAAAoxMi8zMS8yMDIzCQAAAAEwnbVKrOtH3gjsMU2260feCDBDSVEuQlJDSy5JUV9UT1RBTF9BU1NFVFMuMjAwMC4wMS8wMS8yMDI0Li4uVVNELkgBAAAADFtcJAIAAAAKNTc1LDQ0OTYzNgEIAAAABQAAAAExAQAAAAstMTkzNTM2NDY1MAMAAAADMTYwAgAAAAQxMDA3BAAAAAEwBwAAAAgxLzEvMjAyNAgAAAAKMTIvMzEv</t>
  </si>
  <si>
    <t>MjAyMwkAAAABMJ21SqzrR94IsFlNtutH3gguQ0lRLkJSQ0suSVFfQ0FTSF9FUVVJVi4yMDAwLjAxLzAxLzIwMjQuLi5VU0QuSAEAAAAMW1wkAgAAAAkxOSw4NDYzODUBCAAAAAUAAAABMQEAAAALLTE5MzUzNjQ2NTADAAAAAzE2MAIAAAAEMTA5NgQAAAABMAcAAAAIMS8xLzIwMjQIAAAACjEyLzMxLzIwMjMJAAAAATCdtUqs60feCLBZTbbrR94ILENJUS5CUkNLLklRX05FVF9ERUJULjIwMDAuMDEvMDEvMjAyNC4uLlVTRC5IAQAAAAxbXCQCAAAACTk1LDUyNDAyMwEIAAAABQAAAAExAQAAAAstMTkzNTM2NDY1MAMAAAADMTYwAgAAAAQ0MzY0BAAAAAEwBwAAAAgxLzEvMjAyNAgAAAAKMTIvMzEvMjAyMwkAAAABMJ21SqzrR94IsFlNtutH3ggqQ0lRLklRU1QuSVFfRUJJVERBLjIwMDAuMDEvMDEvMjAyNC4uLlVTRC5IAQAAAGnfbhkCAAAACS0wLDEwOTQ3NAEIAAAABQAAAAExAQAAAAstMTk1MzQ1NDU1OQMAAAADMTYwAgAAAAQ0MDUxBAAAAAEwBwAAAAgxLzEvMjAyNAgAAAAKMTIvMzEvMjAyMwkAAAABMJ21SqzrR94IM4FNtutH3ggxQ0lRLklRU1QuSVFfRUJJVERBX01BUkdJTi4yMDAwLjAxLzAxLzIwMjQuLi5VU0QuSAEAAABp324ZAgAAAActMCwwNzU3AQgAAAAFAAAAATEBAAAACy0xOTUzNDU0NTU5AwAAAAMxNjACAAAABDQwNDcEAAAAATAHAAAACDEvMS8yMDI0CAAAAAoxMi8zMS8yMDIzCQAAAAEw</t>
  </si>
  <si>
    <t>nbVKrOtH3ghU0E2260feCDBDSVEuSVFTVC5JUV9UT1RBTF9BU1NFVFMuMjAwMC4wMS8wMS8yMDI0Li4uVVNELkgBAAAAad9uGQIAAAAJMjIsMTU1NjUzAQgAAAAFAAAAATEBAAAACy0xOTUzNDU0NTU5AwAAAAMxNjACAAAABDEwMDcEAAAAATAHAAAACDEvMS8yMDI0CAAAAAoxMi8zMS8yMDIzCQAAAAEwnbVKrOtH3ghU0E2260feCC5DSVEuSVFTVC5JUV9DQVNIX0VRVUlWLjIwMDAuMDEvMDEvMjAyNC4uLlVTRC5IAQAAAGnfbhkCAAAACDEsMzYyNjY4AQgAAAAFAAAAATEBAAAACy0xOTUzNDU0NTU5AwAAAAMxNjACAAAABDEwOTYEAAAAATAHAAAACDEvMS8yMDI0CAAAAAoxMi8zMS8yMDIzCQAAAAEwnbVKrOtH3giOqE2260feCCxDSVEuSVFTVC5JUV9ORVRfREVCVC4yMDAwLjAxLzAxLzIwMjQuLi5VU0QuSAEAAABp324ZAgAAAAktMCwzODI0ODkBCAAAAAUAAAABMQEAAAALLTE5NTM0NTQ1NTkDAAAAAzE2MAIAAAAENDM2NAQAAAABMAcAAAAIMS8xLzIwMjQIAAAACjEyLzMxLzIwMjMJAAAAATCdtUqs60feCI6oTbbrR94IKENJUS5CVFJXLklRX0xBU1RTQUxFUFJJQ0UuMTQvMDIvMjAyNC5VU0QBAAAAolYNAAIAAAAONSw5NDM5OTg4OTM4MjQAnbVKrOtH3ghXRDy260feCCtDSVEuQkFMQ08uSVFfRUJJVERBLjIwMDAuMDEvMDEvMjAyNC4uLlVTRC5IAQAAAEsMICACAAAACTEwLDc3NjEyMQEIAAAABQAA</t>
  </si>
  <si>
    <t>AAExAQAAAAstMTk1NTQyNjgwOAMAAAADMTYwAgAAAAQ0MDUxBAAAAAEwBwAAAAgxLzEvMjAyNAgAAAAKMTIvMzEvMjAyMwkAAAABMK7C5azrR94IX/dNtutH3ggyQ0lRLkJBTENPLklRX0VCSVREQV9NQVJHSU4uMjAwMC4wMS8wMS8yMDI0Li4uVVNELkgBAAAASwwgIAIAAAAGOCw5MjAzAQgAAAAFAAAAATEBAAAACy0xOTU1NDI2ODA4AwAAAAMxMzcCAAAABDQwNDcEAAAAATAHAAAACDEvMS8yMDI0CAAAAAoxMi8zMS8yMDIzCQAAAAEwrsLlrOtH3ghvHk6260feCDFDSVEuQkFMQ08uSVFfVE9UQUxfQVNTRVRTLjIwMDAuMDEvMDEvMjAyNC4uLlVTRC5IAQAAAEsMICACAAAACjEyNiwwMDYwOTgBCAAAAAUAAAABMQEAAAALLTE5NTU0MjY4MDgDAAAAAzE2MAIAAAAEMTAwNwQAAAABMAcAAAAIMS8xLzIwMjQIAAAACjEyLzMxLzIwMjMJAAAAATCuwuWs60feCG8eTrbrR94IL0NJUS5CQUxDTy5JUV9DQVNIX0VRVUlWLjIwMDAuMDEvMDEvMjAyNC4uLlVTRC5IAQAAAEsMICACAAAACDAsMjc4OTE5AQgAAAAFAAAAATEBAAAACy0xOTU1NDI2ODA4AwAAAAMxNjACAAAABDEwOTYEAAAAATAHAAAACDEvMS8yMDI0CAAAAAoxMi8zMS8yMDIzCQAAAAEwrsLlrOtH3ghvHk6260feCC1DSVEuQkFMQ08uSVFfTkVUX0RFQlQuMjAwMC4wMS8wMS8yMDI0Li4uVVNELkgBAAAASwwgIAIAAAAJMjQsMDI1MzI1AQgAAAAFAAAA</t>
  </si>
  <si>
    <t>ATEBAAAACy0xOTU1NDI2ODA4AwAAAAMxNjACAAAABDQzNjQEAAAAATAHAAAACDEvMS8yMDI0CAAAAAoxMi8zMS8yMDIzCQAAAAEwrsLlrOtH3ghvHk6260feCCpDSVEuRkRKVS5JUV9FQklUREEuMjAwMC4wMS8wMS8yMDI0Li4uVVNELkgBAAAArQNUAAIAAAAKNjY5LDA2MTU2NwEIAAAABQAAAAExAQAAAAstMTk0NzI1NDMyMAMAAAADMTYwAgAAAAQ0MDUxBAAAAAEwBwAAAAgxLzEvMjAyNAgAAAAKMTIvMzEvMjAyMwkAAAABMJ21SqzrR94If0VOtutH3ggxQ0lRLkZESlUuSVFfRUJJVERBX01BUkdJTi4yMDAwLjAxLzAxLzIwMjQuLi5VU0QuSAEAAACtA1QAAgAAAAcyMywwODk4AQgAAAAFAAAAATEBAAAACy0xOTQ3MjU0MzIwAwAAAAI1MAIAAAAENDA0NwQAAAABMAcAAAAIMS8xLzIwMjQIAAAACjEyLzMxLzIwMjMJAAAAATCdtUqs60feCH9FTrbrR94IMENJUS5GREpVLklRX1RPVEFMX0FTU0VUUy4yMDAwLjAxLzAxLzIwMjQuLi5VU0QuSAEAAACtA1QAAgAAAAs0MTU2LDk1ODEwNgEIAAAABQAAAAExAQAAAAstMTk0NzI1NDMyMAMAAAADMTYwAgAAAAQxMDA3BAAAAAEwBwAAAAgxLzEvMjAyNAgAAAAKMTIvMzEvMjAyMwkAAAABMJ21SqzrR94IkWxOtutH3gguQ0lRLkZESlUuSVFfQ0FTSF9FUVVJVi4yMDAwLjAxLzAxLzIwMjQuLi5VU0QuSAEAAACtA1QAAgAAAAk1OTUsMzM1NDcBCAAAAAUAAAABMQEA</t>
  </si>
  <si>
    <t>AAALLTE5NDcyNTQzMjADAAAAAzE2MAIAAAAEMTA5NgQAAAABMAcAAAAIMS8xLzIwMjQIAAAACjEyLzMxLzIwMjMJAAAAATCdtUqs60feCJFsTrbrR94ILENJUS5GREpVLklRX05FVF9ERUJULjIwMDAuMDEvMDEvMjAyNC4uLlVTRC5IAQAAAK0DVAACAAAACy0zNjEsMTE0MTgxAQgAAAAFAAAAATEBAAAACy0xOTQ3MjU0MzIwAwAAAAMxNjACAAAABDQzNjQEAAAAATAHAAAACDEvMS8yMDI0CAAAAAoxMi8zMS8yMDIzCQAAAAEwnbVKrOtH3giRbE6260feCClDSVEuQ1lLLklRX0VCSVREQS4yMDAwLjAxLzAxLzIwMjQuLi5VU0QuSAEAAABFRo1uAwAAAAAAnbVKrOtH3ggzlE6260feCChDSVEuTVNDSS5JUV9MQVNUU0FMRVBSSUNFLjA2LzAyLzIwMjQuVVNEAQAAAN6xdwACAAAAAzU4MgCdtUqs60feCFdEPLbrR94IMENJUS5DWUsuSVFfRUJJVERBX01BUkdJTi4yMDAwLjAxLzAxLzIwMjQuLi5VU0QuSAEAAABFRo1uAwAAAAAAnbVKrOtH3giwuk6260feCC9DSVEuQ1lLLklRX1RPVEFMX0FTU0VUUy4yMDAwLjAxLzAxLzIwMjQuLi5VU0QuSAEAAABFRo1uAgAAAAgyLDExMDA3NwEIAAAABQAAAAExAQAAAAstMTkzNTc5Nzk0NAMAAAADMTYwAgAAAAQxMDA3BAAAAAEwBwAAAAgxLzEvMjAyNAgAAAAKMTIvMzEvMjAyMwkAAAABMJ21SqzrR94IsLpOtutH3ggtQ0lRLkNZSy5JUV9DQVNIX0VRVUlWLjIwMDAuMDEv</t>
  </si>
  <si>
    <t>MDEvMjAyNC4uLlVTRC5IAQAAAEVGjW4CAAAACDEsNzY2OTczAQgAAAAFAAAAATEBAAAACy0xOTM1Nzk3OTQ0AwAAAAMxNjACAAAABDEwOTYEAAAAATAHAAAACDEvMS8yMDI0CAAAAAoxMi8zMS8yMDIzCQAAAAEwnbVKrOtH3giwuk6260feCCtDSVEuQ1lLLklRX05FVF9ERUJULjIwMDAuMDEvMDEvMjAyNC4uLlVTRC5IAQAAAEVGjW4CAAAACS0xLDc2Njk3MwEIAAAABQAAAAExAQAAAAstMTkzNTc5Nzk0NAMAAAADMTYwAgAAAAQ0MzY0BAAAAAEwBwAAAAgxLzEvMjAyNAgAAAAKMTIvMzEvMjAyMwkAAAABMJ21SqzrR94IsLpOtutH3ggqQ0lRLjcyNzIuSVFfRUJJVERBLjIwMDAuMDEvMDEvMjAyNC4uLlVTRC5IAQAAAJ9WDQACAAAACzIyMjYsNjkyMTUzAQgAAAAFAAAAATEBAAAACy0yMDA0NjY1ODgyAwAAAAMxNjACAAAABDQwNTEEAAAAATAHAAAACDEvMS8yMDI0CAAAAAoxMi8zMS8yMDIzCQAAAAEwnbVKrOtH3giB7U6260feCDFDSVEuNzI3Mi5JUV9FQklUREFfTUFSR0lOLjIwMDAuMDEvMDEvMjAyNC4uLlVTRC5IAQAAAJ9WDQACAAAABzEyLDk5ODMBCAAAAAUAAAABMQEAAAALLTIwMDQ2NjU4ODIDAAAAAjc5AgAAAAQ0MDQ3BAAAAAEwBwAAAAgxLzEvMjAyNAgAAAAKMTIvMzEvMjAyMwkAAAABMJ21SqzrR94Ige1OtutH3ggwQ0lRLjcyNzIuSVFfVE9UQUxfQVNTRVRTLjIwMDAuMDEvMDEvMjAyNC4u</t>
  </si>
  <si>
    <t>LlVTRC5IAQAAAJ9WDQACAAAADDE4MjQ1LDc4MTM0NAEIAAAABQAAAAExAQAAAAstMjAwNDY2NTg4MgMAAAADMTYwAgAAAAQxMDA3BAAAAAEwBwAAAAgxLzEvMjAyNAgAAAAKMTIvMzEvMjAyMwkAAAABMJ21SqzrR94Ige1OtutH3gguQ0lRLjcyNzIuSVFfQ0FTSF9FUVVJVi4yMDAwLjAxLzAxLzIwMjQuLi5VU0QuSAEAAACfVg0AAgAAAAsyNDAzLDc2MTEzOAEIAAAABQAAAAExAQAAAAstMjAwNDY2NTg4MgMAAAADMTYwAgAAAAQxMDk2BAAAAAEwBwAAAAgxLzEvMjAyNAgAAAAKMTIvMzEvMjAyMwkAAAABMJ21SqzrR94I3xRPtutH3ggsQ0lRLjcyNzIuSVFfTkVUX0RFQlQuMjAwMC4wMS8wMS8yMDI0Li4uVVNELkgBAAAAn1YNAAIAAAAKMzU4Miw3NjY3NQEIAAAABQAAAAExAQAAAAstMjAwNDY2NTg4MgMAAAADMTYwAgAAAAQ0MzY0BAAAAAEwBwAAAAgxLzEvMjAyNAgAAAAKMTIvMzEvMjAyMwkAAAABMJ21SqzrR94I3xRPtutH3ggoQ0lRLk1TQ0kuSVFfTEFTVFNBTEVQUklDRS4wNS8wMi8yMDI0LlVTRAEAAADesXcAAgAAAAY1ODMsMzkAnbVKrOtH3gjWbjy260feCCtDSVEuQURNQ00uSVFfRUJJVERBLjIwMDAuMDEvMDEvMjAyNC4uLlVTRC5IAQAAAMY1kxICAAAACTE4LDM3MjY1OAEIAAAABQAAAAExAQAAAAstMTk2MTg4NjYwNQMAAAADMTYwAgAAAAQ0MDUxBAAAAAEwBwAAAAgxLzEvMjAyNAgAAAAK</t>
  </si>
  <si>
    <t>MTIvMzEvMjAyMwkAAAABMJ21SqzrR94I3xRPtutH3ggoQ0lRLk1TQ0kuSVFfTEFTVFNBTEVQUklDRS4wNC8wMi8yMDI0LlVTRAEAAADesXcAAgAAAAY1OTMsMDYAnbVKrOtH3gjWbjy260feCChDSVEuTVNDSS5JUV9MQVNUU0FMRVBSSUNFLjAzLzAyLzIwMjQuVVNEAQAAAN6xdwACAAAABjU5MywwNgCdtUqs60feCNZuPLbrR94IKENJUS5NU0NJLklRX0xBU1RTQUxFUFJJQ0UuMDgvMDIvMjAyNC5VU0QBAAAA3rF3AAIAAAAFNTg1LDUAnbVKrOtH3ghXRDy260feCDJDSVEuQURNQ00uSVFfRUJJVERBX01BUkdJTi4yMDAwLjAxLzAxLzIwMjQuLi5VU0QuSAEAAADGNZMSAgAAAAc0OCw0MzAyAQgAAAAFAAAAATEBAAAACy0xOTYxODg2NjA1AwAAAAI1MAIAAAAENDA0NwQAAAABMAcAAAAIMS8xLzIwMjQIAAAACjEyLzMxLzIwMjMJAAAAATCdtUqs60feCN8UT7brR94IMUNJUS5BRE1DTS5JUV9UT1RBTF9BU1NFVFMuMjAwMC4wMS8wMS8yMDI0Li4uVVNELkgBAAAAxjWTEgIAAAAJNDIsNzUxOTc3AQgAAAAFAAAAATEBAAAACy0xOTYxODg2NjA1AwAAAAMxNjACAAAABDEwMDcEAAAAATAHAAAACDEvMS8yMDI0CAAAAAoxMi8zMS8yMDIzCQAAAAEwnbVKrOtH3gg8PE+260feCC9DSVEuQURNQ00uSVFfQ0FTSF9FUVVJVi4yMDAwLjAxLzAxLzIwMjQuLi5VU0QuSAEAAADGNZMSAgAAAAkxMCw5NjY3NTkBCAAAAAUA</t>
  </si>
  <si>
    <t>AAABMQEAAAALLTE5NjE4ODY2MDUDAAAAAzE2MAIAAAAEMTA5NgQAAAABMAcAAAAIMS8xLzIwMjQIAAAACjEyLzMxLzIwMjMJAAAAATCdtUqs60feCDw8T7brR94ILUNJUS5BRE1DTS5JUV9ORVRfREVCVC4yMDAwLjAxLzAxLzIwMjQuLi5VU0QuSAEAAADGNZMSAgAAAAktNiwzODM4MjQBCAAAAAUAAAABMQEAAAALLTE5NjE4ODY2MDUDAAAAAzE2MAIAAAAENDM2NAQAAAABMAcAAAAIMS8xLzIwMjQIAAAACjEyLzMxLzIwMjMJAAAAATCdtUqs60feCDw8T7brR94IKkNJUS5BTE1BLklRX0VCSVREQS4yMDAwLjAxLzAxLzIwMjQuLi5VU0QuSAEAAAANWAgoAwAAAAAAnbVKrOtH3gg8PE+260feCDFDSVEuQUxNQS5JUV9FQklUREFfTUFSR0lOLjIwMDAuMDEvMDEvMjAyNC4uLlVTRC5IAQAAAA1YCCgDAAAAAACdtUqs60feCPmKT7brR94IMENJUS5BTE1BLklRX1RPVEFMX0FTU0VUUy4yMDAwLjAxLzAxLzIwMjQuLi5VU0QuSAEAAAANWAgoAgAAAAgyLDAzMTI1MQEIAAAABQAAAAExAQAAAAstMTk1MzYzMzcyNgMAAAADMTYwAgAAAAQxMDA3BAAAAAEwBwAAAAgxLzEvMjAyNAgAAAAKMTEvMzAvMjAyMwkAAAABMJ21SqzrR94I+YpPtutH3gguQ0lRLkFMTUEuSVFfQ0FTSF9FUVVJVi4yMDAwLjAxLzAxLzIwMjQuLi5VU0QuSAEAAAANWAgoAgAAAAU2RS0wNQEIAAAABQAAAAExAQAAAAstMTk1MzYzMzcyNgMAAAAD</t>
  </si>
  <si>
    <t>MTYwAgAAAAQxMDk2BAAAAAEwBwAAAAgxLzEvMjAyNAgAAAAKMTEvMzAvMjAyMwkAAAABMJ21SqzrR94ImmNPtutH3ggsQ0lRLkFMTUEuSVFfTkVUX0RFQlQuMjAwMC4wMS8wMS8yMDI0Li4uVVNELkgBAAAADVgIKAIAAAAGLTZFLTA1AQgAAAAFAAAAATEBAAAACy0xOTUzNjMzNzI2AwAAAAMxNjACAAAABDQzNjQEAAAAATAHAAAACDEvMS8yMDI0CAAAAAoxMS8zMC8yMDIzCQAAAAEwnbVKrOtH3giaY0+260feCChDSVEuTVNDSS5JUV9MQVNUU0FMRVBSSUNFLjA5LzAyLzIwMjQuVVNEAQAAAN6xdwACAAAABjU5Miw0MgCdtUqs60feCNZuPLbrR94IKUNJUS5IWVEuSVFfRUJJVERBLjIwMDAuMDEvMDEvMjAyNC4uLlVTRC5IAQAAAE4C/gECAAAACDMsMTI5MjE0AQgAAAAFAAAAATEBAAAACy0xOTU0NjExNDk0AwAAAAMxNjACAAAABDQwNTEEAAAAATAHAAAACDEvMS8yMDI0CAAAAAoxMi8zMS8yMDIzCQAAAAEwnbVKrOtH3ghSsk+260feCChDSVEuTVNDSS5JUV9MQVNUU0FMRVBSSUNFLjEwLzAyLzIwMjQuVVNEAQAAAN6xdwACAAAABjU5Miw0MgCdtUqs60feCNZuPLbrR94IKENJUS5NU0NJLklRX0xBU1RTQUxFUFJJQ0UuMTEvMDIvMjAyNC5VU0QBAAAA3rF3AAIAAAAGNTkyLDQyAJ21SqzrR94IV0Q8tutH3ggoQ0lRLk1TQ0kuSVFfTEFTVFNBTEVQUklDRS4zMS8wMS8yMDI0LlVTRAEAAADesXcAAgAAAAY1</t>
  </si>
  <si>
    <t>OTgsNjIAnbVKrOtH3gjWbjy260feCDBDSVEuSFlRLklRX0VCSVREQV9NQVJHSU4uMjAwMC4wMS8wMS8yMDI0Li4uVVNELkgBAAAATgL+AQIAAAAGMCw1NzMyAQgAAAAFAAAAATEBAAAACy0xOTU0NjExNDk0AwAAAAI1MAIAAAAENDA0NwQAAAABMAcAAAAIMS8xLzIwMjQIAAAACjEyLzMxLzIwMjMJAAAAATCdtUqs60feCFKyT7brR94IL0NJUS5IWVEuSVFfVE9UQUxfQVNTRVRTLjIwMDAuMDEvMDEvMjAyNC4uLlVTRC5IAQAAAE4C/gECAAAACjczMyw4MTAxMDMBCAAAAAUAAAABMQEAAAALLTE5NTQ2MTE0OTQDAAAAAzE2MAIAAAAEMTAwNwQAAAABMAcAAAAIMS8xLzIwMjQIAAAACjEyLzMxLzIwMjMJAAAAATCdtUqs60feCFKyT7brR94ILUNJUS5IWVEuSVFfQ0FTSF9FUVVJVi4yMDAwLjAxLzAxLzIwMjQuLi5VU0QuSAEAAABOAv4BAgAAAAoxMDYsODM5ODM2AQgAAAAFAAAAATEBAAAACy0xOTU0NjExNDk0AwAAAAMxNjACAAAABDEwOTYEAAAAATAHAAAACDEvMS8yMDI0CAAAAAoxMi8zMS8yMDIzCQAAAAEwnbVKrOtH3gjl2U+260feCCtDSVEuSFlRLklRX05FVF9ERUJULjIwMDAuMDEvMDEvMjAyNC4uLlVTRC5IAQAAAE4C/gECAAAACTk2LDAyODUxOAEIAAAABQAAAAExAQAAAAstMTk1NDYxMTQ5NAMAAAADMTYwAgAAAAQ0MzY0BAAAAAEwBwAAAAgxLzEvMjAyNAgAAAAKMTIvMzEvMjAyMwkAAAABMJ21</t>
  </si>
  <si>
    <t>SqzrR94I5dlPtutH3ggqQ0lRLlNBTlQuSVFfRUJJVERBLjIwMDAuMDEvMDEvMjAyNC4uLlVTRC5IAQAAAIiGDAMCAAAACDAsMTE0NjgxAQgAAAAFAAAAATEBAAAACjE2NDcyOTc3NDEDAAAAAzE2MAIAAAAENDA1MQQAAAABMAcAAAAIMS8xLzIwMjQIAAAACTkvMzAvMjAxMwkAAAABMJ21SqzrR94I5dlPtutH3ggxQ0lRLlNBTlQuSVFfRUJJVERBX01BUkdJTi4yMDAwLjAxLzAxLzIwMjQuLi5VU0QuSAEAAACIhgwDAgAAAAYyLDExNTYBCAAAAAUAAAABMQEAAAAKMTY0NzI5Nzc0MQMAAAADMTYwAgAAAAQ0MDQ3BAAAAAEwBwAAAAgxLzEvMjAyNAgAAAAJOS8zMC8yMDEzCQAAAAEwnbVKrOtH3gjl2U+260feCDBDSVEuU0FOVC5JUV9UT1RBTF9BU1NFVFMuMjAwMC4wMS8wMS8yMDI0Li4uVVNELkgBAAAAiIYMAwIAAAAIMSwxOTI3MTEBCAAAAAUAAAABMQEAAAAKMTY0NzI5Nzc0MQMAAAADMTYwAgAAAAQxMDA3BAAAAAEwBwAAAAgxLzEvMjAyNAgAAAAJOS8zMC8yMDEzCQAAAAEwnbVKrOtH3gifAFC260feCC5DSVEuU0FOVC5JUV9DQVNIX0VRVUlWLjIwMDAuMDEvMDEvMjAyNC4uLlVTRC5IAQAAAIiGDAMCAAAACDAsMTkwNDkyAQgAAAAFAAAAATEBAAAACjE2NDcyOTc3NDEDAAAAAzE2MAIAAAAEMTA5NgQAAAABMAcAAAAIMS8xLzIwMjQIAAAACTkvMzAvMjAxMwkAAAABMJ21SqzrR94InwBQtutH3ggsQ0lR</t>
  </si>
  <si>
    <t>LlNBTlQuSVFfTkVUX0RFQlQuMjAwMC4wMS8wMS8yMDI0Li4uVVNELkgBAAAAiIYMAwIAAAAJLTAsMDgzOTE4AQgAAAAFAAAAATEBAAAACjE2NDcyOTc3NDEDAAAAAzE2MAIAAAAENDM2NAQAAAABMAcAAAAIMS8xLzIwMjQIAAAACTkvMzAvMjAxMwkAAAABMJ21SqzrR94InwBQtutH3ggoQ0lRLk1TQ0kuSVFfTEFTVFNBTEVQUklDRS4xNC8wMi8yMDI0LlVTRAEAAADesXcAAgAAAAU1NzIsOACdtUqs60feCFdEPLbrR94IKUNJUS5DQksuSVFfRUJJVERBLjIwMDAuMDEvMDEvMjAyNC4uLlVTRC5IAQAAAPe3CgADAAAAAk5BAJ21SqzrR94InwBQtutH3ggoQ0lRLjUyNTguSVFfTEFTVFNBTEVQUklDRS4wNi8wMi8yMDI0LlVTRAEAAAAibogIAgAAAAs0LDQ3NzYxMjI2OQCdtUqs60feCLqXPLbrR94IKENJUS41MjU4LklRX0xBU1RTQUxFUFJJQ0UuMDUvMDIvMjAyNC5VU0QBAAAAIm6ICAIAAAALNCw1NDkxODA3MDkAnbVKrOtH3gjWbjy260feCChDSVEuNTI1OC5JUV9MQVNUU0FMRVBSSUNFLjA0LzAyLzIwMjQuVVNEAQAAACJuiAgCAAAACzQsNDYyNTcwNDY2AJ21SqzrR94Iupc8tutH3ggwQ0lRLkNCSy5JUV9FQklUREFfTUFSR0lOLjIwMDAuMDEvMDEvMjAyNC4uLlVTRC5IAQAAAPe3CgADAAAAAk5BAJ21SqzrR94Ivk5QtutH3ggvQ0lRLkNCSy5JUV9UT1RBTF9BU1NFVFMuMjAwMC4wMS8wMS8yMDI0Li4u</t>
  </si>
  <si>
    <t>VVNELkgBAAAA97cKAAIAAAALMjE5Niw2MDk0MjkBCAAAAAUAAAABMQEAAAALLTE5MjcyMTcyNTMDAAAAAzE2MAIAAAAEMTAwNwQAAAABMAcAAAAIMS8xLzIwMjQIAAAACjEyLzMxLzIwMjMJAAAAATCdtUqs60feCL5OULbrR94ILUNJUS5DQksuSVFfQ0FTSF9FUVVJVi4yMDAwLjAxLzAxLzIwMjQuLi5VU0QuSAEAAAD3twoAAgAAAAoxNTUsOTQwNzM1AQgAAAAFAAAAATEBAAAACy0xOTI3MjE3MjUzAwAAAAMxNjACAAAABDEwOTYEAAAAATAHAAAACDEvMS8yMDI0CAAAAAoxMi8zMS8yMDIzCQAAAAEwnbVKrOtH3giuJ1C260feCCtDSVEuQ0JLLklRX05FVF9ERUJULjIwMDAuMDEvMDEvMjAyNC4uLlVTRC5IAQAAAPe3CgACAAAACS00LDkyODQ2NAEIAAAABQAAAAExAQAAAAstMTkyNzIxNzI1MwMAAAADMTYwAgAAAAQ0MzY0BAAAAAEwBwAAAAgxLzEvMjAyNAgAAAAKMTIvMzEvMjAyMwkAAAABMJ21SqzrR94IridQtutH3ggpQ0lRLkRBWS5JUV9FQklUREEuMjAwMC4wMS8wMS8yMDI0Li4uVVNELkgBAAAA4uu0DgIAAAAFMjEyLDkBCAAAAAUAAAABMQEAAAALLTE5NTczNjAzMDMDAAAAAzE2MAIAAAAENDA1MQQAAAABMAcAAAAIMS8xLzIwMjQIAAAACjEyLzMxLzIwMjMJAAAAATCdtUqs60feCL5OULbrR94IMENJUS5EQVkuSVFfRUJJVERBX01BUkdJTi4yMDAwLjAxLzAxLzIwMjQuLi5VU0QuSAEAAADi67QO</t>
  </si>
  <si>
    <t>AgAAAAcxNCwwNjQ4AQgAAAAFAAAAATEBAAAACy0xOTU3MzYwMzAzAwAAAAMxNjACAAAABDQwNDcEAAAAATAHAAAACDEvMS8yMDI0CAAAAAoxMi8zMS8yMDIzCQAAAAEwnbVKrOtH3gi+TlC260feCC9DSVEuREFZLklRX1RPVEFMX0FTU0VUUy4yMDAwLjAxLzAxLzIwMjQuLi5VU0QuSAEAAADi67QOAgAAAAY5MDEwLDkBCAAAAAUAAAABMQEAAAALLTE5NTczNjAzMDMDAAAAAzE2MAIAAAAEMTAwNwQAAAABMAcAAAAIMS8xLzIwMjQIAAAACjEyLzMxLzIwMjMJAAAAATCdtUqs60feCM91ULbrR94ILUNJUS5EQVkuSVFfQ0FTSF9FUVVJVi4yMDAwLjAxLzAxLzIwMjQuLi5VU0QuSAEAAADi67QOAgAAAAU1NzAsMwEIAAAABQAAAAExAQAAAAstMTk1NzM2MDMwMwMAAAADMTYwAgAAAAQxMDk2BAAAAAEwBwAAAAgxLzEvMjAyNAgAAAAKMTIvMzEvMjAyMwkAAAABMJ21SqzrR94Iz3VQtutH3ggrQ0lRLkRBWS5JUV9ORVRfREVCVC4yMDAwLjAxLzAxLzIwMjQuLi5VU0QuSAEAAADi67QOAgAAAAU2NzMsMwEIAAAABQAAAAExAQAAAAstMTk1NzM2MDMwMwMAAAADMTYwAgAAAAQ0MzY0BAAAAAEwBwAAAAgxLzEvMjAyNAgAAAAKMTIvMzEvMjAyMwkAAAABMJ21SqzrR94Iz3VQtutH3ggoQ0lRLjUyNTguSVFfTEFTVFNBTEVQUklDRS4wMy8wMi8yMDI0LlVTRAEAAAAibogIAgAAAAs0LDQ2MjU3MDQ2NgCdtUqs60feCE2/</t>
  </si>
  <si>
    <t>PLbrR94IKENJUS41MjU4LklRX0xBU1RTQUxFUFJJQ0UuMDgvMDIvMjAyNC5VU0QBAAAAIm6ICAIAAAALNCwzNTgxODc4NTUAnbVKrOtH3ghNvzy260feCChDSVEuNTI1OC5JUV9MQVNUU0FMRVBSSUNFLjA5LzAyLzIwMjQuVVNEAQAAACJuiAgCAAAACzQsNDgwMTYwNTM4AJ21SqzrR94ITb88tutH3ggsQ0lRLlNJTUlOTi5JUV9FQklUREEuMjAwMC4wMS8wMS8yMDI0Li4uVVNELkgBAAAAoINTAAIAAAAJMzgsOTU3NDE2AQgAAAAFAAAAATEBAAAACy0xOTUzNTk2NzY3AwAAAAMxNjACAAAABDQwNTEEAAAAATAHAAAACDEvMS8yMDI0CAAAAAoxMi8zMS8yMDIzCQAAAAEwnbVKrOtH3gjPdVC260feCChDSVEuNTI1OC5JUV9MQVNUU0FMRVBSSUNFLjEwLzAyLzIwMjQuVVNEAQAAACJuiAgCAAAACzQsNDgwMTYwNTM4AJ21SqzrR94Iupc8tutH3ggzQ0lRLlNJTUlOTi5JUV9FQklUREFfTUFSR0lOLjIwMDAuMDEvMDEvMjAyNC4uLlVTRC5IAQAAAKCDUwACAAAABzIxLDE2NzIBCAAAAAUAAAABMQEAAAALLTE5NTM1OTY3NjcDAAAAAjc1AgAAAAQ0MDQ3BAAAAAEwBwAAAAgxLzEvMjAyNAgAAAAKMTIvMzEvMjAyMwkAAAABMJ21SqzrR94Iz3VQtutH3ggoQ0lRLjUyNTguSVFfTEFTVFNBTEVQUklDRS4xMS8wMi8yMDI0LlVTRAEAAAAibogIAgAAAAs0LDQ4MDE2MDUzOACdtUqs60feCLqXPLbrR94IMkNJUS5TSU1J</t>
  </si>
  <si>
    <t>Tk4uSVFfVE9UQUxfQVNTRVRTLjIwMDAuMDEvMDEvMjAyNC4uLlVTRC5IAQAAAKCDUwACAAAACjI0OCwwODM3MDQBCAAAAAUAAAABMQEAAAALLTE5NTM1OTY3NjcDAAAAAzE2MAIAAAAEMTAwNwQAAAABMAcAAAAIMS8xLzIwMjQIAAAACjEyLzMxLzIwMjMJAAAAATCdtUqs60feCN+cULbrR94IKENJUS41MjU4LklRX0xBU1RTQUxFUFJJQ0UuMzEvMDEvMjAyNC5VU0QBAAAAIm6ICAIAAAALNCw2MDAxMDUwNzkAnbVKrOtH3gi6lzy260feCChDSVEuNTI1OC5JUV9MQVNUU0FMRVBSSUNFLjE0LzAyLzIwMjQuVVNEAQAAACJuiAgCAAAACzQsNTk2MjM1NjI4AJ21SqzrR94ITb88tutH3ggwQ0lRLlNJTUlOTi5JUV9DQVNIX0VRVUlWLjIwMDAuMDEvMDEvMjAyNC4uLlVTRC5IAQAAAKCDUwACAAAACTEzLDI4OTI4MQEIAAAABQAAAAExAQAAAAstMTk1MzU5Njc2NwMAAAADMTYwAgAAAAQxMDk2BAAAAAEwBwAAAAgxLzEvMjAyNAgAAAAKMTIvMzEvMjAyMwkAAAABMJ21SqzrR94I35xQtutH3gguQ0lRLlNJTUlOTi5JUV9ORVRfREVCVC4yMDAwLjAxLzAxLzIwMjQuLi5VU0QuSAEAAACgg1MAAgAAAAk2NCwwMjM0OTYBCAAAAAUAAAABMQEAAAALLTE5NTM1OTY3NjcDAAAAAzE2MAIAAAAENDM2NAQAAAABMAcAAAAIMS8xLzIwMjQIAAAACjEyLzMxLzIwMjMJAAAAATCdtUqs60feCO3DULbrR94IKUNJUS5BU1kuSVFf</t>
  </si>
  <si>
    <t>RUJJVERBLjIwMDAuMDEvMDEvMjAyNC4uLlVTRC5IAQAAAJhkDQACAAAACTM3LDEwMDY3OAEIAAAABQAAAAExAQAAAAstMTk0MDI5OTUwMQMAAAADMTYwAgAAAAQ0MDUxBAAAAAEwBwAAAAgxLzEvMjAyNAgAAAAKMTIvMzEvMjAyMwkAAAABML93S6zrR94I7cNQtutH3ggwQ0lRLkFTWS5JUV9FQklUREFfTUFSR0lOLjIwMDAuMDEvMDEvMjAyNC4uLlVTRC5IAQAAAJhkDQACAAAABjM2LDk4OAEIAAAABQAAAAExAQAAAAstMTk0MDI5OTUwMQMAAAACNTUCAAAABDQwNDcEAAAAATAHAAAACDEvMS8yMDI0CAAAAAoxMi8zMS8yMDIzCQAAAAEwv3dLrOtH3gjI91C260feCCpDSVEuRU1JTCBCLklRX0xBU1RTQUxFUFJJQ0UuMDYvMDIvMjAyNC5VU0QBAAAA1E+YJQIAAAALMyw0MDg3MDQ2NDEAnbVKrOtH3ghNvzy260feCCpDSVEuRU1JTCBCLklRX0xBU1RTQUxFUFJJQ0UuMDUvMDIvMjAyNC5VU0QBAAAA1E+YJQIAAAAMMywzNDA1NzU5NTA1AJ21SqzrR94ITb88tutH3ggqQ0lRLkVNSUwgQi5JUV9MQVNUU0FMRVBSSUNFLjA0LzAyLzIwMjQuVVNEAQAAANRPmCUCAAAADDMsNDQyMjQ4ODk1NQCdtUqs60feCE2/PLbrR94IL0NJUS5BU1kuSVFfVE9UQUxfQVNTRVRTLjIwMDAuMDEvMDEvMjAyNC4uLlVTRC5IAQAAAJhkDQACAAAACTk4LDgxMDMxMgEIAAAABQAAAAExAQAAAAstMTk0MDI5OTUwMQMAAAADMTYwAgAA</t>
  </si>
  <si>
    <t>AAQxMDA3BAAAAAEwBwAAAAgxLzEvMjAyNAgAAAAKMTIvMzEvMjAyMwkAAAABML93S6zrR94IyPdQtutH3ggtQ0lRLkFTWS5JUV9DQVNIX0VRVUlWLjIwMDAuMDEvMDEvMjAyNC4uLlVTRC5IAQAAAJhkDQACAAAACTI1LDQzMzA3NwEIAAAABQAAAAExAQAAAAstMTk0MDI5OTUwMQMAAAADMTYwAgAAAAQxMDk2BAAAAAEwBwAAAAgxLzEvMjAyNAgAAAAKMTIvMzEvMjAyMwkAAAABML93S6zrR94I7cNQtutH3ggrQ0lRLkFTWS5JUV9ORVRfREVCVC4yMDAwLjAxLzAxLzIwMjQuLi5VU0QuSAEAAACYZA0AAgAAAAktNSw4MjEwNjMBCAAAAAUAAAABMQEAAAALLTE5NDAyOTk1MDEDAAAAAzE2MAIAAAAENDM2NAQAAAABMAcAAAAIMS8xLzIwMjQIAAAACjEyLzMxLzIwMjMJAAAAATC/d0us60feCO3DULbrR94IKkNJUS5FTUlMIEIuSVFfTEFTVFNBTEVQUklDRS4wMy8wMi8yMDI0LlVTRAEAAADUT5glAgAAAAwzLDQ0MjI0ODg5NTUAnbVKrOtH3ggB+Dy260feCCpDSVEuRU1JTCBCLklRX0xBU1RTQUxFUFJJQ0UuMDgvMDIvMjAyNC5VU0QBAAAA1E+YJQIAAAALMywzMTU4OTMxMTgAnbVKrOtH3ggB+Dy260feCCpDSVEuRU1JTCBCLklRX0xBU1RTQUxFUFJJQ0UuMDkvMDIvMjAyNC5VU0QBAAAA1E+YJQIAAAAMMywyNjgzMDE3NjE4AJ21SqzrR94ITb88tutH3ggtQ0lRLkE0ODEwNzAuSVFfRUJJVERBLjIwMDAuMDEv</t>
  </si>
  <si>
    <t>MDEvMjAyNC4uLlVTRC5IAQAAAGSPPG8CAAAACTEyLDk2Mjc2MwEIAAAABQAAAAExAQAAAAstMTk1MTkyMDM0OAMAAAADMTYwAgAAAAQ0MDUxBAAAAAEwBwAAAAgxLzEvMjAyNAgAAAAKMTIvMzEvMjAyMwkAAAABMJ21SqzrR94IZCZRtutH3gg0Q0lRLkE0ODEwNzAuSVFfRUJJVERBX01BUkdJTi4yMDAwLjAxLzAxLzIwMjQuLi5VU0QuSAEAAABkjzxvAgAAAAc0MCwxMzE1AQgAAAAFAAAAATEBAAAACy0xOTUxOTIwMzQ4AwAAAAI4NQIAAAAENDA0NwQAAAABMAcAAAAIMS8xLzIwMjQIAAAACjEyLzMxLzIwMjMJAAAAATCdtUqs60feCGQmUbbrR94IM0NJUS5BNDgxMDcwLklRX1RPVEFMX0FTU0VUUy4yMDAwLjAxLzAxLzIwMjQuLi5VU0QuSAEAAABkjzxvAgAAAAkyMCwwMTI0MDUBCAAAAAUAAAABMQEAAAALLTE5NTE5MjAzNDgDAAAAAzE2MAIAAAAEMTAwNwQAAAABMAcAAAAIMS8xLzIwMjQIAAAACjEyLzMxLzIwMjMJAAAAATCdtUqs60feCGQmUbbrR94IMUNJUS5BNDgxMDcwLklRX0NBU0hfRVFVSVYuMjAwMC4wMS8wMS8yMDI0Li4uVVNELkgBAAAAZI88bwIAAAAJMTEsNDA5ODA1AQgAAAAFAAAAATEBAAAACy0xOTUxOTIwMzQ4AwAAAAMxNjACAAAABDEwOTYEAAAAATAHAAAACDEvMS8yMDI0CAAAAAoxMi8zMS8yMDIzCQAAAAEwnbVKrOtH3ghkJlG260feCC9DSVEuQTQ4MTA3MC5JUV9ORVRfREVCVC4y</t>
  </si>
  <si>
    <t>MDAwLjAxLzAxLzIwMjQuLi5VU0QuSAEAAABkjzxvAgAAAAotMTEsMTQzMjY4AQgAAAAFAAAAATEBAAAACy0xOTUxOTIwMzQ4AwAAAAMxNjACAAAABDQzNjQEAAAAATAHAAAACDEvMS8yMDI0CAAAAAoxMi8zMS8yMDIzCQAAAAEwnbVKrOtH3giVUFG260feCCtDSVEuRU1CTEEuSVFfRUJJVERBLjIwMDAuMDEvMDEvMjAyNC4uLlVTRC5IAQAAAN8JEAACAAAABzEwOCwyODgBCAAAAAUAAAABMQEAAAALLTE5NjEwNzgzOTMDAAAAAzE2MAIAAAAENDA1MQQAAAABMAcAAAAIMS8xLzIwMjQIAAAACjEyLzMxLzIwMjMJAAAAATCdtUqs60feCJVQUbbrR94IMkNJUS5FTUJMQS5JUV9FQklUREFfTUFSR0lOLjIwMDAuMDEvMDEvMjAyNC4uLlVTRC5IAQAAAN8JEAACAAAABzEzLDc4MjYBCAAAAAUAAAABMQEAAAALLTE5NjEwNzgzOTMDAAAAAzE2MAIAAAAENDA0NwQAAAABMAcAAAAIMS8xLzIwMjQIAAAACjEyLzMxLzIwMjMJAAAAATCdtUqs60feCJVQUbbrR94IMUNJUS5FTUJMQS5JUV9UT1RBTF9BU1NFVFMuMjAwMC4wMS8wMS8yMDI0Li4uVVNELkgBAAAA3wkQAAIAAAAIMTM4NSw2ODIBCAAAAAUAAAABMQEAAAALLTE5NjEwNzgzOTMDAAAAAzE2MAIAAAAEMTAwNwQAAAABMAcAAAAIMS8xLzIwMjQIAAAACjEyLzMxLzIwMjMJAAAAATCdtUqs60feCJVQUbbrR94IL0NJUS5FTUJMQS5JUV9DQVNIX0VRVUlWLjIwMDAu</t>
  </si>
  <si>
    <t>MDEvMDEvMjAyNC4uLlVTRC5IAQAAAN8JEAACAAAABjcyLDY1MwEIAAAABQAAAAExAQAAAAstMTk2MTA3ODM5MwMAAAADMTYwAgAAAAQxMDk2BAAAAAEwBwAAAAgxLzEvMjAyNAgAAAAKMTIvMzEvMjAyMwkAAAABMJ21SqzrR94IlVBRtutH3ggtQ0lRLkVNQkxBLklRX05FVF9ERUJULjIwMDAuMDEvMDEvMjAyNC4uLlVTRC5IAQAAAN8JEAACAAAABjM5NSwwOAEIAAAABQAAAAExAQAAAAstMTk2MTA3ODM5MwMAAAADMTYwAgAAAAQ0MzY0BAAAAAEwBwAAAAgxLzEvMjAyNAgAAAAKMTIvMzEvMjAyMwkAAAABMJ21SqzrR94IMXtRtutH3ggpQ0lRLkZERS5JUV9FQklUREEuMjAwMC4wMS8wMS8yMDI0Li4uVVNELkgBAAAAMP7YAQIAAAAJMzAsOTAwNDU5AQgAAAAFAAAAATEBAAAACy0xOTUxNzQ0NTQ0AwAAAAMxNjACAAAABDQwNTEEAAAAATAHAAAACDEvMS8yMDI0CAAAAAoxMi8zMS8yMDIzCQAAAAEwnbVKrOtH3ggxe1G260feCDBDSVEuRkRFLklRX0VCSVREQV9NQVJHSU4uMjAwMC4wMS8wMS8yMDI0Li4uVVNELkgBAAAAMP7YAQIAAAAHNzksMjQ3NwEIAAAABQAAAAExAQAAAAstMTk1MTc0NDU0NAMAAAACNTACAAAABDQwNDcEAAAAATAHAAAACDEvMS8yMDI0CAAAAAoxMi8zMS8yMDIzCQAAAAEwnbVKrOtH3ghcplG260feCC9DSVEuRkRFLklRX1RPVEFMX0FTU0VUUy4yMDAwLjAxLzAxLzIwMjQuLi5VU0Qu</t>
  </si>
  <si>
    <t>SAEAAAAw/tgBAgAAAAoxODUsMTY1OTE2AQgAAAAFAAAAATEBAAAACy0xOTUxNzQ0NTQ0AwAAAAMxNjACAAAABDEwMDcEAAAAATAHAAAACDEvMS8yMDI0CAAAAAoxMi8zMS8yMDIzCQAAAAEwnbVKrOtH3ghcplG260feCC1DSVEuRkRFLklRX0NBU0hfRVFVSVYuMjAwMC4wMS8wMS8yMDI0Li4uVVNELkgBAAAAMP7YAQIAAAAJNDQsMzc1MjU2AQgAAAAFAAAAATEBAAAACy0xOTUxNzQ0NTQ0AwAAAAMxNjACAAAABDEwOTYEAAAAATAHAAAACDEvMS8yMDI0CAAAAAoxMi8zMS8yMDIzCQAAAAEwnbVKrOtH3ggxe1G260feCCtDSVEuRkRFLklRX05FVF9ERUJULjIwMDAuMDEvMDEvMjAyNC4uLlVTRC5IAQAAADD+2AECAAAACTI1LDA0NTU1MgEIAAAABQAAAAExAQAAAAstMTk1MTc0NDU0NAMAAAADMTYwAgAAAAQ0MzY0BAAAAAEwBwAAAAgxLzEvMjAyNAgAAAAKMTIvMzEvMjAyMwkAAAABMJ21SqzrR94IMXtRtutH3ggrQ0lRLkVMSVNBLklRX0VCSVREQS4yMDAwLjAxLzAxLzIwMjQuLi5VU0QuSAEAAACTpRQAAgAAAAo4MjQsMjUxMTMzAQgAAAAFAAAAATEBAAAACy0xOTU3ODMyODAzAwAAAAMxNjACAAAABDQwNTEEAAAAATAHAAAACDEvMS8yMDI0CAAAAAoxMi8zMS8yMDIzCQAAAAEwnbVKrOtH3gghzlG260feCDJDSVEuRUxJU0EuSVFfRUJJVERBX01BUkdJTi4yMDAwLjAxLzAxLzIwMjQuLi5VU0QuSAEAAACT</t>
  </si>
  <si>
    <t>pRQAAgAAAAczNCwxOTg1AQgAAAAFAAAAATEBAAAACy0xOTU3ODMyODAzAwAAAAI1MAIAAAAENDA0NwQAAAABMAcAAAAIMS8xLzIwMjQIAAAACjEyLzMxLzIwMjMJAAAAATCdtUqs60feCCHOUbbrR94IMUNJUS5FTElTQS5JUV9UT1RBTF9BU1NFVFMuMjAwMC4wMS8wMS8yMDI0Li4uVVNELkgBAAAAk6UUAAIAAAALMzQ1Myw3NDE1NzEBCAAAAAUAAAABMQEAAAALLTE5NTc4MzI4MDMDAAAAAzE2MAIAAAAEMTAwNwQAAAABMAcAAAAIMS8xLzIwMjQIAAAACjEyLzMxLzIwMjMJAAAAATCdtUqs60feCCHOUbbrR94IL0NJUS5FTElTQS5JUV9DQVNIX0VRVUlWLjIwMDAuMDEvMDEvMjAyNC4uLlVTRC5IAQAAAJOlFAACAAAACTcwLDA3ODQ3OQEIAAAABQAAAAExAQAAAAstMTk1NzgzMjgwMwMAAAADMTYwAgAAAAQxMDk2BAAAAAEwBwAAAAgxLzEvMjAyNAgAAAAKMTIvMzEvMjAyMwkAAAABMJ21SqzrR94IIc5RtutH3ggtQ0lRLkVMSVNBLklRX05FVF9ERUJULjIwMDAuMDEvMDEvMjAyNC4uLlVTRC5IAQAAAJOlFAACAAAACzE0NDEsNDcyMzExAQgAAAAFAAAAATEBAAAACy0xOTU3ODMyODAzAwAAAAMxNjACAAAABDQzNjQEAAAAATAHAAAACDEvMS8yMDI0CAAAAAoxMi8zMS8yMDIzCQAAAAEwnbVKrOtH3gh59VG260feCClDSVEuRUxLLklRX0VCSVREQS4yMDAwLjAxLzAxLzIwMjQuLi5VU0QuSAEAAABwKQsAAgAA</t>
  </si>
  <si>
    <t>AAo1NDUsOTM5OTE0AQgAAAAFAAAAATEBAAAACy0xOTU0NDIxNzMyAwAAAAMxNjACAAAABDQwNTEEAAAAATAHAAAACDEvMS8yMDI0CAAAAAoxMi8zMS8yMDIzCQAAAAEwnbVKrOtH3gh59VG260feCDBDSVEuRUxLLklRX0VCSVREQV9NQVJHSU4uMjAwMC4wMS8wMS8yMDI0Li4uVVNELkgBAAAAcCkLAAIAAAAHMjYsMTk0NwEIAAAABQAAAAExAQAAAAstMTk1NDQyMTczMgMAAAADMTE3AgAAAAQ0MDQ3BAAAAAEwBwAAAAgxLzEvMjAyNAgAAAAKMTIvMzEvMjAyMwkAAAABMJ21SqzrR94IefVRtutH3ggvQ0lRLkVMSy5JUV9UT1RBTF9BU1NFVFMuMjAwMC4wMS8wMS8yMDI0Li4uVVNELkgBAAAAcCkLAAIAAAALNDk4MCwxMjM4NTcBCAAAAAUAAAABMQEAAAALLTE5NTQ0MjE3MzIDAAAAAzE2MAIAAAAEMTAwNwQAAAABMAcAAAAIMS8xLzIwMjQIAAAACjEyLzMxLzIwMjMJAAAAATCdtUqs60feCNwfUrbrR94ILUNJUS5FTEsuSVFfQ0FTSF9FUVVJVi4yMDAwLjAxLzAxLzIwMjQuLi5VU0QuSAEAAABwKQsAAgAAAAo2MjcsODkwMDcxAQgAAAAFAAAAATEBAAAACy0xOTU0NDIxNzMyAwAAAAMxNjACAAAABDEwOTYEAAAAATAHAAAACDEvMS8yMDI0CAAAAAoxMi8zMS8yMDIzCQAAAAEwnbVKrOtH3gjcH1K260feCCtDSVEuRUxLLklRX05FVF9ERUJULjIwMDAuMDEvMDEvMjAyNC4uLlVTRC5IAQAAAHApCwACAAAACjk4</t>
  </si>
  <si>
    <t>NiwyNjE3NTYBCAAAAAUAAAABMQEAAAALLTE5NTQ0MjE3MzIDAAAAAzE2MAIAAAAENDM2NAQAAAABMAcAAAAIMS8xLzIwMjQIAAAACjEyLzMxLzIwMjMJAAAAATCdtUqs60feCNwfUrbrR94IKUNJUS5BVFQuSVFfRUJJVERBLjIwMDAuMDEvMDEvMjAyNC4uLlVTRC5IAQAAAD14DQADAAAAAACdtUqs60feCNwfUrbrR94IMENJUS5BVFQuSVFfRUJJVERBX01BUkdJTi4yMDAwLjAxLzAxLzIwMjQuLi5VU0QuSAEAAAA9eA0AAwAAAAAAnbVKrOtH3ghqdVK260feCC9DSVEuQVRULklRX1RPVEFMX0FTU0VUUy4yMDAwLjAxLzAxLzIwMjQuLi5VU0QuSAEAAAA9eA0AAgAAAAsxNjgzLDYwOTMxNAEIAAAABQAAAAExAQAAAAstMTk1NTg0MzYxNgMAAAADMTYwAgAAAAQxMDA3BAAAAAEwBwAAAAgxLzEvMjAyNAgAAAAKMTIvMzEvMjAyMwkAAAABMJ21SqzrR94IanVStutH3ggtQ0lRLkFUVC5JUV9DQVNIX0VRVUlWLjIwMDAuMDEvMDEvMjAyNC4uLlVTRC5IAQAAAD14DQACAAAACTQzLDY3OTYyNQEIAAAABQAAAAExAQAAAAstMTk1NTg0MzYxNgMAAAADMTYwAgAAAAQxMDk2BAAAAAEwBwAAAAgxLzEvMjAyNAgAAAAKMTIvMzEvMjAyMwkAAAABMJ21SqzrR94IQEpStutH3ggrQ0lRLkFUVC5JUV9ORVRfREVCVC4yMDAwLjAxLzAxLzIwMjQuLi5VU0QuSAEAAAA9eA0AAgAAAAotNDMsNjc5NjI1AQgAAAAFAAAAATEBAAAA</t>
  </si>
  <si>
    <t>Cy0xOTU1ODQzNjE2AwAAAAMxNjACAAAABDQzNjQEAAAAATAHAAAACDEvMS8yMDI0CAAAAAoxMi8zMS8yMDIzCQAAAAEwnbVKrOtH3ghASlK260feCClDSVEuTUVULklRX0VCSVREQS4yMDAwLjAxLzAxLzIwMjQuLi5VU0QuSAEAAAAw1QIAAgAAAAQyOTI1AQgAAAAFAAAAATEBAAAACy0xOTU4NzU3MzE4AwAAAAMxNjACAAAABDQwNTEEAAAAATAHAAAACDEvMS8yMDI0CAAAAAoxMi8zMS8yMDIzCQAAAAEwnbVKrOtH3gjAoFK260feCDBDSVEuTUVULklRX0VCSVREQV9NQVJHSU4uMjAwMC4wMS8wMS8yMDI0Li4uVVNELkgBAAAAMNUCAAIAAAAGNCwzNzIxAQgAAAAFAAAAATEBAAAACy0xOTU4NzU3MzE4AwAAAAMxNjACAAAABDQwNDcEAAAAATAHAAAACDEvMS8yMDI0CAAAAAoxMi8zMS8yMDIzCQAAAAEwnbVKrOtH3gjAoFK260feCC9DSVEuTUVULklRX1RPVEFMX0FTU0VUUy4yMDAwLjAxLzAxLzIwMjQuLi5VU0QuSAEAAAAw1QIAAgAAAAY2ODc1ODQBCAAAAAUAAAABMQEAAAALLTE5NTg3NTczMTgDAAAAAzE2MAIAAAAEMTAwNwQAAAABMAcAAAAIMS8xLzIwMjQIAAAACjEyLzMxLzIwMjMJAAAAATCdtUqs60feCMCgUrbrR94ILUNJUS5NRVQuSVFfQ0FTSF9FUVVJVi4yMDAwLjAxLzAxLzIwMjQuLi5VU0QuSAEAAAAw1QIAAgAAAAUyMDYzOQEIAAAABQAAAAExAQAAAAstMTk1ODc1NzMxOAMAAAADMTYwAgAA</t>
  </si>
  <si>
    <t>AAQxMDk2BAAAAAEwBwAAAAgxLzEvMjAyNAgAAAAKMTIvMzEvMjAyMwkAAAABMJ21SqzrR94IwKBStutH3ggrQ0lRLk1FVC5JUV9ORVRfREVCVC4yMDAwLjAxLzAxLzIwMjQuLi5VU0QuSAEAAAAw1QIAAgAAAAU0NTc2NQEIAAAABQAAAAExAQAAAAstMTk1ODc1NzMxOAMAAAADMTYwAgAAAAQ0MzY0BAAAAAEwBwAAAAgxLzEvMjAyNAgAAAAKMTIvMzEvMjAyMwkAAAABMJ21SqzrR94IL8tStutH3ggqQ0lRLlROT00uSVFfRUJJVERBLjIwMDAuMDEvMDEvMjAyNC4uLlVTRC5IAQAAAJIQUgECAAAACTE3LDYzNjc4NgEIAAAABQAAAAExAQAAAAstMTk1Njg5MDQzNwMAAAADMTYwAgAAAAQ0MDUxBAAAAAEwBwAAAAgxLzEvMjAyNAgAAAAKMTIvMzEvMjAyMwkAAAABMJ21SqzrR94IL8tStutH3ggxQ0lRLlROT00uSVFfRUJJVERBX01BUkdJTi4yMDAwLjAxLzAxLzIwMjQuLi5VU0QuSAEAAACSEFIBAgAAAAcxMywxMDc5AQgAAAAFAAAAATEBAAAACy0xOTU2ODkwNDM3AwAAAAI1MAIAAAAENDA0NwQAAAABMAcAAAAIMS8xLzIwMjQIAAAACjEyLzMxLzIwMjMJAAAAATCdtUqs60feCC/LUrbrR94IMENJUS5UTk9NLklRX1RPVEFMX0FTU0VUUy4yMDAwLjAxLzAxLzIwMjQuLi5VU0QuSAEAAACSEFIBAgAAAAoxOTQsMTgyNjAyAQgAAAAFAAAAATEBAAAACy0xOTU2ODkwNDM3AwAAAAMxNjACAAAABDEwMDcEAAAAATAH</t>
  </si>
  <si>
    <t>AAAACDEvMS8yMDI0CAAAAAoxMi8zMS8yMDIzCQAAAAEwnbVKrOtH3ghoBVO260feCC5DSVEuVE5PTS5JUV9DQVNIX0VRVUlWLjIwMDAuMDEvMDEvMjAyNC4uLlVTRC5IAQAAAJIQUgECAAAACTExLDMzNTI0OQEIAAAABQAAAAExAQAAAAstMTk1Njg5MDQzNwMAAAADMTYwAgAAAAQxMDk2BAAAAAEwBwAAAAgxLzEvMjAyNAgAAAAKMTIvMzEvMjAyMwkAAAABMJ21SqzrR94IaAVTtutH3ggsQ0lRLlROT00uSVFfTkVUX0RFQlQuMjAwMC4wMS8wMS8yMDI0Li4uVVNELkgBAAAAkhBSAQIAAAAJODMsMTIxNDc3AQgAAAAFAAAAATEBAAAACy0xOTU2ODkwNDM3AwAAAAMxNjACAAAABDQzNjQEAAAAATAHAAAACDEvMS8yMDI0CAAAAAoxMi8zMS8yMDIzCQAAAAEwnbVKrOtH3ghoBVO260feCCpDSVEuQVJQTC5JUV9FQklUREEuMjAwMC4wMS8wMS8yMDI0Li4uVVNELkgBAAAAWRfTAQIAAAAJMTIsNzM3ODAyAQgAAAAFAAAAATEBAAAACy0xOTUxMTg3MDQ2AwAAAAMxNjACAAAABDQwNTEEAAAAATAHAAAACDEvMS8yMDI0CAAAAAoxMi8zMS8yMDIzCQAAAAEwnbVKrOtH3ghoBVO260feCDFDSVEuQVJQTC5JUV9FQklUREFfTUFSR0lOLjIwMDAuMDEvMDEvMjAyNC4uLlVTRC5IAQAAAFkX0wECAAAABzEyLDYxOTQBCAAAAAUAAAABMQEAAAALLTE5NTExODcwNDYDAAAAAzEzNwIAAAAENDA0NwQAAAABMAcAAAAIMS8xLzIw</t>
  </si>
  <si>
    <t>MjQIAAAACjEyLzMxLzIwMjMJAAAAATCdtUqs60feCM9bU7brR94IMENJUS5BUlBMLklRX1RPVEFMX0FTU0VUUy4yMDAwLjAxLzAxLzIwMjQuLi5VU0QuSAEAAABZF9MBAgAAAAk3OCwwNzc0NTcBCAAAAAUAAAABMQEAAAALLTE5NTExODcwNDYDAAAAAzE2MAIAAAAEMTAwNwQAAAABMAcAAAAIMS8xLzIwMjQIAAAACjEyLzMxLzIwMjMJAAAAATCdtUqs60feCM9bU7brR94ILkNJUS5BUlBMLklRX0NBU0hfRVFVSVYuMjAwMC4wMS8wMS8yMDI0Li4uVVNELkgBAAAAWRfTAQIAAAAJMTcsNTEwNzQ5AQgAAAAFAAAAATEBAAAACy0xOTUxMTg3MDQ2AwAAAAMxNjACAAAABDEwOTYEAAAAATAHAAAACDEvMS8yMDI0CAAAAAoxMi8zMS8yMDIzCQAAAAEwnbVKrOtH3giEMFO260feCCxDSVEuQVJQTC5JUV9ORVRfREVCVC4yMDAwLjAxLzAxLzIwMjQuLi5VU0QuSAEAAABZF9MBAgAAAAktOCwwOTQxMjMBCAAAAAUAAAABMQEAAAALLTE5NTExODcwNDYDAAAAAzE2MAIAAAAENDM2NAQAAAABMAcAAAAIMS8xLzIwMjQIAAAACjEyLzMxLzIwMjMJAAAAATCdtUqs60feCIQwU7brR94IKkNJUS5QVUlHLklRX0VCSVREQS4yMDAwLjAxLzAxLzIwMjQuLi5VU0QuSAEAAABHNm4AAgAAAAo4NTYsODk1MTAzAQgAAAAFAAAAATEBAAAACy0xOTU3OTQyNzE4AwAAAAMxNjACAAAABDQwNTEEAAAAATAHAAAACDEvMS8yMDI0CAAAAAox</t>
  </si>
  <si>
    <t>Mi8zMS8yMDIzCQAAAAEwnbVKrOtH3ggBwFO260feCDFDSVEuUFVJRy5JUV9FQklUREFfTUFSR0lOLjIwMDAuMDEvMDEvMjAyNC4uLlVTRC5IAQAAAEc2bgACAAAABzE4LDAxMTYBCAAAAAUAAAABMQEAAAALLTE5NTc5NDI3MTgDAAAAAjUwAgAAAAQ0MDQ3BAAAAAEwBwAAAAgxLzEvMjAyNAgAAAAKMTIvMzEvMjAyMwkAAAABMJ21SqzrR94IAcBTtutH3ggwQ0lRLlBVSUcuSVFfVE9UQUxfQVNTRVRTLjIwMDAuMDEvMDEvMjAyNC4uLlVTRC5IAQAAAEc2bgACAAAACzg1MjMsNTg1NzE2AQgAAAAFAAAAATEBAAAACy0xOTU3OTQyNzE4AwAAAAMxNjACAAAABDEwMDcEAAAAATAHAAAACDEvMS8yMDI0CAAAAAoxMi8zMS8yMDIzCQAAAAEwnbVKrOtH3ggBwFO260feCC5DSVEuUFVJRy5JUV9DQVNIX0VRVUlWLjIwMDAuMDEvMDEvMjAyNC4uLlVTRC5IAQAAAEc2bgACAAAACjk0Miw3NDQ1NTYBCAAAAAUAAAABMQEAAAALLTE5NTc5NDI3MTgDAAAAAzE2MAIAAAAEMTA5NgQAAAABMAcAAAAIMS8xLzIwMjQIAAAACjEyLzMxLzIwMjMJAAAAATCdtUqs60feCAHAU7brR94ILENJUS5QVUlHLklRX05FVF9ERUJULjIwMDAuMDEvMDEvMjAyNC4uLlVTRC5IAQAAAEc2bgACAAAACzE3NzcsMzMwNjA2AQgAAAAFAAAAATEBAAAACy0xOTU3OTQyNzE4AwAAAAMxNjACAAAABDQzNjQEAAAAATAHAAAACDEvMS8yMDI0CAAAAAox</t>
  </si>
  <si>
    <t>Mi8zMS8yMDIzCQAAAAEwnbVKrOtH3gg56lO260feCChDSVEuQVEuSVFfRUJJVERBLjIwMDAuMDEvMDEvMjAyNC4uLlVTRC5IAQAAALMujwACAAAACTk5LDYzNTI2OAEIAAAABQAAAAExAQAAAAstMTk1MzU5MzQ2MQMAAAADMTYwAgAAAAQ0MDUxBAAAAAEwBwAAAAgxLzEvMjAyNAgAAAAKMTIvMzEvMjAyMwkAAAABMK7C5azrR94IOepTtutH3ggvQ0lRLkFRLklRX0VCSVREQV9NQVJHSU4uMjAwMC4wMS8wMS8yMDI0Li4uVVNELkgBAAAAsy6PAAIAAAAGMTEsMTczAQgAAAAFAAAAATEBAAAACy0xOTUzNTkzNDYxAwAAAAMxMzcCAAAABDQwNDcEAAAAATAHAAAACDEvMS8yMDI0CAAAAAoxMi8zMS8yMDIzCQAAAAEwrsLlrOtH3gg56lO260feCC5DSVEuQVEuSVFfVE9UQUxfQVNTRVRTLjIwMDAuMDEvMDEvMjAyNC4uLlVTRC5IAQAAALMujwACAAAACjU5Miw2NDA5MTQBCAAAAAUAAAABMQEAAAALLTE5NTM1OTM0NjEDAAAAAzE2MAIAAAAEMTAwNwQAAAABMAcAAAAIMS8xLzIwMjQIAAAACjEyLzMxLzIwMjMJAAAAATCuwuWs60feCNwTVLbrR94ILENJUS5BUS5JUV9DQVNIX0VRVUlWLjIwMDAuMDEvMDEvMjAyNC4uLlVTRC5IAQAAALMujwACAAAACTQyLDM1OTkwNAEIAAAABQAAAAExAQAAAAstMTk1MzU5MzQ2MQMAAAADMTYwAgAAAAQxMDk2BAAAAAEwBwAAAAgxLzEvMjAyNAgAAAAKMTIvMzEvMjAyMwkAAAAB</t>
  </si>
  <si>
    <t>MK7C5azrR94I3BNUtutH3ggqQ0lRLkFRLklRX05FVF9ERUJULjIwMDAuMDEvMDEvMjAyNC4uLlVTRC5IAQAAALMujwACAAAACTI4LDkzNTk5MQEIAAAABQAAAAExAQAAAAstMTk1MzU5MzQ2MQMAAAADMTYwAgAAAAQ0MzY0BAAAAAEwBwAAAAgxLzEvMjAyNAgAAAAKMTIvMzEvMjAyMwkAAAABMK7C5azrR94I3BNUtutH3ggpQ0lRLlBOTi5JUV9FQklUREEuMjAwMC4wMS8wMS8yMDI0Li4uVVNELkgBAAAALmINAAIAAAAKMzMwLDAzMDA2MQEIAAAABQAAAAExAQAAAAstMTkzNzE5MDA3NwMAAAADMTYwAgAAAAQ0MDUxBAAAAAEwBwAAAAgxLzEvMjAyNAgAAAAKMTIvMzEvMjAyMwkAAAABMJ21SqzrR94I3BNUtutH3ggwQ0lRLlBOTi5JUV9FQklUREFfTUFSR0lOLjIwMDAuMDEvMDEvMjAyNC4uLlVTRC5IAQAAAC5iDQACAAAABzMwLDAyMTQBCAAAAAUAAAABMQEAAAALLTE5MzcxOTAwNzcDAAAAAjU1AgAAAAQ0MDQ3BAAAAAEwBwAAAAgxLzEvMjAyNAgAAAAKMTIvMzEvMjAyMwkAAAABMJ21SqzrR94IsmxUtutH3ggvQ0lRLlBOTi5JUV9UT1RBTF9BU1NFVFMuMjAwMC4wMS8wMS8yMDI0Li4uVVNELkgBAAAALmINAAIAAAALNzk0NiwzMjM5NDMBCAAAAAUAAAABMQEAAAALLTE5MzcxOTAwNzcDAAAAAzE2MAIAAAAEMTAwNwQAAAABMAcAAAAIMS8xLzIwMjQIAAAACjEyLzMxLzIwMjMJAAAAATCdtUqs60feCLJs</t>
  </si>
  <si>
    <t>VLbrR94ILUNJUS5QTk4uSVFfQ0FTSF9FUVVJVi4yMDAwLjAxLzAxLzIwMjQuLi5VU0QuSAEAAAAuYg0AAgAAAAoxNzAsNjgzMjQyAQgAAAAFAAAAATEBAAAACy0xOTM3MTkwMDc3AwAAAAMxNjACAAAABDEwOTYEAAAAATAHAAAACDEvMS8yMDI0CAAAAAoxMi8zMS8yMDIzCQAAAAEwnbVKrOtH3giMQVS260feCCtDSVEuUE5OLklRX05FVF9ERUJULjIwMDAuMDEvMDEvMjAyNC4uLlVTRC5IAQAAAC5iDQACAAAACzQ5NTYsMDU1NDM0AQgAAAAFAAAAATEBAAAACy0xOTM3MTkwMDc3AwAAAAMxNjACAAAABDQzNjQEAAAAATAHAAAACDEvMS8yMDI0CAAAAAoxMi8zMS8yMDIzCQAAAAEwnbVKrOtH3giMQVS260feCCpDSVEuVFBGRy5JUV9FQklUREEuMjAwMC4wMS8wMS8yMDI0Li4uVVNELkgBAAAA3fASDwIAAAAJMTMsODcxMTk4AQgAAAAFAAAAATEBAAAACy0xOTQ4MTA5MDExAwAAAAMxNjACAAAABDQwNTEEAAAAATAHAAAACDEvMS8yMDI0CAAAAAoxMi8zMS8yMDIzCQAAAAEwDmCLretH3gixl1S260feCDFDSVEuVFBGRy5JUV9FQklUREFfTUFSR0lOLjIwMDAuMDEvMDEvMjAyNC4uLlVTRC5IAQAAAN3wEg8CAAAABzM5LDkyMjIBCAAAAAUAAAABMQEAAAALLTE5NDgxMDkwMTEDAAAAAjU1AgAAAAQ0MDQ3BAAAAAEwBwAAAAgxLzEvMjAyNAgAAAAKMTIvMzEvMjAyMwkAAAABMA5gi63rR94IsZdUtutH3ggwQ0lR</t>
  </si>
  <si>
    <t>LlRQRkcuSVFfVE9UQUxfQVNTRVRTLjIwMDAuMDEvMDEvMjAyNC4uLlVTRC5IAQAAAN3wEg8CAAAACTczLDQ2ODk0NgEIAAAABQAAAAExAQAAAAstMTk0ODEwOTAxMQMAAAADMTYwAgAAAAQxMDA3BAAAAAEwBwAAAAgxLzEvMjAyNAgAAAAKMTIvMzEvMjAyMwkAAAABMA5gi63rR94IV8JUtutH3gguQ0lRLlRQRkcuSVFfQ0FTSF9FUVVJVi4yMDAwLjAxLzAxLzIwMjQuLi5VU0QuSAEAAADd8BIPAgAAAAc5LDczNDA0AQgAAAAFAAAAATEBAAAACy0xOTQ4MTA5MDExAwAAAAMxNjACAAAABDEwOTYEAAAAATAHAAAACDEvMS8yMDI0CAAAAAoxMi8zMS8yMDIzCQAAAAEwDmCLretH3ghXwlS260feCCxDSVEuVFBGRy5JUV9ORVRfREVCVC4yMDAwLjAxLzAxLzIwMjQuLi5VU0QuSAEAAADd8BIPAgAAAAktMyw5NDg2NDIBCAAAAAUAAAABMQEAAAALLTE5NDgxMDkwMTEDAAAAAzE2MAIAAAAENDM2NAQAAAABMAcAAAAIMS8xLzIwMjQIAAAACjEyLzMxLzIwMjMJAAAAATAOYIut60feCFfCVLbrR94IKkNJUS5PWElHLklRX0VCSVREQS4yMDAwLjAxLzAxLzIwMjQuLi5VU0QuSAEAAACefQoAAgAAAAk5OSw2NzEzNzEBCAAAAAUAAAABMQEAAAALLTE5MzcyMDk3NTUDAAAAAzE2MAIAAAAENDA1MQQAAAABMAcAAAAIMS8xLzIwMjQIAAAACjEyLzMxLzIwMjMJAAAAATDAnIqt60feCFfCVLbrR94IMUNJUS5PWElHLklRX0VC</t>
  </si>
  <si>
    <t>SVREQV9NQVJHSU4uMjAwMC4wMS8wMS8yMDI0Li4uVVNELkgBAAAAnn0KAAIAAAAHMTYsOTMxNwEIAAAABQAAAAExAQAAAAstMTkzNzIwOTc1NQMAAAACNTUCAAAABDQwNDcEAAAAATAHAAAACDEvMS8yMDI0CAAAAAoxMi8zMS8yMDIzCQAAAAEwwJyKretH3ghXwlS260feCDBDSVEuT1hJRy5JUV9UT1RBTF9BU1NFVFMuMjAwMC4wMS8wMS8yMDI0Li4uVVNELkgBAAAAnn0KAAIAAAAKNzcyLDI3Nzk4NQEIAAAABQAAAAExAQAAAAstMTkzNzIwOTc1NQMAAAADMTYwAgAAAAQxMDA3BAAAAAEwBwAAAAgxLzEvMjAyNAgAAAAKMTIvMzEvMjAyMwkAAAABMMCciq3rR94IouxUtutH3gguQ0lRLk9YSUcuSVFfQ0FTSF9FUVVJVi4yMDAwLjAxLzAxLzIwMjQuLi5VU0QuSAEAAACefQoAAgAAAAoxMjQsNTczMjkyAQgAAAAFAAAAATEBAAAACy0xOTM3MjA5NzU1AwAAAAMxNjACAAAABDEwOTYEAAAAATAHAAAACDEvMS8yMDI0CAAAAAoxMi8zMS8yMDIzCQAAAAEwwJyKretH3gii7FS260feCCxDSVEuT1hJRy5JUV9ORVRfREVCVC4yMDAwLjAxLzAxLzIwMjQuLi5VU0QuSAEAAACefQoAAgAAAAotNjQsMTk3Mjc5AQgAAAAFAAAAATEBAAAACy0xOTM3MjA5NzU1AwAAAAMxNjACAAAABDQzNjQEAAAAATAHAAAACDEvMS8yMDI0CAAAAAoxMi8zMS8yMDIzCQAAAAEwwJyKretH3gii7FS260feCCpDSVEuVlJTSy5JUV9FQklU</t>
  </si>
  <si>
    <t>REEuMjAwMC4wMS8wMS8yMDI0Li4uVVNELkgBAAAA76sPAAIAAAAGMTI1MCwxAQgAAAAFAAAAATEBAAAACy0xOTU4MjYzMDIxAwAAAAMxNjACAAAABDQwNTEEAAAAATAHAAAACDEvMS8yMDI0CAAAAAoxMi8zMS8yMDIzCQAAAAEwrUZOrOtH3giCGFW260feCDFDSVEuVlJTSy5JUV9FQklUREFfTUFSR0lOLjIwMDAuMDEvMDEvMjAyNC4uLlVTRC5IAQAAAO+rDwACAAAABzQ2LDYyMTEBCAAAAAUAAAABMQEAAAALLTE5NTgyNjMwMjEDAAAAAzE2MAIAAAAENDA0NwQAAAABMAcAAAAIMS8xLzIwMjQIAAAACjEyLzMxLzIwMjMJAAAAATCtRk6s60feCARAVbbrR94IMENJUS5WUlNLLklRX1RPVEFMX0FTU0VUUy4yMDAwLjAxLzAxLzIwMjQuLi5VU0QuSAEAAADvqw8AAgAAAAY0MzY2LDEBCAAAAAUAAAABMQEAAAALLTE5NTgyNjMwMjEDAAAAAzE2MAIAAAAEMTAwNwQAAAABMAcAAAAIMS8xLzIwMjQIAAAACjEyLzMxLzIwMjMJAAAAATCtRk6s60feCARAVbbrR94ILkNJUS5WUlNLLklRX0NBU0hfRVFVSVYuMjAwMC4wMS8wMS8yMDI0Li4uVVNELkgBAAAA76sPAAIAAAAFMzAyLDcBCAAAAAUAAAABMQEAAAALLTE5NTgyNjMwMjEDAAAAAzE2MAIAAAAEMTA5NgQAAAABMAcAAAAIMS8xLzIwMjQIAAAACjEyLzMxLzIwMjMJAAAAATCtRk6s60feCIIYVbbrR94ILENJUS5WUlNLLklRX05FVF9ERUJULjIwMDAuMDEvMDEv</t>
  </si>
  <si>
    <t>MjAyNC4uLlVTRC5IAQAAAO+rDwACAAAABjI3OTEsNQEIAAAABQAAAAExAQAAAAstMTk1ODI2MzAyMQMAAAADMTYwAgAAAAQ0MzY0BAAAAAEwBwAAAAgxLzEvMjAyNAgAAAAKMTIvMzEvMjAyMwkAAAABMK1GTqzrR94IBEBVtutH3ggqQ0lRLkVMSVMuSVFfRUJJVERBLjIwMDAuMDEvMDEvMjAyNC4uLlVTRC5IAQAAAFVtAAACAAAACzE0NTgsMTYyOTI2AQgAAAAFAAAAATEBAAAACy0xOTU2Nzc3MTk4AwAAAAMxNjACAAAABDQwNTEEAAAAATAHAAAACDEvMS8yMDI0CAAAAAoxMi8zMS8yMDIzCQAAAAEw4NxKrOtH3gj5alW260feCDFDSVEuRUxJUy5JUV9FQklUREFfTUFSR0lOLjIwMDAuMDEvMDEvMjAyNC4uLlVTRC5IAQAAAFVtAAACAAAABzMwLDYxMjEBCAAAAAUAAAABMQEAAAALLTE5NTY3NzcxOTgDAAAAAjUwAgAAAAQ0MDQ3BAAAAAEwBwAAAAgxLzEvMjAyNAgAAAAKMTIvMzEvMjAyMwkAAAABMODcSqzrR94I+WpVtutH3ggwQ0lRLkVMSVMuSVFfVE9UQUxfQVNTRVRTLjIwMDAuMDEvMDEvMjAyNC4uLlVTRC5IAQAAAFVtAAACAAAADDEwMjg3LDI4ODYwMQEIAAAABQAAAAExAQAAAAstMTk1Njc3NzE5OAMAAAADMTYwAgAAAAQxMDA3BAAAAAEwBwAAAAgxLzEvMjAyNAgAAAAKMTIvMzEvMjAyMwkAAAABMODcSqzrR94ILZVVtutH3gguQ0lRLkVMSVMuSVFfQ0FTSF9FUVVJVi4yMDAwLjAxLzAxLzIwMjQu</t>
  </si>
  <si>
    <t>Li5VU0QuSAEAAABVbQAAAgAAAAo3MzUsMzgxODk0AQgAAAAFAAAAATEBAAAACy0xOTU2Nzc3MTk4AwAAAAMxNjACAAAABDEwOTYEAAAAATAHAAAACDEvMS8yMDI0CAAAAAoxMi8zMS8yMDIzCQAAAAEw4NxKrOtH3ggtlVW260feCCxDSVEuRUxJUy5JUV9ORVRfREVCVC4yMDAwLjAxLzAxLzIwMjQuLi5VU0QuSAEAAABVbQAAAgAAAAszOTM5LDA5NTgzMgEIAAAABQAAAAExAQAAAAstMTk1Njc3NzE5OAMAAAADMTYwAgAAAAQ0MzY0BAAAAAEwBwAAAAgxLzEvMjAyNAgAAAAKMTIvMzEvMjAyMwkAAAABMODcSqzrR94ILZVVtutH3ggqQ0lRLkNITUYuSVFfRUJJVERBLjIwMDAuMDEvMDEvMjAyNC4uLlVTRC5IAQAAAEVJcgACAAAACzI4NDMsOTQxNDk0AQgAAAAFAAAAATEBAAAACy0xOTU4MTQwNTE2AwAAAAMxNjACAAAABDQwNTEEAAAAATAHAAAACDEvMS8yMDI0CAAAAAoxMi8zMS8yMDIzCQAAAAEw4NxKrOtH3ggtlVW260feCDFDSVEuQ0hNRi5JUV9FQklUREFfTUFSR0lOLjIwMDAuMDEvMDEvMjAyNC4uLlVTRC5IAQAAAEVJcgACAAAABjM1LDEwMgEIAAAABQAAAAExAQAAAAstMTk1ODE0MDUxNgMAAAADMTMxAgAAAAQ0MDQ3BAAAAAEwBwAAAAgxLzEvMjAyNAgAAAAKMTIvMzEvMjAyMwkAAAABMODcSqzrR94ILZVVtutH3ggwQ0lRLkNITUYuSVFfVE9UQUxfQVNTRVRTLjIwMDAuMDEvMDEvMjAyNC4uLlVT</t>
  </si>
  <si>
    <t>RC5IAQAAAEVJcgACAAAADDEwOTgxLDg0NjA0NAEIAAAABQAAAAExAQAAAAstMTk1ODE0MDUxNgMAAAADMTYwAgAAAAQxMDA3BAAAAAEwBwAAAAgxLzEvMjAyNAgAAAAKMTIvMzEvMjAyMwkAAAABMODcSqzrR94Ikr9VtutH3gguQ0lRLkNITUYuSVFfQ0FTSF9FUVVJVi4yMDAwLjAxLzAxLzIwMjQuLi5VU0QuSAEAAABFSXIAAgAAAAs0MTU1LDY1NDQ4NQEIAAAABQAAAAExAQAAAAstMTk1ODE0MDUxNgMAAAADMTYwAgAAAAQxMDk2BAAAAAEwBwAAAAgxLzEvMjAyNAgAAAAKMTIvMzEvMjAyMwkAAAABMODcSqzrR94Ikr9VtutH3ggsQ0lRLkNITUYuSVFfTkVUX0RFQlQuMjAwMC4wMS8wMS8yMDI0Li4uVVNELkgBAAAARUlyAAIAAAALLTE5NjEsMzEyMTEBCAAAAAUAAAABMQEAAAALLTE5NTgxNDA1MTYDAAAAAzE2MAIAAAAENDM2NAQAAAABMAcAAAAIMS8xLzIwMjQIAAAACjEyLzMxLzIwMjMJAAAAATDg3Eqs60feCJK/VbbrR94IKkNJUS5TQUFTLklRX0VCSVREQS4yMDAwLjAxLzAxLzIwMjQuLi5VU0QuSAEAAADBk3wAAgAAAAg3LDA2Njc5NgEIAAAABQAAAAExAQAAAAstMTk1MTYzNjg0OAMAAAADMTYwAgAAAAQ0MDUxBAAAAAEwBwAAAAgxLzEvMjAyNAgAAAAKMTIvMzEvMjAyMwkAAAABMODcSqzrR94Ikr9VtutH3ggxQ0lRLlNBQVMuSVFfRUJJVERBX01BUkdJTi4yMDAwLjAxLzAxLzIwMjQuLi5VU0Qu</t>
  </si>
  <si>
    <t>SAEAAADBk3wAAgAAAAU3LDczNgEIAAAABQAAAAExAQAAAAstMTk1MTYzNjg0OAMAAAACNTUCAAAABDQwNDcEAAAAATAHAAAACDEvMS8yMDI0CAAAAAoxMi8zMS8yMDIzCQAAAAEw4NxKrOtH3gjNFla260feCDBDSVEuU0FBUy5JUV9UT1RBTF9BU1NFVFMuMjAwMC4wMS8wMS8yMDI0Li4uVVNELkgBAAAAwZN8AAIAAAAKMTY3LDA4OTk3OAEIAAAABQAAAAExAQAAAAstMTk1MTYzNjg0OAMAAAADMTYwAgAAAAQxMDA3BAAAAAEwBwAAAAgxLzEvMjAyNAgAAAAKMTIvMzEvMjAyMwkAAAABMODcSqzrR94IzRZWtutH3gguQ0lRLlNBQVMuSVFfQ0FTSF9FUVVJVi4yMDAwLjAxLzAxLzIwMjQuLi5VU0QuSAEAAADBk3wAAgAAAAkyMSwzOTkwOTMBCAAAAAUAAAABMQEAAAALLTE5NTE2MzY4NDgDAAAAAzE2MAIAAAAEMTA5NgQAAAABMAcAAAAIMS8xLzIwMjQIAAAACjEyLzMxLzIwMjMJAAAAATDg3Eqs60feCCDvVbbrR94ILENJUS5TQUFTLklRX05FVF9ERUJULjIwMDAuMDEvMDEvMjAyNC4uLlVTRC5IAQAAAMGTfAACAAAACi0xOSw0MjA5NTEBCAAAAAUAAAABMQEAAAALLTE5NTE2MzY4NDgDAAAAAzE2MAIAAAAENDM2NAQAAAABMAcAAAAIMS8xLzIwMjQIAAAACjEyLzMxLzIwMjMJAAAAATDg3Eqs60feCCDvVbbrR94IKUNJUS5ENkguSVFfRUJJVERBLjIwMDAuMDEvMDEvMjAyNC4uLlVTRC5IAQAAADTwuAECAAAA</t>
  </si>
  <si>
    <t>CTYzLDMwNDkzOQEIAAAABQAAAAExAQAAAAstMTk1MDMzNTcxNAMAAAADMTYwAgAAAAQ0MDUxBAAAAAEwBwAAAAgxLzEvMjAyNAgAAAAKMTIvMzEvMjAyMwkAAAABMODcSqzrR94IzRZWtutH3ggwQ0lRLkQ2SC5JUV9FQklUREFfTUFSR0lOLjIwMDAuMDEvMDEvMjAyNC4uLlVTRC5IAQAAADTwuAECAAAABzExLDY5MTUBCAAAAAUAAAABMQEAAAALLTE5NTAzMzU3MTQDAAAAAjUwAgAAAAQ0MDQ3BAAAAAEwBwAAAAgxLzEvMjAyNAgAAAAKMTIvMzEvMjAyMwkAAAABMODcSqzrR94IDD5WtutH3ggvQ0lRLkQ2SC5JUV9UT1RBTF9BU1NFVFMuMjAwMC4wMS8wMS8yMDI0Li4uVVNELkgBAAAANPC4AQIAAAAKNTQ1LDM5ODIwNwEIAAAABQAAAAExAQAAAAstMTk1MDMzNTcxNAMAAAADMTYwAgAAAAQxMDA3BAAAAAEwBwAAAAgxLzEvMjAyNAgAAAAKMTIvMzEvMjAyMwkAAAABMODcSqzrR94IDD5WtutH3ggtQ0lRLkQ2SC5JUV9DQVNIX0VRVUlWLjIwMDAuMDEvMDEvMjAyNC4uLlVTRC5IAQAAADTwuAECAAAACTQyLDAwMTgyMgEIAAAABQAAAAExAQAAAAstMTk1MDMzNTcxNAMAAAADMTYwAgAAAAQxMDk2BAAAAAEwBwAAAAgxLzEvMjAyNAgAAAAKMTIvMzEvMjAyMwkAAAABMODcSqzrR94IDD5WtutH3ggrQ0lRLkQ2SC5JUV9ORVRfREVCVC4yMDAwLjAxLzAxLzIwMjQuLi5VU0QuSAEAAAA08LgBAgAAAAkxNTgsMjU2</t>
  </si>
  <si>
    <t>MzUBCAAAAAUAAAABMQEAAAALLTE5NTAzMzU3MTQDAAAAAzE2MAIAAAAENDM2NAQAAAABMAcAAAAIMS8xLzIwMjQIAAAACjEyLzMxLzIwMjMJAAAAATDg3Eqs60feCAw+VrbrR94IKkNJUS5FVFRFLklRX0VCSVREQS4yMDAwLjAxLzAxLzIwMjQuLi5VU0QuSAEAAACDxXQAAgAAAAkzOCwxNTA3NjgBCAAAAAUAAAABMQEAAAALLTE5NTUyOTYwNjUDAAAAAzE2MAIAAAAENDA1MQQAAAABMAcAAAAIMS8xLzIwMjQIAAAACjEyLzMxLzIwMjMJAAAAATDg3Eqs60feCAw+VrbrR94IMUNJUS5FVFRFLklRX0VCSVREQV9NQVJHSU4uMjAwMC4wMS8wMS8yMDI0Li4uVVNELkgBAAAAg8V0AAIAAAAGOSw1ODg4AQgAAAAFAAAAATEBAAAACy0xOTU1Mjk2MDY1AwAAAAI1MAIAAAAENDA0NwQAAAABMAcAAAAIMS8xLzIwMjQIAAAACjEyLzMxLzIwMjMJAAAAATDg3Eqs60feCAw+VrbrR94IMENJUS5FVFRFLklRX1RPVEFMX0FTU0VUUy4yMDAwLjAxLzAxLzIwMjQuLi5VU0QuSAEAAACDxXQAAgAAAAozMTQsNTk1OTk5AQgAAAAFAAAAATEBAAAACy0xOTU1Mjk2MDY1AwAAAAMxNjACAAAABDEwMDcEAAAAATAHAAAACDEvMS8yMDI0CAAAAAoxMi8zMS8yMDIzCQAAAAEw4NxKrOtH3gj5aVa260feCC5DSVEuRVRURS5JUV9DQVNIX0VRVUlWLjIwMDAuMDEvMDEvMjAyNC4uLlVTRC5IAQAAAIPFdAACAAAACTI1LDkxMTM1MgEIAAAA</t>
  </si>
  <si>
    <t>BQAAAAExAQAAAAstMTk1NTI5NjA2NQMAAAADMTYwAgAAAAQxMDk2BAAAAAEwBwAAAAgxLzEvMjAyNAgAAAAKMTIvMzEvMjAyMwkAAAABMODcSqzrR94I+WlWtutH3ggsQ0lRLkVUVEUuSVFfTkVUX0RFQlQuMjAwMC4wMS8wMS8yMDI0Li4uVVNELkgBAAAAg8V0AAIAAAAJNjksNzkxMDkxAQgAAAAFAAAAATEBAAAACy0xOTU1Mjk2MDY1AwAAAAMxNjACAAAABDQzNjQEAAAAATAHAAAACDEvMS8yMDI0CAAAAAoxMi8zMS8yMDIzCQAAAAEw4NxKrOtH3gj5aVa260feCCpDSVEuR0FNQS5JUV9FQklUREEuMjAwMC4wMS8wMS8yMDI0Li4uVVNELkgBAAAA/gdhAQIAAAAJMTI5LDc5NTY5AQgAAAAFAAAAATEBAAAACy0xOTUxMjQ5NTkzAwAAAAMxNjACAAAABDQwNTEEAAAAATAHAAAACDEvMS8yMDI0CAAAAAoxMi8zMS8yMDIzCQAAAAEw5UBLrOtH3gj5aVa260feCDFDSVEuR0FNQS5JUV9FQklUREFfTUFSR0lOLjIwMDAuMDEvMDEvMjAyNC4uLlVTRC5IAQAAAP4HYQECAAAABzE5LDUzMjIBCAAAAAUAAAABMQEAAAALLTE5NTEyNDk1OTMDAAAAAjU1AgAAAAQ0MDQ3BAAAAAEwBwAAAAgxLzEvMjAyNAgAAAAKMTIvMzEvMjAyMwkAAAABMOVAS6zrR94Iw79WtutH3ggwQ0lRLkdBTUEuSVFfVE9UQUxfQVNTRVRTLjIwMDAuMDEvMDEvMjAyNC4uLlVTRC5IAQAAAP4HYQECAAAACjYwNCw3NzkxMzEBCAAAAAUAAAABMQEA</t>
  </si>
  <si>
    <t>AAALLTE5NTEyNDk1OTMDAAAAAzE2MAIAAAAEMTAwNwQAAAABMAcAAAAIMS8xLzIwMjQIAAAACjEyLzMxLzIwMjMJAAAAATDlQEus60feCMO/VrbrR94ILkNJUS5HQU1BLklRX0NBU0hfRVFVSVYuMjAwMC4wMS8wMS8yMDI0Li4uVVNELkgBAAAA/gdhAQIAAAAKMTczLDg2NzYzMQEIAAAABQAAAAExAQAAAAstMTk1MTI0OTU5MwMAAAADMTYwAgAAAAQxMDk2BAAAAAEwBwAAAAgxLzEvMjAyNAgAAAAKMTIvMzEvMjAyMwkAAAABMOVAS6zrR94ILZVWtutH3ggsQ0lRLkdBTUEuSVFfTkVUX0RFQlQuMjAwMC4wMS8wMS8yMDI0Li4uVVNELkgBAAAA/gdhAQIAAAALLTE1OCw5NjQ2OTIBCAAAAAUAAAABMQEAAAALLTE5NTEyNDk1OTMDAAAAAzE2MAIAAAAENDM2NAQAAAABMAcAAAAIMS8xLzIwMjQIAAAACjEyLzMxLzIwMjMJAAAAATDlQEus60feCC2VVrbrR94IK0NJUS5OT1JSSC5JUV9FQklUREEuMjAwMC4wMS8wMS8yMDI0Li4uVVNELkgBAAAAZ8pKGQIAAAAHMCw3NzgwMwEIAAAABQAAAAExAQAAAAstMTk1NTczNzUzNAMAAAADMTYwAgAAAAQ0MDUxBAAAAAEwBwAAAAgxLzEvMjAyNAgAAAAKMTIvMzEvMjAyMwkAAAABMODcSqzrR94Iw79WtutH3ggyQ0lRLk5PUlJILklRX0VCSVREQV9NQVJHSU4uMjAwMC4wMS8wMS8yMDI0Li4uVVNELkgBAAAAZ8pKGQIAAAAFMiwzMTgBCAAAAAUAAAABMQEAAAALLTE5NTU3</t>
  </si>
  <si>
    <t>Mzc1MzQDAAAAAjUwAgAAAAQ0MDQ3BAAAAAEwBwAAAAgxLzEvMjAyNAgAAAAKMTIvMzEvMjAyMwkAAAABMODcSqzrR94Iw79WtutH3ggxQ0lRLk5PUlJILklRX1RPVEFMX0FTU0VUUy4yMDAwLjAxLzAxLzIwMjQuLi5VU0QuSAEAAABnykoZAgAAAAkyOCwwMzcwNTQBCAAAAAUAAAABMQEAAAALLTE5NTU3Mzc1MzQDAAAAAzE2MAIAAAAEMTAwNwQAAAABMAcAAAAIMS8xLzIwMjQIAAAACjEyLzMxLzIwMjMJAAAAATDg3Eqs60feCMO/VrbrR94IL0NJUS5OT1JSSC5JUV9DQVNIX0VRVUlWLjIwMDAuMDEvMDEvMjAyNC4uLlVTRC5IAQAAAGfKShkCAAAACDEsNTQyMjM3AQgAAAAFAAAAATEBAAAACy0xOTU1NzM3NTM0AwAAAAMxNjACAAAABDEwOTYEAAAAATAHAAAACDEvMS8yMDI0CAAAAAoxMi8zMS8yMDIzCQAAAAEw4NxKrOtH3ghZ6la260feCC1DSVEuTk9SUkguSVFfTkVUX0RFQlQuMjAwMC4wMS8wMS8yMDI0Li4uVVNELkgBAAAAZ8pKGQIAAAAJMTAsNjUyOTE1AQgAAAAFAAAAATEBAAAACy0xOTU1NzM3NTM0AwAAAAMxNjACAAAABDQzNjQEAAAAATAHAAAACDEvMS8yMDI0CAAAAAoxMi8zMS8yMDIzCQAAAAEw4NxKrOtH3ghZ6la260feCCxDSVEuNTA2NzM0LklRX0VCSVREQS4yMDAwLjAxLzAxLzIwMjQuLi5VU0QuSAEAAADbnzYBAgAAAAktMCw0NTAwNDkBCAAAAAUAAAABMQEAAAALLTIwMTA1NjUwOTUD</t>
  </si>
  <si>
    <t>AAAAAzE2MAIAAAAENDA1MQQAAAABMAcAAAAIMS8xLzIwMjQIAAAACjEyLzMxLzIwMjMJAAAAATDg3Eqs60feCFnqVrbrR94IM0NJUS41MDY3MzQuSVFfRUJJVERBX01BUkdJTi4yMDAwLjAxLzAxLzIwMjQuLi5VU0QuSAEAAADbnzYBAgAAAAgtMTksMzc4NgEIAAAABQAAAAExAQAAAAstMjAxMDU2NTA5NQMAAAACNzICAAAABDQwNDcEAAAAATAHAAAACDEvMS8yMDI0CAAAAAoxMi8zMS8yMDIzCQAAAAEw4NxKrOtH3ghZ6la260feCDJDSVEuNTA2NzM0LklRX1RPVEFMX0FTU0VUUy4yMDAwLjAxLzAxLzIwMjQuLi5VU0QuSAEAAADbnzYBAwAAAAAA4NxKrOtH3giEE1e260feCDBDSVEuNTA2NzM0LklRX0NBU0hfRVFVSVYuMjAwMC4wMS8wMS8yMDI0Li4uVVNELkgBAAAA2582AQMAAAAAAODcSqzrR94IhBNXtutH3gguQ0lRLjUwNjczNC5JUV9ORVRfREVCVC4yMDAwLjAxLzAxLzIwMjQuLi5VU0QuSAEAAADbnzYBAgAAAAktNCw3OTg2ODkBCAAAAAUAAAABMQEAAAALLTIwMTA1NjUwOTUDAAAAAzE2MAIAAAAENDM2NAQAAAABMAcAAAAIMS8xLzIwMjQIAAAACjEyLzMxLzIwMjMJAAAAATDg3Eqs60feCIQTV7brR94IKUNJUS5DV0suSVFfRUJJVERBLjIwMDAuMDEvMDEvMjAyNC4uLlVTRC5IAQAAAEUwvhACAAAABTQyOSw2AQgAAAAFAAAAATEBAAAACy0xOTU4NzU4NDE1AwAAAAMxNjACAAAABDQwNTEEAAAA</t>
  </si>
  <si>
    <t>ATAHAAAACDEvMS8yMDI0CAAAAAoxMi8zMS8yMDIzCQAAAAEw4NxKrOtH3giEE1e260feCDBDSVEuQ1dLLklRX0VCSVREQV9NQVJHSU4uMjAwMC4wMS8wMS8yMDI0Li4uVVNELkgBAAAARTC+EAIAAAAGNCw1MjUxAQgAAAAFAAAAATEBAAAACy0xOTU4NzU4NDE1AwAAAAMxNjACAAAABDQwNDcEAAAAATAHAAAACDEvMS8yMDI0CAAAAAoxMi8zMS8yMDIzCQAAAAEw4NxKrOtH3gh4P1e260feCC9DSVEuQ1dLLklRX1RPVEFMX0FTU0VUUy4yMDAwLjAxLzAxLzIwMjQuLi5VU0QuSAEAAABFML4QAgAAAAQ3Nzc0AQgAAAAFAAAAATEBAAAACy0xOTU4NzU4NDE1AwAAAAMxNjACAAAABDEwMDcEAAAAATAHAAAACDEvMS8yMDI0CAAAAAoxMi8zMS8yMDIzCQAAAAEw4NxKrOtH3gjGZle260feCC1DSVEuQ1dLLklRX0NBU0hfRVFVSVYuMjAwMC4wMS8wMS8yMDI0Li4uVVNELkgBAAAARTC+EAIAAAAFNzY3LDcBCAAAAAUAAAABMQEAAAALLTE5NTg3NTg0MTUDAAAAAzE2MAIAAAAEMTA5NgQAAAABMAcAAAAIMS8xLzIwMjQIAAAACjEyLzMxLzIwMjMJAAAAATDg3Eqs60feCHg/V7brR94IK0NJUS5DV0suSVFfTkVUX0RFQlQuMjAwMC4wMS8wMS8yMDI0Li4uVVNELkgBAAAARTC+EAIAAAAGMjkxNiw1AQgAAAAFAAAAATEBAAAACy0xOTU4NzU4NDE1AwAAAAMxNjACAAAABDQzNjQEAAAAATAHAAAACDEvMS8yMDI0CAAAAAox</t>
  </si>
  <si>
    <t>Mi8zMS8yMDIzCQAAAAEw4NxKrOtH3gh4P1e260feCCpDSVEuRU1JTCBCLklRX0xBU1RTQUxFUFJJQ0UuMTAvMDIvMjAyNC5VU0QBAAAA1E+YJQIAAAAMMywyNjgzMDE3NjE4AJ21SqzrR94IAfg8tutH3ggqQ0lRLkVNSUwgQi5JUV9MQVNUU0FMRVBSSUNFLjExLzAyLzIwMjQuVVNEAQAAANRPmCUCAAAADDMsMjY4MzAxNzYxOADg3Eqs60feCAH4PLbrR94IKkNJUS5FTUlMIEIuSVFfTEFTVFNBTEVQUklDRS4zMS8wMS8yMDI0LlVTRAEAAADUT5glAgAAAAszLDQ3OTQzNzQ3NgDg3Eqs60feCAH4PLbrR94IKkNJUS5FTUlMIEIuSVFfTEFTVFNBTEVQUklDRS4xNC8wMi8yMDI0LlVTRAEAAADUT5glAgAAAAwzLDI0NzQwMzc0OTIA4NxKrOtH3ggB+Dy260feCChDSVEuTVBXUi5JUV9MQVNUU0FMRVBSSUNFLjA2LzAyLzIwMjQuVVNEAQAAAGqQLgACAAAABjYzMiw5OADg3Eqs60feCEkiPbbrR94IKENJUS5NUFdSLklRX0xBU1RTQUxFUFJJQ0UuMDUvMDIvMjAyNC5VU0QBAAAAapAuAAIAAAAGNjQ2LDIxAODcSqzrR94ISSI9tutH3ggoQ0lRLk1QV1IuSVFfTEFTVFNBTEVQUklDRS4wNC8wMi8yMDI0LlVTRAEAAABqkC4AAgAAAAY2MzUsODYA4NxKrOtH3ghJIj2260feCChDSVEuTVBXUi5JUV9MQVNUU0FMRVBSSUNFLjAzLzAyLzIwMjQuVVNEAQAAAGqQLgACAAAABjYzNSw4NgDg3Eqs60feCEkiPbbrR94IKENJ</t>
  </si>
  <si>
    <t>US5NUFdSLklRX0xBU1RTQUxFUFJJQ0UuMDgvMDIvMjAyNC5VU0QBAAAAapAuAAIAAAAGNzM3LDA3AODcSqzrR94IAfg8tutH3ggoQ0lRLk1QV1IuSVFfTEFTVFNBTEVQUklDRS4wOS8wMi8yMDI0LlVTRAEAAABqkC4AAgAAAAY3NTIsMzEA4NxKrOtH3ghJIj2260feCChDSVEuTVBXUi5JUV9MQVNUU0FMRVBSSUNFLjEwLzAyLzIwMjQuVVNEAQAAAGqQLgACAAAABjc1MiwzMQDg3Eqs60feCEkiPbbrR94IKENJUS5NUFdSLklRX0xBU1RTQUxFUFJJQ0UuMTEvMDIvMjAyNC5VU0QBAAAAapAuAAIAAAAGNzUyLDMxAODcSqzrR94IAfg8tutH3ggoQ0lRLk1QV1IuSVFfTEFTVFNBTEVQUklDRS4zMS8wMS8yMDI0LlVTRAEAAABqkC4AAgAAAAY2MDIsNzIA4NxKrOtH3ghJIj2260feCChDSVEuTVBXUi5JUV9MQVNUU0FMRVBSSUNFLjE0LzAyLzIwMjQuVVNEAQAAAGqQLgACAAAABjc0NSwxOADg3Eqs60feCAH4PLbrR94IJ0NJUS5BVFMuSVFfTEFTVFNBTEVQUklDRS4wNi8wMi8yMDI0LlVTRAEAAADT9wsWAgAAAA0wLDAwOTExOTkyNzA0AODcSqzrR94InEw9tutH3ggnQ0lRLkFUUy5JUV9MQVNUU0FMRVBSSUNFLjA1LzAyLzIwMjQuVVNEAQAAANP3CxYCAAAADDAsMDA5MDYwOTAyMgDg3Eqs60feCJxMPbbrR94IJ0NJUS5BVFMuSVFfTEFTVFNBTEVQUklDRS4wNC8wMi8yMDI0LlVTRAEAAADT9wsWAgAAAA0wLDAw</t>
  </si>
  <si>
    <t>ODQ2ODUwMzY4AODcSqzrR94ISSI9tutH3ggnQ0lRLkFUUy5JUV9MQVNUU0FMRVBSSUNFLjAzLzAyLzIwMjQuVVNEAQAAANP3CxYCAAAADTAsMDA4NDY4NTAzNjgAEBZLrOtH3gicTD2260feCCdDSVEuQVRTLklRX0xBU1RTQUxFUFJJQ0UuMDgvMDIvMjAyNC5VU0QBAAAA0/cLFgIAAAANMCwwMDg0MjY3ODQyMQAQFkus60feCPJ2PbbrR94IJ0NJUS5BVFMuSVFfTEFTVFNBTEVQUklDRS4wOS8wMi8yMDI0LlVTRAEAAADT9wsWAgAAAA4wLDAwODQ3Nzg5MjI2NwAQFkus60feCPJ2PbbrR94IJ0NJUS5BVFMuSVFfTEFTVFNBTEVQUklDRS4xMC8wMi8yMDI0LlVTRAEAAADT9wsWAgAAAA4wLDAwODQ3Nzg5MjI2NwAQFkus60feCJxMPbbrR94IJ0NJUS5BVFMuSVFfTEFTVFNBTEVQUklDRS4xMS8wMi8yMDI0LlVTRAEAAADT9wsWAgAAAA4wLDAwODQ3Nzg5MjI2NwAQFkus60feCJxMPbbrR94IJ0NJUS5BVFMuSVFfTEFTVFNBTEVQUklDRS4zMS8wMS8yMDI0LlVTRAEAAADT9wsWAgAAAA4wLDAwODU4MzY5MDk4NgAQFkus60feCJxMPbbrR94IJ0NJUS5BVFMuSVFfTEFTVFNBTEVQUklDRS4xNC8wMi8yMDI0LlVTRAEAAADT9wsWAgAAAAwwLDAwOTczMDE1MDUAEBZLrOtH3gjydj2260feCCdDSVEuS0FJLklRX0xBU1RTQUxFUFJJQ0UuMDYvMDIvMjAyNC5VU0QBAAAAAvQEAAIAAAAFMjk0LDkAEBZLrOtH3gjydj22</t>
  </si>
  <si>
    <t>60feCCdDSVEuS0FJLklRX0xBU1RTQUxFUFJJQ0UuMDUvMDIvMjAyNC5VU0QBAAAAAvQEAAIAAAAGMjkyLDEyABAWS6zrR94I8nY9tutH3ggnQ0lRLktBSS5JUV9MQVNUU0FMRVBSSUNFLjA0LzAyLzIwMjQuVVNEAQAAAAL0BAACAAAABjI5NSwxMgAQFkus60feCPJ2PbbrR94IJ0NJUS5LQUkuSVFfTEFTVFNBTEVQUklDRS4wMy8wMi8yMDI0LlVTRAEAAAAC9AQAAgAAAAYyOTUsMTIAEBZLrOtH3gjydj2260feCCdDSVEuS0FJLklRX0xBU1RTQUxFUFJJQ0UuMDgvMDIvMjAyNC5VU0QBAAAAAvQEAAIAAAAGMzAwLDA2ABAWS6zrR94I8nY9tutH3ggnQ0lRLktBSS5JUV9MQVNUU0FMRVBSSUNFLjA5LzAyLzIwMjQuVVNEAQAAAAL0BAACAAAABjMwOCw3NgAQFkus60feCPJ2PbbrR94IJ0NJUS5LQUkuSVFfTEFTVFNBTEVQUklDRS4xMC8wMi8yMDI0LlVTRAEAAAAC9AQAAgAAAAYzMDgsNzYAEBZLrOtH3giFoT2260feCCdDSVEuS0FJLklRX0xBU1RTQUxFUFJJQ0UuMTEvMDIvMjAyNC5VU0QBAAAAAvQEAAIAAAAGMzA4LDc2ABAWS6zrR94IhaE9tutH3ggnQ0lRLktBSS5JUV9MQVNUU0FMRVBSSUNFLjMxLzAxLzIwMjQuVVNEAQAAAAL0BAACAAAAAzI4NgAQFkus60feCIWhPbbrR94IJ0NJUS5LQUkuSVFfTEFTVFNBTEVQUklDRS4xNC8wMi8yMDI0LlVTRAEAAAAC9AQAAgAAAAYzMTUsMDEAEBZLrOtH3giFoT22</t>
  </si>
  <si>
    <t>60feCCdDSVEuRVZPLklRX0xBU1RTQUxFUFJJQ0UuMDUvMDIvMjAyNC5VU0QBAAAAwCgAEQIAAAAOMTIwLDg0NDE1ODc1MDIAEBZLrOtH3giFoT2260feCCdDSVEuRVZPLklRX0xBU1RTQUxFUFJJQ0UuMDQvMDIvMjAyNC5VU0QBAAAAwCgAEQIAAAANMTIxLDMwODI4Mzc5MQAQFkus60feCNrIPbbrR94IJ0NJUS5FVk8uSVFfTEFTVFNBTEVQUklDRS4wMy8wMi8yMDI0LlVTRAEAAADAKAARAgAAAA0xMjEsMzA4MjgzNzkxABAWS6zrR94I2sg9tutH3ggnQ0lRLkVWTy5JUV9MQVNUU0FMRVBSSUNFLjAyLzAyLzIwMjQuVVNEAQAAAMAoABECAAAADTEyMSwzMDgyODM3OTEAEBZLrOtH3gjayD2260feCCdDSVEuRVZPLklRX0xBU1RTQUxFUFJJQ0UuMDcvMDIvMjAyNC5VU0QBAAAAwCgAEQIAAAAOMTIxLDk3MDU0MzYzNDQAEBZLrOtH3ggH8z2260feCCdDSVEuRVZPLklRX0xBU1RTQUxFUFJJQ0UuMDgvMDIvMjAyNC5VU0QBAAAAwCgAEQIAAAANMTIyLDU3MzcwNDIyNAAQFkus60feCNrIPbbrR94IJ0NJUS5FVk8uSVFfTEFTVFNBTEVQUklDRS4wOS8wMi8yMDI0LlVTRAEAAADAKAARAgAAAA0xMjUsMjg0OTAwODY5ABAWS6zrR94IhaE9tutH3ggnQ0lRLkVWTy5JUV9MQVNUU0FMRVBSSUNFLjEwLzAyLzIwMjQuVVNEAQAAAMAoABECAAAADTEyNSwyODQ5MDA4NjkAEBZLrOtH3gjayD2260feCCdDSVEuRVZPLklR</t>
  </si>
  <si>
    <t>X0xBU1RTQUxFUFJJQ0UuMzAvMDEvMjAyNC5VU0QBAAAAwCgAEQIAAAAOMTE3LDE3MTA0NjcwMDQAEBZLrOtH3gjayD2260feCCdDSVEuRVZPLklRX0xBU1RTQUxFUFJJQ0UuMTMvMDIvMjAyNC5VU0QBAAAAwCgAEQIAAAANMTIyLDU5MzE1MjA1MwAQFkus60feCNrIPbbrR94IJ0NJUS5FTlIuSVFfTEFTVFNBTEVQUklDRS4wNS8wMi8yMDI0LlVTRAEAAABy4aoPAgAAAAUzMSwwNwAQFkus60feCAfzPbbrR94IJ0NJUS5FTlIuSVFfTEFTVFNBTEVQUklDRS4wNC8wMi8yMDI0LlVTRAEAAABy4aoPAgAAAAUzMSw4MgAQFkus60feCCAjPrbrR94IJ0NJUS5FTlIuSVFfTEFTVFNBTEVQUklDRS4wMy8wMi8yMDI0LlVTRAEAAABy4aoPAgAAAAUzMSw4MgAQFkus60feCL9KPrbrR94IJ0NJUS5FTlIuSVFfTEFTVFNBTEVQUklDRS4wMi8wMi8yMDI0LlVTRAEAAABy4aoPAgAAAAUzMSw4MgAQFkus60feCL9KPrbrR94IJ0NJUS5FTlIuSVFfTEFTVFNBTEVQUklDRS4wNy8wMi8yMDI0LlVTRAEAAABy4aoPAgAAAAUzMSw4OAAQFkus60feCL9KPrbrR94IJ0NJUS5FTlIuSVFfTEFTVFNBTEVQUklDRS4wOC8wMi8yMDI0LlVTRAEAAABy4aoPAgAAAAUzMSw3NwAQFkus60feCFlyPrbrR94IJ0NJUS5FTlIuSVFfTEFTVFNBTEVQUklDRS4wOS8wMi8yMDI0LlVTRAEAAABy4aoPAgAAAAUzMSwzOAAQFkus60feCCAjPrbrR94I</t>
  </si>
  <si>
    <t>J0NJUS5FTlIuSVFfTEFTVFNBTEVQUklDRS4xMC8wMi8yMDI0LlVTRAEAAABy4aoPAgAAAAUzMSwzOAAQFkus60feCCAjPrbrR94IJ0NJUS5FTlIuSVFfTEFTVFNBTEVQUklDRS4zMC8wMS8yMDI0LlVTRAEAAABy4aoPAgAAAAUzMiw1NQAQFkus60feCCAjPrbrR94IJ0NJUS5FTlIuSVFfTEFTVFNBTEVQUklDRS4xMy8wMi8yMDI0LlVTRAEAAABy4aoPAgAAAAUzMCwxNAAQFkus60feCKGaPrbrR94IKENJUS5HQU1BLklRX0xBU1RTQUxFUFJJQ0UuMDUvMDIvMjAyNC5VU0QBAAAA/gdhAQIAAAANMTQsNDgwNTkwMjQ1NAAQFkus60feCKGaPrbrR94IKENJUS5HQU1BLklRX0xBU1RTQUxFUFJJQ0UuMDQvMDIvMjAyNC5VU0QBAAAA/gdhAQIAAAANMTUsMDE4MDE0MDI4NgAQFkus60feCKGaPrbrR94IKENJUS5HQU1BLklRX0xBU1RTQUxFUFJJQ0UuMDMvMDIvMjAyNC5VU0QBAAAA/gdhAQIAAAANMTUsMDE4MDE0MDI4NgAQFkus60feCKGaPrbrR94IKENJUS5HQU1BLklRX0xBU1RTQUxFUFJJQ0UuMDIvMDIvMjAyNC5VU0QBAAAA/gdhAQIAAAANMTUsMDE4MDE0MDI4NgAQFkus60feCD/EPrbrR94IKENJUS5HQU1BLklRX0xBU1RTQUxFUFJJQ0UuMDcvMDIvMjAyNC5VU0QBAAAA/gdhAQIAAAAOMTQsOTk2NzgwOTk5NjQAEBZLrOtH3gg/xD6260feCChDSVEuR0FNQS5JUV9MQVNUU0FMRVBSSUNFLjA4LzAyLzIw</t>
  </si>
  <si>
    <t>MjQuVVNEAQAAAP4HYQECAAAADjE1LDA1Njc0NjUzMzEyABAWS6zrR94IP8Q+tutH3ggoQ0lRLkdBTUEuSVFfTEFTVFNBTEVQUklDRS4wOS8wMi8yMDI0LlVTRAEAAAD+B2EBAgAAAA4xNCw5NTc5OTM4MTI0OAAQFkus60feCFlyPrbrR94IKENJUS5HQU1BLklRX0xBU1RTQUxFUFJJQ0UuMTAvMDIvMjAyNC5VU0QBAAAA/gdhAQIAAAAOMTQsOTU3OTkzODEyNDgAEBZLrOtH3gif7j6260feCChDSVEuR0FNQS5JUV9MQVNUU0FMRVBSSUNFLjMwLzAxLzIwMjQuVVNEAQAAAP4HYQECAAAADTE0LDk0NTk3OTE1NTQAEBZLrOtH3gif7j6260feCChDSVEuR0FNQS5JUV9MQVNUU0FMRVBSSUNFLjEzLzAyLzIwMjQuVVNEAQAAAP4HYQECAAAADjE1LDE2NTQ0Njk2MDcyABAWS6zrR94In+4+tutH3ggoQ0lRLkxLT0guSVFfTEFTVFNBTEVQUklDRS4wNC8wMi8yMDI0LlVTRAEAAADHFwgAAgAAAAw0MywxMzI3ODAyOTEAEBZLrOtH3gif7j6260feCChDSVEuTEtPSC5JUV9MQVNUU0FMRVBSSUNFLjAzLzAyLzIwMjQuVVNEAQAAAMcXCAACAAAADDQzLDEzMjc4MDI5MQAQFkus60feCKwVP7brR94IKENJUS5MS09ILklRX0xBU1RTQUxFUFJJQ0UuMDIvMDIvMjAyNC5VU0QBAAAAxxcIAAIAAAAMNDMsMTMyNzgwMjkxABAWS6zrR94IrBU/tutH3ggoQ0lRLkxLT0guSVFfTEFTVFNBTEVQUklDRS4wMS8wMi8yMDI0LlVTRAEA</t>
  </si>
  <si>
    <t>AADHFwgAAgAAAAw0MywyNDg0OTExMzcAEBZLrOtH3gif7j6260feCChDSVEuTEtPSC5JUV9MQVNUU0FMRVBSSUNFLjA2LzAyLzIwMjQuVVNEAQAAAMcXCAACAAAADDQzLDQyNjYwNTg5OQAQFkus60feCJ/uPrbrR94IKENJUS5MS09ILklRX0xBU1RTQUxFUFJJQ0UuMDcvMDIvMjAyNC5VU0QBAAAAxxcIAAIAAAAMNDIsOTk5MDk0NDg5ABAWS6zrR94IrBU/tutH3ggoQ0lRLkxLT0guSVFfTEFTVFNBTEVQUklDRS4wOC8wMi8yMDI0LlVTRAEAAADHFwgAAgAAAAs0Miw4NjAxNzk2OAAQFkus60feCJ/uPrbrR94IKENJUS5MS09ILklRX0xBU1RTQUxFUFJJQ0UuMDkvMDIvMjAyNC5VU0QBAAAAxxcIAAIAAAAMNDIsODE2MjE2MTI5ABAWS6zrR94IrBU/tutH3ggoQ0lRLkxLT0guSVFfTEFTVFNBTEVQUklDRS4yOS8wMS8yMDI0LlVTRAEAAADHFwgAAgAAAAw0Myw3OTI4NTkzMTYAEBZLrOtH3gi6PD+260feCChDSVEuTEtPSC5JUV9MQVNUU0FMRVBSSUNFLjEyLzAyLzIwMjQuVVNEAQAAAMcXCAACAAAADDQyLDg3MjQ5MTUwOAAQFkus60feCLo8P7brR94IJ0NJUS5WSEkuSVFfTEFTVFNBTEVQUklDRS4wNC8wMi8yMDI0LlVTRAEAAACywQQAAgAAAAUxMyw2MQAQFkus60feCMxjP7brR94IJ0NJUS5WSEkuSVFfTEFTVFNBTEVQUklDRS4wMy8wMi8yMDI0LlVTRAEAAACywQQAAgAAAAUxMyw2MQAQFkus60feCLo8</t>
  </si>
  <si>
    <t>P7brR94IJ0NJUS5WSEkuSVFfTEFTVFNBTEVQUklDRS4wMi8wMi8yMDI0LlVTRAEAAACywQQAAgAAAAUxMyw2MQAQFkus60feCNqKP7brR94IJ0NJUS5WSEkuSVFfTEFTVFNBTEVQUklDRS4wMS8wMi8yMDI0LlVTRAEAAACywQQAAgAAAAUxNCwyNAAQFkus60feCO2xP7brR94IJ0NJUS5WSEkuSVFfTEFTVFNBTEVQUklDRS4wNi8wMi8yMDI0LlVTRAEAAACywQQAAgAAAAUxNCwwMwAQFkus60feCO2xP7brR94IJ0NJUS5WSEkuSVFfTEFTVFNBTEVQUklDRS4wNy8wMi8yMDI0LlVTRAEAAACywQQAAgAAAAQxMyw3ABAWS6zrR94I7bE/tutH3ggnQ0lRLlZISS5JUV9MQVNUU0FMRVBSSUNFLjA4LzAyLzIwMjQuVVNEAQAAALLBBAACAAAABTEzLDcxABAWS6zrR94IzGM/tutH3ggnQ0lRLlZISS5JUV9MQVNUU0FMRVBSSUNFLjA5LzAyLzIwMjQuVVNEAQAAALLBBAACAAAABTEzLDI3ABAWS6zrR94IzGM/tutH3ggnQ0lRLlZISS5JUV9MQVNUU0FMRVBSSUNFLjI5LzAxLzIwMjQuVVNEAQAAALLBBAACAAAABTE0LDU1ABAWS6zrR94IzGM/tutH3ggnQ0lRLlZISS5JUV9MQVNUU0FMRVBSSUNFLjEyLzAyLzIwMjQuVVNEAQAAALLBBAACAAAABDEzLDkAEBZLrOtH3gj/2D+260feCCpDSVEuRUxBTiBCLklRX0xBU1RTQUxFUFJJQ0UuMDEvMDIvMjAyNC5VU0QBAAAANG0NAAIAAAAMOSw1NTU5ODMyMDg4ABAWS6zrR94I</t>
  </si>
  <si>
    <t>/9g/tutH3ggqQ0lRLkVMQU4gQi5JUV9MQVNUU0FMRVBSSUNFLjMxLzAxLzIwMjQuVVNEAQAAADRtDQACAAAADDksNzAzNzY0NTE2NAAQFkus60feCP/YP7brR94IKkNJUS5FTEFOIEIuSVFfTEFTVFNBTEVQUklDRS4zMC8wMS8yMDI0LlVTRAEAAAA0bQ0AAgAAAA0xMCwwMTY5MTU1NTQ4ABAWS6zrR94I/9g/tutH3ggqQ0lRLkVMQU4gQi5JUV9MQVNUU0FMRVBSSUNFLjI5LzAxLzIwMjQuVVNEAQAAADRtDQACAAAACzksOTI5OTE3NzEyABAWS6zrR94IRwtAtutH3ggqQ0lRLkVMQU4gQi5JUV9MQVNUU0FMRVBSSUNFLjAzLzAyLzIwMjQuVVNEAQAAADRtDQACAAAACzksNzY0MTYzMDcyABAWS6zrR94I7bE/tutH3ggqQ0lRLkVMQU4gQi5JUV9MQVNUU0FMRVBSSUNFLjA0LzAyLzIwMjQuVVNEAQAAADRtDQACAAAACzksNzY0MTYzMDcyABAWS6zrR94IRwtAtutH3ggqQ0lRLkVMQU4gQi5JUV9MQVNUU0FMRVBSSUNFLjA1LzAyLzIwMjQuVVNEAQAAADRtDQACAAAACzksNTA0MTczODMxABAWS6zrR94IRwtAtutH3ggqQ0lRLkVMQU4gQi5JUV9MQVNUU0FMRVBSSUNFLjA2LzAyLzIwMjQuVVNEAQAAADRtDQACAAAACjksNzc5ODQ4OTcAEBZLrOtH3gjYMkC260feCCpDSVEuRUxBTiBCLklRX0xBU1RTQUxFUFJJQ0UuMjYvMDEvMjAyNC5VU0QBAAAANG0NAAIAAAAMOSw1ODUyMjU0Nzk3ABAWS6zrR94I2DJAtutH</t>
  </si>
  <si>
    <t>3ggqQ0lRLkVMQU4gQi5JUV9MQVNUU0FMRVBSSUNFLjA5LzAyLzIwMjQuVVNEAQAAADRtDQACAAAACzksOTM4Njk1NDE2ABAWS6zrR94I2DJAtutH3ggnQ0lRLkJBLi5JUV9MQVNUU0FMRVBSSUNFLjAxLzAyLzIwMjQuVVNEAQAAAGtWDQACAAAADjE0LDg2MDQxNzUzODMyABAWS6zrR94IaVpAtutH3ggnQ0lRLkJBLi5JUV9MQVNUU0FMRVBSSUNFLjMxLzAxLzIwMjQuVVNEAQAAAGtWDQACAAAADjE0LDk2NTAzNDk2NjA5ABAWS6zrR94IaVpAtutH3ggnQ0lRLkJBLi5JUV9MQVNUU0FMRVBSSUNFLjMwLzAxLzIwMjQuVVNEAQAAAGtWDQACAAAADjE1LDAyMTk3NTY1OTU4ABAWS6zrR94ILIVAtutH3ggnQ0lRLkJBLi5JUV9MQVNUU0FMRVBSSUNFLjI5LzAxLzIwMjQuVVNEAQAAAGtWDQACAAAADzE0LDk5NTQ5ODE3NjE3NQAQFkus60feCCyFQLbrR94IJ0NJUS5CQS4uSVFfTEFTVFNBTEVQUklDRS4wMy8wMi8yMDI0LlVTRAEAAABrVg0AAgAAAA0xNCw4MTU3NTEyMTM0ABAWS6zrR94I2DJAtutH3ggnQ0lRLkJBLi5JUV9MQVNUU0FMRVBSSUNFLjA0LzAyLzIwMjQuVVNEAQAAAGtWDQACAAAADTE0LDgxNTc1MTIxMzQAEBZLrOtH3ghpWkC260feCCdDSVEuQkEuLklRX0xBU1RTQUxFUFJJQ0UuMDUvMDIvMjAyNC5VU0QBAAAAa1YNAAIAAAAOMTQsNzY4Njk4ODc0ODUAEBZLrOtH3ghpWkC260feCCdDSVEuQkEu</t>
  </si>
  <si>
    <t>LklRX0xBU1RTQUxFUFJJQ0UuMDYvMDIvMjAyNC5VU0QBAAAAa1YNAAIAAAAPMTUsMTcyODczODQ0OTQ1ABAWS6zrR94I2DJAtutH3ggnQ0lRLkJBLi5JUV9MQVNUU0FMRVBSSUNFLjI2LzAxLzIwMjQuVVNEAQAAAGtWDQACAAAADTE0LDg1NzU5MzUyMzIAEBZLrOtH3ggshUC260feCCdDSVEuQkEuLklRX0xBU1RTQUxFUFJJQ0UuMDkvMDIvMjAyNC5VU0QBAAAAa1YNAAIAAAAOMTUsMjgwMTQ2NTUwODQAEBZLrOtH3gjYMkC260feCChDSVEuT1JJVC5JUV9MQVNUU0FMRVBSSUNFLjAxLzAyLzIwMjQuVVNEAQAAAJvkSSYCAAAADjEsMDY5ODk5MjM2MTkyABAWS6zrR94IndVAtutH3ggoQ0lRLk9SSVQuSVFfTEFTVFNBTEVQUklDRS4zMS8wMS8yMDI0LlVTRAEAAACb5EkmAgAAAA0xLDA5MzQ1MjAwMjYyABAWS6zrR94IndVAtutH3ggoQ0lRLk9SSVQuSVFfTEFTVFNBTEVQUklDRS4zMC8wMS8yMDI0LlVTRAEAAACb5EkmAgAAAA4xLDA5NTYxNjI2ODU5NQAQFkus60feCCyFQLbrR94IKENJUS5PUklULklRX0xBU1RTQUxFUFJJQ0UuMjkvMDEvMjAyNC5VU0QBAAAAm+RJJgIAAAAOMSwxMDQ1MzA5ODYxNjkAEBZLrOtH3gj9/EC260feCChDSVEuT1JJVC5JUV9MQVNUU0FMRVBSSUNFLjAzLzAyLzIwMjQuVVNEAQAAAJvkSSYCAAAADTEsMDQ5MjM4MzUzODUAEBZLrOtH3gj9/EC260feCChDSVEuT1JJVC5JUV9M</t>
  </si>
  <si>
    <t>QVNUU0FMRVBSSUNFLjA0LzAyLzIwMjQuVVNEAQAAAJvkSSYCAAAADTEsMDQ5MjM4MzUzODUAEBZLrOtH3gj9/EC260feCChDSVEuT1JJVC5JUV9MQVNUU0FMRVBSSUNFLjA1LzAyLzIwMjQuVVNEAQAAAJvkSSYCAAAADTEsMDI0NjY0NjAzODcAEBZLrOtH3gh5rUC260feCChDSVEuT1JJVC5JUV9MQVNUU0FMRVBSSUNFLjA2LzAyLzIwMjQuVVNEAQAAAJvkSSYCAAAADjEsMDExOTQ0NDY4Nzk2ABAWS6zrR94Iea1AtutH3ggoQ0lRLk9SSVQuSVFfTEFTVFNBTEVQUklDRS4yNi8wMS8yMDI0LlVTRAEAAACb5EkmAgAAAA0xLDEwNDE0MzA4MDMyABAWS6zrR94Iea1AtutH3ggoQ0lRLk9SSVQuSVFfTEFTVFNBTEVQUklDRS4wOS8wMi8yMDI0LlVTRAEAAACb5EkmAgAAAA0wLDk5ODA0MTgxNjg4ABAWS6zrR94ICyRBtutH3ggnQ0lRLlNLUC5JUV9MQVNUU0FMRVBSSUNFLjAxLzAyLzIwMjQuVVNEAQAAAG1YMAACAAAADDAsMjYxMDg2ODY3MwAQFkus60feCAskQbbrR94IJ0NJUS5TS1AuSVFfTEFTVFNBTEVQUklDRS4zMS8wMS8yMDI0LlVTRAEAAABtWDAAAgAAAAswLDI5ODk3ODI0MgAQFkus60feCBpLQbbrR94IJ0NJUS5TS1AuSVFfTEFTVFNBTEVQUklDRS4zMC8wMS8yMDI0LlVTRAEAAABtWDAAAgAAAAwwLDI5Nzk4NzA5NzIAEBZLrOtH3ggaS0G260feCCdDSVEuU0tQLklRX0xBU1RTQUxFUFJJQ0UuMjkv</t>
  </si>
  <si>
    <t>MDEvMjAyNC5VU0QBAAAAbVgwAAIAAAAMMCwzMzQ1NTc1NjYxABAWS6zrR94IGktBtutH3ggnQ0lRLlNLUC5JUV9MQVNUU0FMRVBSSUNFLjAzLzAyLzIwMjQuVVNEAQAAAG1YMAACAAAACzAsMjk3MzY0NjA2ABAWS6zrR94I/fxAtutH3ggnQ0lRLlNLUC5JUV9MQVNUU0FMRVBSSUNFLjA0LzAyLzIwMjQuVVNEAQAAAG1YMAACAAAACzAsMjk3MzY0NjA2ABAWS6zrR94IGktBtutH3ggnQ0lRLlNLUC5JUV9MQVNUU0FMRVBSSUNFLjA1LzAyLzIwMjQuVVNEAQAAAG1YMAACAAAADDAsMjk1NDAxMzM5NgAQFkus60feCBpLQbbrR94IJ0NJUS5TS1AuSVFfTEFTVFNBTEVQUklDRS4wNi8wMi8yMDI0LlVTRAEAAABtWDAAAgAAAAwwLDI5NjIwMTk1MDQAEBZLrOtH3ggpckG260feCCdDSVEuU0tQLklRX0xBU1RTQUxFUFJJQ0UuMjYvMDEvMjAyNC5VU0QBAAAAbVgwAAIAAAAMMCwzMzQzOTA5OTk1ABAWS6zrR94IKXJBtutH3ggnQ0lRLlNLUC5JUV9MQVNUU0FMRVBSSUNFLjA5LzAyLzIwMjQuVVNEAQAAAG1YMAACAAAACzAsMzM0MjMyMDQ2ABAWS6zrR94IKXJBtutH3ggoQ0lRLjk1MDIuSVFfTEFTVFNBTEVQUklDRS4wMS8wMi8yMDI0LlVTRAEAAADuVg0AAgAAAAwxMywyODMyNjQ0NjQAEBZLrOtH3ggpckG260feCChDSVEuOTUwMi5JUV9MQVNUU0FMRVBSSUNFLjMxLzAxLzIwMjQuVVNEAQAAAO5WDQACAAAADTEz</t>
  </si>
  <si>
    <t>LDEwNjU0MDEwMjUAEBZLrOtH3gg6mUG260feCChDSVEuOTUwMi5JUV9MQVNUU0FMRVBSSUNFLjMwLzAxLzIwMjQuVVNEAQAAAO5WDQACAAAADTEyLDkxODI2MjA2MDUAEBZLrOtH3giGwEG260feCChDSVEuOTUwMi5JUV9MQVNUU0FMRVBSSUNFLjI5LzAxLzIwMjQuVVNEAQAAAO5WDQACAAAADDEyLDg2MzIyNzg0OQAQFkus60feCIbAQbbrR94IKENJUS45NTAyLklRX0xBU1RTQUxFUFJJQ0UuMDMvMDIvMjAyNC5VU0QBAAAA7lYNAAIAAAAMMTMsMTk4OTYyMTk0ABAWS6zrR94IhsBBtutH3ggoQ0lRLjk1MDIuSVFfTEFTVFNBTEVQUklDRS4wNC8wMi8yMDI0LlVTRAEAAADuVg0AAgAAAAwxMywxOTg5NjIxOTQAEBZLrOtH3gg6mUG260feCChDSVEuOTUwMi5JUV9MQVNUU0FMRVBSSUNFLjA1LzAyLzIwMjQuVVNEAQAAAO5WDQACAAAADTEzLDIzNDI4NTY4MTUAEBZLrOtH3ggpckG260feCChDSVEuOTUwMi5JUV9MQVNUU0FMRVBSSUNFLjA2LzAyLzIwMjQuVVNEAQAAAO5WDQACAAAACzEzLDEwMTkxMjIyABAWS6zrR94IhsBBtutH3ggoQ0lRLjk1MDIuSVFfTEFTVFNBTEVQUklDRS4yNi8wMS8yMDI0LlVTRAEAAADuVg0AAgAAAAwxMiw1NjE3NzgyMTIAEBZLrOtH3gg6mUG260feCChDSVEuOTUwMi5JUV9MQVNUU0FMRVBSSUNFLjA5LzAyLzIwMjQuVVNEAQAAAO5WDQACAAAADDEyLDQ1MjcwMzMxOQAQFkus</t>
  </si>
  <si>
    <t>60feCDqZQbbrR94IKkNJUS5CSU5FUk8uSVFfTEFTVFNBTEVQUklDRS4wMS8wMi8yMDI0LlVTRAEAAAAR9ZwBAgAAAA0wLDI1NzY0NjIyNzM2ABAWS6zrR94IPRhCtutH3ggqQ0lRLkJJTkVSTy5JUV9MQVNUU0FMRVBSSUNFLjMxLzAxLzIwMjQuVVNEAQAAABH1nAECAAAADTAsMjY0ODIzODUyMzQAEBZLrOtH3giGwEG260feCCpDSVEuQklORVJPLklRX0xBU1RTQUxFUFJJQ0UuMzAvMDEvMjAyNC5VU0QBAAAAEfWcAQIAAAANMCwyNjQ4MTUwMDg5MgAQFkus60feCD0YQrbrR94IKkNJUS5CSU5FUk8uSVFfTEFTVFNBTEVQUklDRS4yOS8wMS8yMDI0LlVTRAEAAAAR9ZwBAgAAAAwwLDI1Nzc5NTk0MDYAEBZLrOtH3gg9GEK260feCCpDSVEuQklORVJPLklRX0xBU1RTQUxFUFJJQ0UuMDMvMDIvMjAyNC5VU0QBAAAAEfWcAQIAAAAMMCwyNTM2MzkzOTIzABAWS6zrR94IPRhCtutH3ggqQ0lRLkJJTkVSTy5JUV9MQVNUU0FMRVBSSUNFLjA0LzAyLzIwMjQuVVNEAQAAABH1nAECAAAADDAsMjUzNjM5MzkyMwAQFkus60feCO4/QrbrR94IKkNJUS5CSU5FUk8uSVFfTEFTVFNBTEVQUklDRS4wNS8wMi8yMDI0LlVTRAEAAAAR9ZwBAgAAAA0wLDI1NzgzNjAwMjk0ABAWS6zrR94IWudBtutH3ggqQ0lRLkJJTkVSTy5JUV9MQVNUU0FMRVBSSUNFLjA2LzAyLzIwMjQuVVNEAQAAABH1nAECAAAACzAsMjU2MzY0OTczABAW</t>
  </si>
  <si>
    <t>S6zrR94IWudBtutH3ggqQ0lRLkJJTkVSTy5JUV9MQVNUU0FMRVBSSUNFLjI2LzAxLzIwMjQuVVNEAQAAABH1nAECAAAADDAsMjU5MDYwMTQ4MQAQFkus60feCFrnQbbrR94IKkNJUS5CSU5FUk8uSVFfTEFTVFNBTEVQUklDRS4wOS8wMi8yMDI0LlVTRAEAAAAR9ZwBAgAAAAwwLDM1MzU4ODIwMjMAEBZLrOtH3gjuP0K260feCCZDSVEuQkcuSVFfTEFTVFNBTEVQUklDRS4zMS8wMS8yMDI0LlVTRAEAAACdfAoAAgAAAAU4OCwwOQAQFkus60feCO4/QrbrR94IJkNJUS5CRy5JUV9MQVNUU0FMRVBSSUNFLjMwLzAxLzIwMjQuVVNEAQAAAJ18CgACAAAABDkwLDMAEBZLrOtH3ghkZ0K260feCCZDSVEuQkcuSVFfTEFTVFNBTEVQUklDRS4yOS8wMS8yMDI0LlVTRAEAAACdfAoAAgAAAAU4OSwwMQAQFkus60feCGRnQrbrR94IJkNJUS5CRy5JUV9MQVNUU0FMRVBSSUNFLjI4LzAxLzIwMjQuVVNEAQAAAJ18CgACAAAABDg4LDMAEBZLrOtH3ghkZ0K260feCCZDSVEuQkcuSVFfTEFTVFNBTEVQUklDRS4wMi8wMi8yMDI0LlVTRAEAAACdfAoAAgAAAAU5MCw0NwAQFkus60feCGRnQrbrR94IJkNJUS5CRy5JUV9MQVNUU0FMRVBSSUNFLjAzLzAyLzIwMjQuVVNEAQAAAJ18CgACAAAABTkwLDQ3ABAWS6zrR94IZGdCtutH3ggmQ0lRLkJHLklRX0xBU1RTQUxFUFJJQ0UuMDQvMDIvMjAyNC5VU0QBAAAAnXwKAAIAAAAFOTAs</t>
  </si>
  <si>
    <t>NDcAEBZLrOtH3gjuP0K260feCCZDSVEuQkcuSVFfTEFTVFNBTEVQUklDRS4wNS8wMi8yMDI0LlVTRAEAAACdfAoAAgAAAAI4OQAQFkus60feCMuOQrbrR94IJkNJUS5CRy5JUV9MQVNUU0FMRVBSSUNFLjI1LzAxLzIwMjQuVVNEAQAAAJ18CgACAAAABTg4LDQ1ABAWS6zrR94Iy45CtutH3ggmQ0lRLkJHLklRX0xBU1RTQUxFUFJJQ0UuMDgvMDIvMjAyNC5VU0QBAAAAnXwKAAIAAAAEODYsNQAQFkus60feCMuOQrbrR94IJ0NJUS5STVYuSVFfTEFTVFNBTEVQUklDRS4zMS8wMS8yMDI0LlVTRAEAAADgQFsBAgAAAA43LDEyMjY5NTQ4NjgzNAAQFkus60feCMuOQrbrR94IJ0NJUS5STVYuSVFfTEFTVFNBTEVQUklDRS4zMC8wMS8yMDI0LlVTRAEAAADgQFsBAgAAAA43LDEwMzEzOTkyNDAyNAAQFkus60feCCi2QrbrR94IJ0NJUS5STVYuSVFfTEFTVFNBTEVQUklDRS4yOS8wMS8yMDI0LlVTRAEAAADgQFsBAgAAAA43LDA4MTE3MjI0NjU3NgAQFkus60feCCi2QrbrR94IJ0NJUS5STVYuSVFfTEFTVFNBTEVQUklDRS4yOC8wMS8yMDI0LlVTRAEAAADgQFsBAgAAAA03LDE2Njc1MzU4ODE2ABAWS6zrR94IKLZCtutH3ggnQ0lRLlJNVi5JUV9MQVNUU0FMRVBSSUNFLjAyLzAyLzIwMjQuVVNEAQAAAOBAWwECAAAADTcsMTUyNTE4ODAyNTEAEBZLrOtH3ggotkK260feCCdDSVEuUk1WLklRX0xBU1RTQUxFUFJJQ0Uu</t>
  </si>
  <si>
    <t>MDMvMDIvMjAyNC5VU0QBAAAA4EBbAQIAAAANNywxNTI1MTg4MDI1MQAQFkus60feCMuOQrbrR94IJ0NJUS5STVYuSVFfTEFTVFNBTEVQUklDRS4wNC8wMi8yMDI0LlVTRAEAAADgQFsBAgAAAA03LDE1MjUxODgwMjUxABAWS6zrR94Iy45CtutH3ggnQ0lRLlJNVi5JUV9MQVNUU0FMRVBSSUNFLjA1LzAyLzIwMjQuVVNEAQAAAOBAWwECAAAADTYsOTY5NzIzNTQwMjYAEBZLrOtH3ggotkK260feCCdDSVEuUk1WLklRX0xBU1RTQUxFUFJJQ0UuMjUvMDEvMjAyNC5VU0QBAAAA4EBbAQIAAAANNywwMjI3NTcyODkzMQAQFkus60feCMuOQrbrR94IJ0NJUS5STVYuSVFfTEFTVFNBTEVQUklDRS4wOC8wMi8yMDI0LlVTRAEAAADgQFsBAgAAAA42LDk1MzM0MTc0MDY3MgAQFkus60feCMuOQrbrR94IKENJUS5TU1RLLklRX0xBU1RTQUxFUFJJQ0UuMzEvMDEvMjAyNC5VU0QBAAAAPrVlAQIAAAAFNDYsOTcAEBZLrOtH3ggotkK260feCChDSVEuU1NUSy5JUV9MQVNUU0FMRVBSSUNFLjMwLzAxLzIwMjQuVVNEAQAAAD61ZQECAAAABTQ5LDE0ABAWS6zrR94ITRJDtutH3ggoQ0lRLlNTVEsuSVFfTEFTVFNBTEVQUklDRS4yOS8wMS8yMDI0LlVTRAEAAAA+tWUBAgAAAAU0OCwzNQAQFkus60feCE0SQ7brR94IKENJUS5TU1RLLklRX0xBU1RTQUxFUFJJQ0UuMjgvMDEvMjAyNC5VU0QBAAAAPrVlAQIAAAAENDYsNwAQFkus</t>
  </si>
  <si>
    <t>60feCP06Q7brR94IKENJUS5TU1RLLklRX0xBU1RTQUxFUFJJQ0UuMDIvMDIvMjAyNC5VU0QBAAAAPrVlAQIAAAAFNDcsNjcAEBZLrOtH3gj9OkO260feCChDSVEuU1NUSy5JUV9MQVNUU0FMRVBSSUNFLjAzLzAyLzIwMjQuVVNEAQAAAD61ZQECAAAABTQ3LDY3ABAWS6zrR94I/TpDtutH3ggoQ0lRLlNTVEsuSVFfTEFTVFNBTEVQUklDRS4wNC8wMi8yMDI0LlVTRAEAAAA+tWUBAgAAAAU0Nyw2NwAQFkus60feCE0SQ7brR94IKENJUS5TU1RLLklRX0xBU1RTQUxFUFJJQ0UuMDUvMDIvMjAyNC5VU0QBAAAAPrVlAQIAAAAFNDQsNDUAEBZLrOtH3ghv6kK260feCChDSVEuU1NUSy5JUV9MQVNUU0FMRVBSSUNFLjI1LzAxLzIwMjQuVVNEAQAAAD61ZQECAAAABTQ4LDA1ABAWS6zrR94ITRJDtutH3ggoQ0lRLlNTVEsuSVFfTEFTVFNBTEVQUklDRS4wOC8wMi8yMDI0LlVTRAEAAAA+tWUBAgAAAAQ0NCwzABAWS6zrR94IBWJDtutH3ggmQ0lRLklSLklRX0xBU1RTQUxFUFJJQ0UuMzEvMDEvMjAyNC5VU0QBAAAAThkFAAIAAAAFNzksODYAEBZLrOtH3ggFYkO260feCCZDSVEuSVIuSVFfTEFTVFNBTEVQUklDRS4zMC8wMS8yMDI0LlVTRAEAAABOGQUAAgAAAAU4MCw2MQAQFkus60feCBKJQ7brR94IJkNJUS5JUi5JUV9MQVNUU0FMRVBSSUNFLjI5LzAxLzIwMjQuVVNEAQAAAE4ZBQACAAAABTgwLDQ4ABAWS6zrR94I</t>
  </si>
  <si>
    <t>EolDtutH3ggmQ0lRLklSLklRX0xBU1RTQUxFUFJJQ0UuMjgvMDEvMjAyNC5VU0QBAAAAThkFAAIAAAAENzksMwAQFkus60feCBKJQ7brR94IJkNJUS5JUi5JUV9MQVNUU0FMRVBSSUNFLjAyLzAyLzIwMjQuVVNEAQAAAE4ZBQACAAAABTgzLDc0ABAWS6zrR94IBWJDtutH3ggmQ0lRLklSLklRX0xBU1RTQUxFUFJJQ0UuMDMvMDIvMjAyNC5VU0QBAAAAThkFAAIAAAAFODMsNzQAEBZLrOtH3ggSiUO260feCCZDSVEuSVIuSVFfTEFTVFNBTEVQUklDRS4wNC8wMi8yMDI0LlVTRAEAAABOGQUAAgAAAAU4Myw3NAAQFkus60feCBKJQ7brR94IJkNJUS5JUi5JUV9MQVNUU0FMRVBSSUNFLjA1LzAyLzIwMjQuVVNEAQAAAE4ZBQACAAAABTgyLDkxABAWS6zrR94IK7BDtutH3ggmQ0lRLklSLklRX0xBU1RTQUxFUFJJQ0UuMjUvMDEvMjAyNC5VU0QBAAAAThkFAAIAAAAFNzksMjUAEBZLrOtH3ggrsEO260feCCZDSVEuSVIuSVFfTEFTVFNBTEVQUklDRS4wOC8wMi8yMDI0LlVTRAEAAABOGQUAAgAAAAU4NSwzOAAQFkus60feCCuwQ7brR94IJ0NJUS5RRFQuSVFfTEFTVFNBTEVQUklDRS4zMS8wMS8yMDI0LlVTRAEAAACI8AEAAgAAAA0yMSwyODY3NTI3NDY0ABAWS6zrR94IK7BDtutH3ggnQ0lRLlFEVC5JUV9MQVNUU0FMRVBSSUNFLjMwLzAxLzIwMjQuVVNEAQAAAIjwAQACAAAADTIxLDA5MDI3ODUyNzUAEBZLrOtH</t>
  </si>
  <si>
    <t>3gjp4kO260feCCdDSVEuUURULklRX0xBU1RTQUxFUFJJQ0UuMjkvMDEvMjAyNC5VU0QBAAAAiPABAAIAAAAOMjEsMDQ1ODA4MTI3MTIAEBZLrOtH3gjp4kO260feCCdDSVEuUURULklRX0xBU1RTQUxFUFJJQ0UuMjgvMDEvMjAyNC5VU0QBAAAAiPABAAIAAAAOMjEsMjczMzU5NDAyNDYAEBZLrOtH3gjp4kO260feCCdDSVEuUURULklRX0xBU1RTQUxFUFJJQ0UuMDIvMDIvMjAyNC5VU0QBAAAAiPABAAIAAAAOMjEsMDIwODI2NTg1NTIA5UBLrOtH3gjp4kO260feCCdDSVEuUURULklRX0xBU1RTQUxFUFJJQ0UuMDMvMDIvMjAyNC5VU0QBAAAAiPABAAIAAAAOMjEsMDIwODI2NTg1NTIA5UBLrOtH3gjp4kO260feCCdDSVEuUURULklRX0xBU1RTQUxFUFJJQ0UuMDQvMDIvMjAyNC5VU0QBAAAAiPABAAIAAAAOMjEsMDIwODI2NTg1NTIA5UBLrOtH3ggrsEO260feCCdDSVEuUURULklRX0xBU1RTQUxFUFJJQ0UuMDUvMDIvMjAyNC5VU0QBAAAAiPABAAIAAAANMjEsNzc0MTA3MDUzMwDlQEus60feCOniQ7brR94IJ0NJUS5RRFQuSVFfTEFTVFNBTEVQUklDRS4yNS8wMS8yMDI0LlVTRAEAAACI8AEAAgAAAA0yMSwyMjAzMzE2MzI1AOVAS6zrR94IK7BDtutH3ggnQ0lRLlFEVC5JUV9MQVNUU0FMRVBSSUNFLjA4LzAyLzIwMjQuVVNEAQAAAIjwAQACAAAADTIxLDQyMDg4MjY3MzUA5UBLrOtH3gjp4kO260feCCdD</t>
  </si>
  <si>
    <t>SVEuVFJQLklRX0xBU1RTQUxFUFJJQ0UuMzEvMDEvMjAyNC5VU0QBAAAAH9ZnAQIAAAAQMCwwMDAyNzk3MjAyNzk3NADlQEus60feCMsURLbrR94IJ0NJUS5UUlAuSVFfTEFTVFNBTEVQUklDRS4zMC8wMS8yMDI0LlVTRAEAAAAf1mcBAgAAABAwLDAwMDI0MDY1NTU5NjU3AOVAS6zrR94I6eJDtutH3ggnQ0lRLlRSUC5JUV9MQVNUU0FMRVBSSUNFLjI5LzAxLzIwMjQuVVNEAQAAAB/WZwECAAAAEDAsMDAwMjE1NTgwMTAwNjMA5UBLrOtH3ghsP0S260feCCdDSVEuVFJQLklRX0xBU1RTQUxFUFJJQ0UuMjgvMDEvMjAyNC5VU0QBAAAAH9ZnAQIAAAAPMCwwMDAyNDE2OTAzMDU2AOVAS6zrR94IbD9EtutH3ggnQ0lRLlRSUC5JUV9MQVNUU0FMRVBSSUNFLjAyLzAyLzIwMjQuVVNEAQAAAB/WZwECAAAAEDAsMDAwMjY1NDY5OTQ0OTUA5UBLrOtH3ghsP0S260feCCdDSVEuVFJQLklRX0xBU1RTQUxFUFJJQ0UuMDMvMDIvMjAyNC5VU0QBAAAAH9ZnAQIAAAAQMCwwMDAyNjU0Njk5NDQ5NQDlQEus60feCGw/RLbrR94IJ0NJUS5UUlAuSVFfTEFTVFNBTEVQUklDRS4wNC8wMi8yMDI0LlVTRAEAAAAf1mcBAgAAABAwLDAwMDI2NTQ2OTk0NDk1AOVAS6zrR94IyxREtutH3ggnQ0lRLlRSUC5JUV9MQVNUU0FMRVBSSUNFLjA1LzAyLzIwMjQuVVNEAQAAAB/WZwECAAAAEDAsMDAwMjM4MDAyNzgwODUA5UBLrOtH3gjLFES2</t>
  </si>
  <si>
    <t>60feCCdDSVEuVFJQLklRX0xBU1RTQUxFUFJJQ0UuMjUvMDEvMjAyNC5VU0QBAAAAH9ZnAQIAAAAQMCwwMDAyMjg1ODg4NDQ4NgDlQEus60feCMsURLbrR94IJ0NJUS5UUlAuSVFfTEFTVFNBTEVQUklDRS4wOC8wMi8yMDI0LlVTRAEAAAAf1mcBAgAAABAwLDAwMDI3NzQyNzQ5MDU2AOVAS6zrR94IyWZEtutH3ggoQ0lRLjg0NTAuSVFfTEFTVFNBTEVQUklDRS4zMS8wMS8yMDI0LlVTRAEAAADoD3sYAgAAAA0wLDEzOTk1ODc3MTg4AOVAS6zrR94IyWZEtutH3ggoQ0lRLjg0NTAuSVFfTEFTVFNBTEVQUklDRS4zMC8wMS8yMDI0LlVTRAEAAADoD3sYAgAAAA4wLDEzNzYzOTUzNjEyNQDlQEus60feCMlmRLbrR94IKENJUS44NDUwLklRX0xBU1RTQUxFUFJJQ0UuMjkvMDEvMjAyNC5VU0QBAAAA6A97GAIAAAAOMCwxMzYxMjc5MTcwNDQA5UBLrOtH3gjJZkS260feCChDSVEuODQ1MC5JUV9MQVNUU0FMRVBSSUNFLjI4LzAxLzIwMjQuVVNEAQAAAOgPexgCAAAADjAsMTQzNDE1OTA2MDg0AOVAS6zrR94IyWZEtutH3ggoQ0lRLjg0NTAuSVFfTEFTVFNBTEVQUklDRS4wMi8wMi8yMDI0LlVTRAEAAADoD3sYAgAAAA4wLDEzODEyNDUyNzg3MgDlQEus60feCMlmRLbrR94IKENJUS44NDUwLklRX0xBU1RTQUxFUFJJQ0UuMDMvMDIvMjAyNC5VU0QBAAAA6A97GAIAAAAOMCwxMzgxMjQ1Mjc4NzIA5UBLrOtH3gggkUS2</t>
  </si>
  <si>
    <t>60feCChDSVEuODQ1MC5JUV9MQVNUU0FMRVBSSUNFLjA0LzAyLzIwMjQuVVNEAQAAAOgPexgCAAAADjAsMTM4MTI0NTI3ODcyAOVAS6zrR94IIJFEtutH3ggoQ0lRLjg0NTAuSVFfTEFTVFNBTEVQUklDRS4wNS8wMi8yMDI0LlVTRAEAAADoD3sYAgAAAA0wLDE2MDg5MjQxNjY1AOVAS6zrR94IIJFEtutH3ggoQ0lRLjg0NTAuSVFfTEFTVFNBTEVQUklDRS4yNS8wMS8yMDI0LlVTRAEAAADoD3sYAgAAAA0wLDE0NTIyNTk2NzI1AOVAS6zrR94IIJFEtutH3ggoQ0lRLjg0NTAuSVFfTEFTVFNBTEVQUklDRS4wOC8wMi8yMDI0LlVTRAEAAADoD3sYAgAAAA0wLDE2NTc2OTY0NDgxAOVAS6zrR94IIJFEtutH3ggnQ0lRLkJEQi5JUV9MQVNUU0FMRVBSSUNFLjMwLzAxLzIwMjQuVVNEAQAAAIQ/fgACAAAACzQsMjA1MDUwMzk1AOVAS6zrR94IIJFEtutH3ggnQ0lRLkJEQi5JUV9MQVNUU0FMRVBSSUNFLjI5LzAxLzIwMjQuVVNEAQAAAIQ/fgACAAAADTQsMTM3ODU2NTI2MDIA5UBLrOtH3ggDvES260feCCdDSVEuQkRCLklRX0xBU1RTQUxFUFJJQ0UuMjgvMDEvMjAyNC5VU0QBAAAAhD9+AAIAAAANNCwxNTAzNjk0MDMzNADlQEus60feCAO8RLbrR94IJ0NJUS5CREIuSVFfTEFTVFNBTEVQUklDRS4yNy8wMS8yMDI0LlVTRAEAAACEP34AAgAAAA00LDE1MDM2OTQwMzM0AOVAS6zrR94IOedEtutH3ggnQ0lRLkJEQi5J</t>
  </si>
  <si>
    <t>UV9MQVNUU0FMRVBSSUNFLjAxLzAyLzIwMjQuVVNEAQAAAIQ/fgACAAAADDQsMTg3NDU5MzE3MgDlQEus60feCDnnRLbrR94IJ0NJUS5CREIuSVFfTEFTVFNBTEVQUklDRS4wMi8wMi8yMDI0LlVTRAEAAACEP34AAgAAAAw0LDIwODQ4MTcwODYA5UBLrOtH3ggDvES260feCCdDSVEuQkRCLklRX0xBU1RTQUxFUFJJQ0UuMDMvMDIvMjAyNC5VU0QBAAAAhD9+AAIAAAAMNCwyMDg0ODE3MDg2AOVAS6zrR94IA7xEtutH3ggnQ0lRLkJEQi5JUV9MQVNUU0FMRVBSSUNFLjA0LzAyLzIwMjQuVVNEAQAAAIQ/fgACAAAADDQsMjA4NDgxNzA4NgDlQEus60feCDnnRLbrR94IJ0NJUS5CREIuSVFfTEFTVFNBTEVQUklDRS4yNC8wMS8yMDI0LlVTRAEAAACEP34AAgAAAA00LDA3NTg1MDA0Mzk4AOVAS6zrR94IA7xEtutH3ggnQ0lRLkJEQi5JUV9MQVNUU0FMRVBSSUNFLjA3LzAyLzIwMjQuVVNEAQAAAIQ/fgACAAAADTQsMzU3NjUwMDk3MzUA5UBLrOtH3ggDvES260feCChDSVEuVFJJQi5JUV9MQVNUU0FMRVBSSUNFLjMwLzAxLzIwMjQuVVNEAQAAAHsSBgACAAAABjIsMTc0NQDlQEus60feCNFFRbbrR94IKENJUS5UUklCLklRX0xBU1RTQUxFUFJJQ0UuMjkvMDEvMjAyNC5VU0QBAAAAexIGAAIAAAAGMiwxOTk1AOVAS6zrR94IOedEtutH3ggoQ0lRLlRSSUIuSVFfTEFTVFNBTEVQUklDRS4yOC8wMS8yMDI0LlVTRAEA</t>
  </si>
  <si>
    <t>AAB7EgYAAgAAAAMyLDEA5UBLrOtH3gjRRUW260feCChDSVEuVFJJQi5JUV9MQVNUU0FMRVBSSUNFLjI3LzAxLzIwMjQuVVNEAQAAAHsSBgACAAAAAzIsMQDlQEus60feCNFFRbbrR94IKENJUS5UUklCLklRX0xBU1RTQUxFUFJJQ0UuMDEvMDIvMjAyNC5VU0QBAAAAexIGAAIAAAAFMiw4MjIA5UBLrOtH3gjRRUW260feCChDSVEuVFJJQi5JUV9MQVNUU0FMRVBSSUNFLjAyLzAyLzIwMjQuVVNEAQAAAHsSBgACAAAAATMA5UBLrOtH3ggDEkW260feCChDSVEuVFJJQi5JUV9MQVNUU0FMRVBSSUNFLjAzLzAyLzIwMjQuVVNEAQAAAHsSBgACAAAAATMA5UBLrOtH3giqcEW260feCChDSVEuVFJJQi5JUV9MQVNUU0FMRVBSSUNFLjA0LzAyLzIwMjQuVVNEAQAAAHsSBgACAAAAATMA5UBLrOtH3ggDEkW260feCChDSVEuVFJJQi5JUV9MQVNUU0FMRVBSSUNFLjI0LzAxLzIwMjQuVVNEAQAAAHsSBgACAAAABDIsMDUA5UBLrOtH3ggDEkW260feCChDSVEuVFJJQi5JUV9MQVNUU0FMRVBSSUNFLjA3LzAyLzIwMjQuVVNEAQAAAHsSBgACAAAABTIsNjA1AOVAS6zrR94IqnBFtutH3ggnQ0lRLktTTC5JUV9MQVNUU0FMRVBSSUNFLjMwLzAxLzIwMjQuVVNEAQAAADPSTAECAAAADTAsMDcyODMzMDA1MjYA5UBLrOtH3giqcEW260feCCdDSVEuS1NMLklRX0xBU1RTQUxFUFJJQ0UuMjkvMDEvMjAyNC5VU0QBAAAAM9JMAQIA</t>
  </si>
  <si>
    <t>AAANMCwwNzUwMDc3NTQ2NADlQEus60feCIybRbbrR94IJ0NJUS5LU0wuSVFfTEFTVFNBTEVQUklDRS4yOC8wMS8yMDI0LlVTRAEAAAAz0kwBAgAAAAwwLDA3NDcxNDkwNDYA5UBLrOtH3giMm0W260feCCdDSVEuS1NMLklRX0xBU1RTQUxFUFJJQ0UuMjcvMDEvMjAyNC5VU0QBAAAAM9JMAQIAAAAMMCwwNzQ3MTQ5MDQ2AOVAS6zrR94IjJtFtutH3ggnQ0lRLktTTC5JUV9MQVNUU0FMRVBSSUNFLjAxLzAyLzIwMjQuVVNEAQAAADPSTAECAAAADTAsMDcxODY3MTMwODQA5UBLrOtH3giqcEW260feCCdDSVEuS1NMLklRX0xBU1RTQUxFUFJJQ0UuMDIvMDIvMjAyNC5VU0QBAAAAM9JMAQIAAAANMCwwNzE5NzI3ODQ2NADlQEus60feCIybRbbrR94IJ0NJUS5LU0wuSVFfTEFTVFNBTEVQUklDRS4wMy8wMi8yMDI0LlVTRAEAAAAz0kwBAgAAAA0wLDA3MTk3Mjc4NDY0AOVAS6zrR94IjJtFtutH3ggnQ0lRLktTTC5JUV9MQVNUU0FMRVBSSUNFLjA0LzAyLzIwMjQuVVNEAQAAADPSTAECAAAADTAsMDcxOTcyNzg0NjQA5UBLrOtH3giHxkW260feCCdDSVEuS1NMLklRX0xBU1RTQUxFUFJJQ0UuMjQvMDEvMjAyNC5VU0QBAAAAM9JMAQIAAAALMCwwNzI5MDI2NDgA5UBLrOtH3giHxkW260feCCdDSVEuS1NMLklRX0xBU1RTQUxFUFJJQ0UuMDcvMDIvMjAyNC5VU0QBAAAAM9JMAQIAAAANMCwwNzQ3OTg5NDE5OADlQEus</t>
  </si>
  <si>
    <t>60feCIfGRbbrR94IJ0NJUS5BTVMuSVFfTEFTVFNBTEVQUklDRS4zMC8wMS8yMDI0LlVTRAEAAACA0wMAAgAAAAQyLDY0AOVAS6zrR94I/BhGtutH3ggnQ0lRLkFNUy5JUV9MQVNUU0FMRVBSSUNFLjI5LzAxLzIwMjQuVVNEAQAAAIDTAwACAAAABjIsNzEwMQDlQEus60feCIvxRbbrR94IJ0NJUS5BTVMuSVFfTEFTVFNBTEVQUklDRS4yOC8wMS8yMDI0LlVTRAEAAACA0wMAAgAAAAQyLDcxAOVAS6zrR94Ii/FFtutH3ggnQ0lRLkFNUy5JUV9MQVNUU0FMRVBSSUNFLjI3LzAxLzIwMjQuVVNEAQAAAIDTAwACAAAABDIsNzEA5UBLrOtH3giL8UW260feCCdDSVEuQU1TLklRX0xBU1RTQUxFUFJJQ0UuMDEvMDIvMjAyNC5VU0QBAAAAgNMDAAIAAAAFMiw2NzEA5UBLrOtH3giL8UW260feCCdDSVEuQU1TLklRX0xBU1RTQUxFUFJJQ0UuMDIvMDIvMjAyNC5VU0QBAAAAgNMDAAIAAAAEMiw3MQDlQEus60feCIvxRbbrR94IJ0NJUS5BTVMuSVFfTEFTVFNBTEVQUklDRS4wMy8wMi8yMDI0LlVTRAEAAACA0wMAAgAAAAQyLDcxAOVAS6zrR94Ih8ZFtutH3ggnQ0lRLkFNUy5JUV9MQVNUU0FMRVBSSUNFLjA0LzAyLzIwMjQuVVNEAQAAAIDTAwACAAAABDIsNzEA5UBLrOtH3giHxkW260feCCdDSVEuQU1TLklRX0xBU1RTQUxFUFJJQ0UuMjQvMDEvMjAyNC5VU0QBAAAAgNMDAAIAAAAEMiw3MgDlQEus60feCIfGRbbrR94I</t>
  </si>
  <si>
    <t>J0NJUS5BTVMuSVFfTEFTVFNBTEVQUklDRS4wNy8wMi8yMDI0LlVTRAEAAACA0wMAAgAAAAQyLDc1AOVAS6zrR94Ih8ZFtutH3ggoQ0lRLlJFQkwuSVFfTEFTVFNBTEVQUklDRS4zMC8wMS8yMDI0LlVTRAEAAAC62q4AAgAAAAwzLDA5OTU5OTAwMjUA5UBLrOtH3gj8GEa260feCChDSVEuUkVCTC5JUV9MQVNUU0FMRVBSSUNFLjI5LzAxLzIwMjQuVVNEAQAAALrargACAAAADTMsMDg5ODg3NjQwODQA5UBLrOtH3gg8QEa260feCChDSVEuUkVCTC5JUV9MQVNUU0FMRVBSSUNFLjI4LzAxLzIwMjQuVVNEAQAAALrargACAAAADTMsMTA3MzQ0NjMxODIA5UBLrOtH3gj5aUa260feCChDSVEuUkVCTC5JUV9MQVNUU0FMRVBSSUNFLjI3LzAxLzIwMjQuVVNEAQAAALrargACAAAADTMsMTA3MzQ0NjMxODIA5UBLrOtH3gj5aUa260feCChDSVEuUkVCTC5JUV9MQVNUU0FMRVBSSUNFLjAxLzAyLzIwMjQuVVNEAQAAALrargACAAAADDMsMjc2MTk4NzQwNADlQEus60feCPlpRrbrR94IKENJUS5SRUJMLklRX0xBU1RTQUxFUFJJQ0UuMDIvMDIvMjAyNC5VU0QBAAAAutquAAIAAAAMMywxMjkzODM4MzQ2AOVAS6zrR94IPEBGtutH3ggoQ0lRLlJFQkwuSVFfTEFTVFNBTEVQUklDRS4wMy8wMi8yMDI0LlVTRAEAAAC62q4AAgAAAAwzLDEyOTM4MzgzNDYA5UBLrOtH3gj5aUa260feCChDSVEuUkVCTC5JUV9MQVNUU0FMRVBS</t>
  </si>
  <si>
    <t>SUNFLjA0LzAyLzIwMjQuVVNEAQAAALrargACAAAADDMsMTI5MzgzODM0NgDlQEus60feCDxARrbrR94IKENJUS5SRUJMLklRX0xBU1RTQUxFUFJJQ0UuMjQvMDEvMjAyNC5VU0QBAAAAutquAAIAAAANMywxMTY4MjY1MDQyMgDlQEus60feCDxARrbrR94IKENJUS5SRUJMLklRX0xBU1RTQUxFUFJJQ0UuMDcvMDIvMjAyNC5VU0QBAAAAutquAAIAAAANMywxNjMzMzExODE3OADlQEus60feCLGURrbrR94IJ0NJUS5IMk8uSVFfTEFTVFNBTEVQUklDRS4zMC8wMS8yMDI0LlVTRAEAAABHhw0AAgAAAAw4LDg2NTI4NjY1NzUA5UBLrOtH3gixlEa260feCCdDSVEuSDJPLklRX0xBU1RTQUxFUFJJQ0UuMjkvMDEvMjAyNC5VU0QBAAAAR4cNAAIAAAAMOCwzMTg5MjgyNjM4AOVAS6zrR94IsZRGtutH3ggnQ0lRLkgyTy5JUV9MQVNUU0FMRVBSSUNFLjI4LzAxLzIwMjQuVVNEAQAAAEeHDQACAAAADTgsNDUyODQ2NTg1ODYA5UBLrOtH3gixlEa260feCCdDSVEuSDJPLklRX0xBU1RTQUxFUFJJQ0UuMjcvMDEvMjAyNC5VU0QBAAAAR4cNAAIAAAANOCw0NTI4NDY1ODU4NgDlQEus60feCB2/RrbrR94IJ0NJUS5IMk8uSVFfTEFTVFNBTEVQUklDRS4wMS8wMi8yMDI0LlVTRAEAAABHhw0AAgAAAAs5LDAwNDEyMjM2NgDlQEus60feCPlpRrbrR94IJ0NJUS5IMk8uSVFfTEFTVFNBTEVQUklDRS4wMi8wMi8yMDI0LlVTRAEA</t>
  </si>
  <si>
    <t>AABHhw0AAgAAAAw5LDI4MDI0MTcxNjQA5UBLrOtH3ggdv0a260feCCdDSVEuSDJPLklRX0xBU1RTQUxFUFJJQ0UuMDMvMDIvMjAyNC5VU0QBAAAAR4cNAAIAAAAMOSwyODAyNDE3MTY0AOVAS6zrR94IHb9GtutH3ggnQ0lRLkgyTy5JUV9MQVNUU0FMRVBSSUNFLjA0LzAyLzIwMjQuVVNEAQAAAEeHDQACAAAADDksMjgwMjQxNzE2NADlQEus60feCB2/RrbrR94IJ0NJUS5IMk8uSVFfTEFTVFNBTEVQUklDRS4yNC8wMS8yMDI0LlVTRAEAAABHhw0AAgAAAA04LDI2MDY4MDAzNTY2AOVAS6zrR94IfuZGtutH3ggnQ0lRLkgyTy5JUV9MQVNUU0FMRVBSSUNFLjA3LzAyLzIwMjQuVVNEAQAAAEeHDQACAAAADTksNzI2NzA1NDAyNDgA5UBLrOtH3ggdv0a260feCChDSVEuRk5UTC5JUV9MQVNUU0FMRVBSSUNFLjI5LzAxLzIwMjQuVVNEAQAAAF/D5xUCAAAADjMsMzE2MTI5MTk0OTg1AOVAS6zrR94IfuZGtutH3ggoQ0lRLkZOVEwuSVFfTEFTVFNBTEVQUklDRS4yOC8wMS8yMDI0LlVTRAEAAABfw+cVAgAAAAozLDMzOTE0MjM4AOVAS6zrR94IfuZGtutH3ggoQ0lRLkZOVEwuSVFfTEFTVFNBTEVQUklDRS4yNy8wMS8yMDI0LlVTRAEAAABfw+cVAgAAAAozLDMzOTE0MjM4AOVAS6zrR94IfuZGtutH3ggoQ0lRLkZOVEwuSVFfTEFTVFNBTEVQUklDRS4yNi8wMS8yMDI0LlVTRAEAAABfw+cVAgAAAAozLDMzOTE0MjM4</t>
  </si>
  <si>
    <t>AOVAS6zrR94IURJHtutH3ggoQ0lRLkZOVEwuSVFfTEFTVFNBTEVQUklDRS4zMS8wMS8yMDI0LlVTRAEAAABfw+cVAgAAAA4zLDE5NzcxMTM3OTc1NQDlQEus60feCFESR7brR94IKENJUS5GTlRMLklRX0xBU1RTQUxFUFJJQ0UuMDEvMDIvMjAyNC5VU0QBAAAAX8PnFQIAAAAMMywxNDQ4OTM4MzU2AOVAS6zrR94IfuZGtutH3ggoQ0lRLkZOVEwuSVFfTEFTVFNBTEVQUklDRS4wMi8wMi8yMDI0LlVTRAEAAABfw+cVAgAAAA0zLDE0NzcxNTA2MTU1AOVAS6zrR94IfuZGtutH3ggoQ0lRLkZOVEwuSVFfTEFTVFNBTEVQUklDRS4wMy8wMi8yMDI0LlVTRAEAAABfw+cVAgAAAA0zLDE0NzcxNTA2MTU1AOVAS6zrR94IURJHtutH3ggoQ0lRLkZOVEwuSVFfTEFTVFNBTEVQUklDRS4yMy8wMS8yMDI0LlVTRAEAAABfw+cVAgAAAAwzLDI5MzAxNTAwODQA5UBLrOtH3gh+5ka260feCChDSVEuRk5UTC5JUV9MQVNUU0FMRVBSSUNFLjA2LzAyLzIwMjQuVVNEAQAAAF/D5xUCAAAADjMsMTc4MDU5NDMyNDc1AOVAS6zrR94IfuZGtutH3ggoQ0lRLkxPS08uSVFfTEFTVFNBTEVQUklDRS4yOS8wMS8yMDI0LlVTRAEAAACCTeYoAgAAABEwLDA2Mjk0NTIwODg0NDQ0MwDlQEus60feCEVOR7brR94IKENJUS5MT0tPLklRX0xBU1RTQUxFUFJJQ0UuMjgvMDEvMjAyNC5VU0QBAAAAgk3mKAIAAAARMCwwNjI0NTA5MDQyMjE1MzgA</t>
  </si>
  <si>
    <t>5UBLrOtH3ghREke260feCChDSVEuTE9LTy5JUV9MQVNUU0FMRVBSSUNFLjI3LzAxLzIwMjQuVVNEAQAAAIJN5igCAAAAETAsMDYyNDUwOTA0MjIxNTM4AOVAS6zrR94IRU5HtutH3ggoQ0lRLkxPS08uSVFfTEFTVFNBTEVQUklDRS4yNi8wMS8yMDI0LlVTRAEAAACCTeYoAgAAABEwLDA2MjQ1MDkwNDIyMTUzOADlQEus60feCEVOR7brR94IKENJUS5MT0tPLklRX0xBU1RTQUxFUFJJQ0UuMzEvMDEvMjAyNC5VU0QBAAAAgk3mKAIAAAARMCwwNzEzNzQwNzcyMzQxNjUA5UBLrOtH3ghFTke260feCChDSVEuTE9LTy5JUV9MQVNUU0FMRVBSSUNFLjAxLzAyLzIwMjQuVVNEAQAAAIJN5igCAAAAETAsMDczMDgxMTYxNTM2ODM4AOVAS6zrR94IRU5HtutH3ggoQ0lRLkxPS08uSVFfTEFTVFNBTEVQUklDRS4wMi8wMi8yMDI0LlVTRAEAAACCTeYoAgAAABEwLDA3NDkyNTYzOTI0ODE1MgDlQEus60feCFESR7brR94IKENJUS5MT0tPLklRX0xBU1RTQUxFUFJJQ0UuMDMvMDIvMjAyNC5VU0QBAAAAgk3mKAIAAAARMCwwNzQ5MjU2MzkyNDgxNTIA5UBLrOtH3ghREke260feCChDSVEuTE9LTy5JUV9MQVNUU0FMRVBSSUNFLjIzLzAxLzIwMjQuVVNEAQAAAIJN5igCAAAAEDAsMDU3OTExODEwNTYyNDUA5UBLrOtH3ghREke260feCChDSVEuTE9LTy5JUV9MQVNUU0FMRVBSSUNFLjA2LzAyLzIwMjQuVVNEAQAAAIJN5igC</t>
  </si>
  <si>
    <t>AAAAETAsMDc3NTU4MzIxNjU5NzA5AOVAS6zrR94I/HhHtutH3ggnQ0lRLk1ESC5JUV9MQVNUU0FMRVBSSUNFLjI5LzAxLzIwMjQuVVNEAQAAAA8rASoCAAAADTAsMTM5NDkzMDA2MjkA5UBLrOtH3gj8eEe260feCCdDSVEuTURILklRX0xBU1RTQUxFUFJJQ0UuMjgvMDEvMjAyNC5VU0QBAAAADysBKgIAAAAMMCwxMzk5MjU5NjY0AOVAS6zrR94I/HhHtutH3ggnQ0lRLk1ESC5JUV9MQVNUU0FMRVBSSUNFLjI3LzAxLzIwMjQuVVNEAQAAAA8rASoCAAAADDAsMTM5OTI1OTY2NADlQEus60feCPx4R7brR94IJ0NJUS5NREguSVFfTEFTVFNBTEVQUklDRS4yNi8wMS8yMDI0LlVTRAEAAAAPKwEqAgAAAAwwLDEzOTkyNTk2NjQA5UBLrOtH3gj8eEe260feCCdDSVEuTURILklRX0xBU1RTQUxFUFJJQ0UuMzEvMDEvMjAyNC5VU0QBAAAADysBKgIAAAANMCwxMzk4NjAxMzk4NwDlQEus60feCPx4R7brR94IJ0NJUS5NREguSVFfTEFTVFNBTEVQUklDRS4wMS8wMi8yMDI0LlVTRAEAAAAPKwEqAgAAAA0wLDEzOTc3MzA1OTM2AOVAS6zrR94I/HhHtutH3ggnQ0lRLk1ESC5JUV9MQVNUU0FMRVBSSUNFLjAyLzAyLzIwMjQuVVNEAQAAAA8rASoCAAAADTAsMTM5MDU1Njg1NDUA5UBLrOtH3gj8eEe260feCCdDSVEuTURILklRX0xBU1RTQUxFUFJJQ0UuMDMvMDIvMjAyNC5VU0QBAAAADysBKgIAAAANMCwxMzkwNTU2ODU0</t>
  </si>
  <si>
    <t>NQDlQEus60feCKyuR7brR94IJ0NJUS5NREguSVFfTEFTVFNBTEVQUklDRS4yMy8wMS8yMDI0LlVTRAEAAAAPKwEqAgAAAA0wLDEzOTMxOTg2NTc0AOVAS6zrR94IrK5HtutH3ggnQ0lRLk1ESC5JUV9MQVNUU0FMRVBSSUNFLjA2LzAyLzIwMjQuVVNEAQAAAA8rASoCAAAADTAsMTM4NDUwMTEzODkA5UBLrOtH3gisrke260feCChDSVEuSUJTVC5JUV9MQVNUU0FMRVBSSUNFLjI5LzAxLzIwMjQuVVNEAQAAABtlsBACAAAADTEsOTY1NTgzMjcwNDUA5UBLrOtH3gisrke260feCChDSVEuSUJTVC5JUV9MQVNUU0FMRVBSSUNFLjI4LzAxLzIwMjQuVVNEAQAAABtlsBACAAAADTEsOTc2NzcyMjg4OTYA5UBLrOtH3gjX2Ee260feCChDSVEuSUJTVC5JUV9MQVNUU0FMRVBSSUNFLjI3LzAxLzIwMjQuVVNEAQAAABtlsBACAAAADTEsOTc2NzcyMjg4OTYA5UBLrOtH3gjX2Ee260feCChDSVEuSUJTVC5JUV9MQVNUU0FMRVBSSUNFLjI2LzAxLzIwMjQuVVNEAQAAABtlsBACAAAADTEsOTc2NzcyMjg4OTYA5UBLrOtH3gisrke260feCChDSVEuSUJTVC5JUV9MQVNUU0FMRVBSSUNFLjMxLzAxLzIwMjQuVVNEAQAAABtlsBACAAAADjEsOTUwNDEzMjIzMjc4AOVAS6zrR94IrK5HtutH3ggoQ0lRLklCU1QuSVFfTEFTVFNBTEVQUklDRS4wMS8wMi8yMDI0LlVTRAEAAAAbZbAQAgAAAA0xLDkyNTA1NjIyNjY0AOVAS6zrR94I</t>
  </si>
  <si>
    <t>19hHtutH3ggoQ0lRLklCU1QuSVFfTEFTVFNBTEVQUklDRS4wMi8wMi8yMDI0LlVTRAEAAAAbZbAQAgAAAA4xLDk0Mjk4NzE2ODUxNQDlQEus60feCKyuR7brR94IKENJUS5JQlNULklRX0xBU1RTQUxFUFJJQ0UuMDMvMDIvMjAyNC5VU0QBAAAAG2WwEAIAAAAOMSw5NDI5ODcxNjg1MTUA5UBLrOtH3gjX2Ee260feCChDSVEuSUJTVC5JUV9MQVNUU0FMRVBSSUNFLjIzLzAxLzIwMjQuVVNEAQAAABtlsBACAAAACzEsODk5ODE2MzUxAOVAS6zrR94I19hHtutH3ggoQ0lRLklCU1QuSVFfTEFTVFNBTEVQUklDRS4wNi8wMi8yMDI0LlVTRAEAAAAbZbAQAgAAAA4xLDkwODA5NDI5Njg4NADlQEus60feCNfYR7brR94IJ0NJUS5LUk4uSVFfTEFTVFNBTEVQUklDRS4yOC8wMS8yMDI0LlVTRAEAAADBYQ0AAgAAAA4xMjYsNzkyNjk4Nzg3OQDlQEus60feCAYDSLbrR94IJ0NJUS5LUk4uSVFfTEFTVFNBTEVQUklDRS4yNy8wMS8yMDI0LlVTRAEAAADBYQ0AAgAAAA4xMjYsNzkyNjk4Nzg3OQDlQEus60feCAYDSLbrR94IJ0NJUS5LUk4uSVFfTEFTVFNBTEVQUklDRS4yNi8wMS8yMDI0LlVTRAEAAADBYQ0AAgAAAA4xMjYsNzkyNjk4Nzg3OQDlQEus60feCNfYR7brR94IJ0NJUS5LUk4uSVFfTEFTVFNBTEVQUklDRS4yNS8wMS8yMDI0LlVTRAEAAADBYQ0AAgAAAA4xMjYsNDc2NjQ0NjEyNQDlQEus60feCAYDSLbrR94I</t>
  </si>
  <si>
    <t>J0NJUS5LUk4uSVFfTEFTVFNBTEVQUklDRS4zMC8wMS8yMDI0LlVTRAEAAADBYQ0AAgAAAA4xMjQsNTI1ODQ4MDM3NQDlQEus60feCAYDSLbrR94IJ0NJUS5LUk4uSVFfTEFTVFNBTEVQUklDRS4zMS8wMS8yMDI0LlVTRAEAAADBYQ0AAgAAAA0xMjQsODc3OTQyOTcyAOVAS6zrR94IBgNItutH3ggnQ0lRLktSTi5JUV9MQVNUU0FMRVBSSUNFLjAxLzAyLzIwMjQuVVNEAQAAAMFhDQACAAAADTEyNSw2MjM3Nzk1MTYA5UBLrOtH3ghXKki260feCCdDSVEuS1JOLklRX0xBU1RTQUxFUFJJQ0UuMDIvMDIvMjAyNC5VU0QBAAAAwWENAAIAAAANMTI0LDYzNTgwNDQ0NwDlQEus60feCAYDSLbrR94IJ0NJUS5LUk4uSVFfTEFTVFNBTEVQUklDRS4yMi8wMS8yMDI0LlVTRAEAAADBYQ0AAgAAAA4xMjYsODY0ODU5MDI1NQDlQEus60feCAYDSLbrR94IJ0NJUS5LUk4uSVFfTEFTVFNBTEVQUklDRS4wNS8wMi8yMDI0LlVTRAEAAADBYQ0AAgAAAA4xMjEsODQ5MTkwMjA5NgDlQEus60feCFcqSLbrR94IKUNJUS5MSUREUy5JUV9MQVNUU0FMRVBSSUNFLjI4LzAxLzIwMjQuVVNEAQAAANgq/AECAAAADjAsMDI2Mjg5ODA3NjIyAOVAS6zrR94IVypItutH3ggpQ0lRLkxJRERTLklRX0xBU1RTQUxFUFJJQ0UuMjcvMDEvMjAyNC5VU0QBAAAA2Cr8AQIAAAAOMCwwMjYyODk4MDc2MjIA5UBLrOtH3ghXKki260feCClDSVEuTElE</t>
  </si>
  <si>
    <t>RFMuSVFfTEFTVFNBTEVQUklDRS4yNi8wMS8yMDI0LlVTRAEAAADYKvwBAgAAAA4wLDAyNjI4OTgwNzYyMgDlQEus60feCFcqSLbrR94IKUNJUS5MSUREUy5JUV9MQVNUU0FMRVBSSUNFLjI1LzAxLzIwMjQuVVNEAQAAANgq/AECAAAADjAsMDE5NzIyNjM4Mzc4AOVAS6zrR94IVypItutH3ggpQ0lRLkxJRERTLklRX0xBU1RTQUxFUFJJQ0UuMzAvMDEvMjAyNC5VU0QBAAAA2Cr8AQIAAAAOMCwwMjEzOTYyODUxNDEA5UBLrOtH3ghXKki260feCClDSVEuTElERFMuSVFfTEFTVFNBTEVQUklDRS4zMS8wMS8yMDI0LlVTRAEAAADYKvwBAgAAAA4wLDAyMDc3OTk3MzgxNQDlQEus60feCFcqSLbrR94IKUNJUS5MSUREUy5JUV9MQVNUU0FMRVBSSUNFLjAxLzAyLzIwMjQuVVNEAQAAANgq/AECAAAADjAsMDE5ODA0MTUwMzEyAOVAS6zrR94IVypItutH3ggpQ0lRLkxJRERTLklRX0xBU1RTQUxFUFJJQ0UuMDIvMDIvMjAyNC5VU0QBAAAA2Cr8AQIAAAAOMCwwMTk1NDczOTY3NzUA5UBLrOtH3gjaxki260feCClDSVEuTElERFMuSVFfTEFTVFNBTEVQUklDRS4yMi8wMS8yMDI0LlVTRAEAAADYKvwBAgAAAA4wLDAyNDcwNjc5ODI3MgDlQEus60feCNrGSLbrR94IKUNJUS5MSUREUy5JUV9MQVNUU0FMRVBSSUNFLjA1LzAyLzIwMjQuVVNEAQAAANgq/AECAAAADjAsMDE5MDA4MzQ3NjYyAOVAS6zrR94I2sZItutH3ggo</t>
  </si>
  <si>
    <t>Q0lRLkNVUk4uSVFfTEFTVFNBTEVQUklDRS4yOC8wMS8yMDI0LlVTRAEAAABYrgcIAwAAAAAA5UBLrOtH3gjaxki260feCChDSVEuQ1VSTi5JUV9MQVNUU0FMRVBSSUNFLjI3LzAxLzIwMjQuVVNEAQAAAFiuBwgDAAAAAADlQEus60feCOTtSLbrR94IKENJUS5DVVJOLklRX0xBU1RTQUxFUFJJQ0UuMjYvMDEvMjAyNC5VU0QBAAAAWK4HCAMAAAAAAOVAS6zrR94I5O1ItutH3ggoQ0lRLkNVUk4uSVFfTEFTVFNBTEVQUklDRS4yNS8wMS8yMDI0LlVTRAEAAABYrgcIAwAAAAAA5UBLrOtH3gjk7Ui260feCChDSVEuQ1VSTi5JUV9MQVNUU0FMRVBSSUNFLjMwLzAxLzIwMjQuVVNEAQAAAFiuBwgDAAAAAADlQEus60feCNrGSLbrR94IKENJUS5DVVJOLklRX0xBU1RTQUxFUFJJQ0UuMzEvMDEvMjAyNC5VU0QBAAAAWK4HCAMAAAAAAOVAS6zrR94I5O1ItutH3ggoQ0lRLkNVUk4uSVFfTEFTVFNBTEVQUklDRS4wMS8wMi8yMDI0LlVTRAEAAABYrgcIAwAAAAAA5UBLrOtH3gjk7Ui260feCChDSVEuQ1VSTi5JUV9MQVNUU0FMRVBSSUNFLjAyLzAyLzIwMjQuVVNEAQAAAFiuBwgDAAAAAADlQEus60feCNrGSLbrR94IKENJUS5DVVJOLklRX0xBU1RTQUxFUFJJQ0UuMjIvMDEvMjAyNC5VU0QBAAAAWK4HCAMAAAAAAOVAS6zrR94I5O1ItutH3ggoQ0lRLkNVUk4uSVFfTEFTVFNBTEVQUklDRS4wNS8wMi8yMDI0LlVTRAEA</t>
  </si>
  <si>
    <t>AABYrgcIAwAAAAAA5UBLrOtH3gjaxki260feCCZDSVEuRFQuSVFfTEFTVFNBTEVQUklDRS4yOC8wMS8yMDI0LlVTRAEAAABquXQlAgAAAAU1OCwyNgDlQEus60feCPUUSbbrR94IJkNJUS5EVC5JUV9MQVNUU0FMRVBSSUNFLjI3LzAxLzIwMjQuVVNEAQAAAGq5dCUCAAAABTU4LDI2AOVAS6zrR94I5O1ItutH3ggmQ0lRLkRULklRX0xBU1RTQUxFUFJJQ0UuMjYvMDEvMjAyNC5VU0QBAAAAarl0JQIAAAAFNTgsMjYA5UBLrOtH3gj1FEm260feCCZDSVEuRFQuSVFfTEFTVFNBTEVQUklDRS4yNS8wMS8yMDI0LlVTRAEAAABquXQlAgAAAAU1OCwxOQDlQEus60feCAI8SbbrR94IJkNJUS5EVC5JUV9MQVNUU0FMRVBSSUNFLjMwLzAxLzIwMjQuVVNEAQAAAGq5dCUCAAAABTU5LDM1AOVAS6zrR94IAjxJtutH3ggmQ0lRLkRULklRX0xBU1RTQUxFUFJJQ0UuMzEvMDEvMjAyNC5VU0QBAAAAarl0JQIAAAACNTcA5UBLrOtH3ggCPEm260feCCZDSVEuRFQuSVFfTEFTVFNBTEVQUklDRS4wMS8wMi8yMDI0LlVTRAEAAABquXQlAgAAAAQ1OCwzAOVAS6zrR94I9RRJtutH3ggmQ0lRLkRULklRX0xBU1RTQUxFUFJJQ0UuMDIvMDIvMjAyNC5VU0QBAAAAarl0JQIAAAAENjAsNwDlQEus60feCPUUSbbrR94IJkNJUS5EVC5JUV9MQVNUU0FMRVBSSUNFLjIyLzAxLzIwMjQuVVNEAQAAAGq5dCUCAAAABTU4LDI5AOVAS6zrR94I</t>
  </si>
  <si>
    <t>9RRJtutH3ggmQ0lRLkRULklRX0xBU1RTQUxFUFJJQ0UuMDUvMDIvMjAyNC5VU0QBAAAAarl0JQIAAAAFNjAsMDMA5UBLrOtH3ggCPEm260feCCdDSVEuSVRELklRX0xBU1RTQUxFUFJJQ0UuMjgvMDEvMjAyNC5VU0QBAAAA82gNAAIAAAAMMCwwMjEzNDcxMTU2AOVAS6zrR94IAjxJtutH3ggnQ0lRLklURC5JUV9MQVNUU0FMRVBSSUNFLjI3LzAxLzIwMjQuVVNEAQAAAPNoDQACAAAADDAsMDIxMzQ3MTE1NgDlQEus60feCAI8SbbrR94IJ0NJUS5JVEQuSVFfTEFTVFNBTEVQUklDRS4yNi8wMS8yMDI0LlVTRAEAAADzaA0AAgAAAAwwLDAyMTM0NzExNTYA5UBLrOtH3ggCPEm260feCCdDSVEuSVRELklRX0xBU1RTQUxFUFJJQ0UuMjUvMDEvMjAyNC5VU0QBAAAA82gNAAIAAAANMCwwMjE4MTQ1MjA1MgDlQEus60feCBJjSbbrR94IJ0NJUS5JVEQuSVFfTEFTVFNBTEVQUklDRS4zMC8wMS8yMDI0LlVTRAEAAADzaA0AAgAAAA0wLDAyMTE3MjM4NTI1AOVAS6zrR94IAjxJtutH3ggnQ0lRLklURC5JUV9MQVNUU0FMRVBSSUNFLjMxLzAxLzIwMjQuVVNEAQAAAPNoDQACAAAACzAsMDIwOTE5MzE5AOVAS6zrR94IEmNJtutH3ggnQ0lRLklURC5JUV9MQVNUU0FMRVBSSUNFLjAxLzAyLzIwMjQuVVNEAQAAAPNoDQACAAAADTAsMDIwMzcxNzg1MTIA5UBLrOtH3ggSY0m260feCCdDSVEuSVRELklRX0xBU1RTQUxFUFJJ</t>
  </si>
  <si>
    <t>Q0UuMDIvMDIvMjAyNC5VU0QBAAAA82gNAAIAAAANMCwwMjA1MjM0ODkzNwDlQEus60feCBJjSbbrR94IJ0NJUS5JVEQuSVFfTEFTVFNBTEVQUklDRS4yMi8wMS8yMDI0LlVTRAEAAADzaA0AAgAAAAwwLDAxOTY1NjI5NTQA5UBLrOtH3ggSY0m260feCCdDSVEuSVRELklRX0xBU1RTQUxFUFJJQ0UuMDUvMDIvMjAyNC5VU0QBAAAA82gNAAIAAAANMCwwMjAwOTc2OTY5NgDlQEus60feCCOKSbbrR94IKENJUS5TUEVDLklRX0xBU1RTQUxFUFJJQ0UuMjgvMDEvMjAyNC5VU0QBAAAAWXafbAIAAAAEMSw4NQDlQEus60feCCOKSbbrR94IKENJUS5TUEVDLklRX0xBU1RTQUxFUFJJQ0UuMjcvMDEvMjAyNC5VU0QBAAAAWXafbAIAAAAEMSw4NQDlQEus60feCCOKSbbrR94IKENJUS5TUEVDLklRX0xBU1RTQUxFUFJJQ0UuMjYvMDEvMjAyNC5VU0QBAAAAWXafbAIAAAAEMSw4NQDlQEus60feCA+ySbbrR94IKENJUS5TUEVDLklRX0xBU1RTQUxFUFJJQ0UuMjUvMDEvMjAyNC5VU0QBAAAAWXafbAIAAAAEMiwwNADlQEus60feCCOKSbbrR94IKENJUS5TUEVDLklRX0xBU1RTQUxFUFJJQ0UuMzAvMDEvMjAyNC5VU0QBAAAAWXafbAIAAAAEMSw1OADlQEus60feCCOKSbbrR94IKENJUS5TUEVDLklRX0xBU1RTQUxFUFJJQ0UuMzEvMDEvMjAyNC5VU0QBAAAAWXafbAIAAAAEMSw3MwDlQEus60feCCOKSbbrR94IKENJUS5T</t>
  </si>
  <si>
    <t>UEVDLklRX0xBU1RTQUxFUFJJQ0UuMDEvMDIvMjAyNC5VU0QBAAAAWXafbAIAAAAEMSw3NQDlQEus60feCCOKSbbrR94IKENJUS5TUEVDLklRX0xBU1RTQUxFUFJJQ0UuMDIvMDIvMjAyNC5VU0QBAAAAWXafbAIAAAAEMSw2NgDlQEus60feCA+ySbbrR94IKENJUS5TUEVDLklRX0xBU1RTQUxFUFJJQ0UuMjIvMDEvMjAyNC5VU0QBAAAAWXafbAIAAAAEMiwxNADlQEus60feCA+ySbbrR94IKENJUS5TUEVDLklRX0xBU1RTQUxFUFJJQ0UuMDUvMDIvMjAyNC5VU0QBAAAAWXafbAIAAAAEMSw2MwDlQEus60feCA+ySbbrR94IJ0NJUS5GR1AuSVFfTEFTVFNBTEVQUklDRS4yNS8wMS8yMDI0LlVTRAEAAAChaw0AAgAAAA4yLDE0ODczNTE0MTY4NADlQEus60feCAnaSbbrR94IJ0NJUS5GR1AuSVFfTEFTVFNBTEVQUklDRS4yNC8wMS8yMDI0LlVTRAEAAAChaw0AAgAAAA4yLDE1MTYwNjY5NTAwOADlQEus60feCA+ySbbrR94IJ0NJUS5GR1AuSVFfTEFTVFNBTEVQUklDRS4yMy8wMS8yMDI0LlVTRAEAAAChaw0AAgAAAA0yLDEwMjQ2MzQyODQ0AOVAS6zrR94ICdpJtutH3ggnQ0lRLkZHUC5JUV9MQVNUU0FMRVBSSUNFLjIyLzAxLzIwMjQuVVNEAQAAAKFrDQACAAAADjIsMTMxMzY2NDM5NjI4AOVAS6zrR94ICdpJtutH3ggnQ0lRLkZHUC5JUV9MQVNUU0FMRVBSSUNFLjI3LzAxLzIwMjQuVVNEAQAAAKFrDQACAAAA</t>
  </si>
  <si>
    <t>DDIsMTQ5NzcxNjY1NgDlQEus60feCAnaSbbrR94IJ0NJUS5GR1AuSVFfTEFTVFNBTEVQUklDRS4yOC8wMS8yMDI0LlVTRAEAAAChaw0AAgAAAAwyLDE0OTc3MTY2NTYA5UBLrOtH3ggJ2km260feCCdDSVEuRkdQLklRX0xBU1RTQUxFUFJJQ0UuMjkvMDEvMjAyNC5VU0QBAAAAoWsNAAIAAAAOMiwxNjk3NTAzMDY5MjkA5UBLrOtH3ggJ2km260feCCdDSVEuRkdQLklRX0xBU1RTQUxFUFJJQ0UuMzAvMDEvMjAyNC5VU0QBAAAAoWsNAAIAAAAOMiwxNTU3Njc1MDE5MDYA5UBLrOtH3ggPskm260feCCdDSVEuRkdQLklRX0xBU1RTQUxFUFJJQ0UuMTkvMDEvMjAyNC5VU0QBAAAAoWsNAAIAAAAOMiwwOTE4NTkzNTk3MDcA5UBLrOtH3ggJ2km260feCCdDSVEuRkdQLklRX0xBU1RTQUxFUFJJQ0UuMDIvMDIvMjAyNC5VU0QBAAAAoWsNAAIAAAANMiwxMzg5MjkyNzA3NADlQEus60feCD4KSrbrR94IJ0NJUS5OQlguSVFfTEFTVFNBTEVQUklDRS4yNS8wMS8yMDI0LlVTRAEAAACdSeIlAgAAAA4wLDA2MjQ1MzA4ODQyNgDlQEus60feCD4KSrbrR94IJ0NJUS5OQlguSVFfTEFTVFNBTEVQUklDRS4yNC8wMS8yMDI0LlVTRAEAAACdSeIlAgAAAA4wLDA2Mjc5MjM2NTI2NADlQEus60feCD4KSrbrR94IJ0NJUS5OQlguSVFfTEFTVFNBTEVQUklDRS4yMy8wMS8yMDI0LlVTRAEAAACdSeIlAgAAAAwwLDA2MTg5OTI4MjYA</t>
  </si>
  <si>
    <t>5UBLrOtH3gg+Ckq260feCCdDSVEuTkJYLklRX0xBU1RTQUxFUFJJQ0UuMjIvMDEvMjAyNC5VU0QBAAAAnUniJQIAAAAOMCwwNjIxMjM5MzMxMTIA5UBLrOtH3gg+Ckq260feCCdDSVEuTkJYLklRX0xBU1RTQUxFUFJJQ0UuMjcvMDEvMjAyNC5VU0QBAAAAnUniJQIAAAANMCwwNjE0OTAyMTU2OADlQEus60feCAnaSbbrR94IJ0NJUS5OQlguSVFfTEFTVFNBTEVQUklDRS4yOC8wMS8yMDI0LlVTRAEAAACdSeIlAgAAAA0wLDA2MTQ5MDIxNTY4AOVAS6zrR94IPgpKtutH3ggnQ0lRLk5CWC5JUV9MQVNUU0FMRVBSSUNFLjI5LzAxLzIwMjQuVVNEAQAAAJ1J4iUCAAAADjAsMDYyNzUzOTgxMzkyAOVAS6zrR94IPgpKtutH3ggnQ0lRLk5CWC5JUV9MQVNUU0FMRVBSSUNFLjMwLzAxLzIwMjQuVVNEAQAAAJ1J4iUCAAAADTAsMDYyMTM2MzIyOTUA5UBLrOtH3giYMUq260feCCdDSVEuTkJYLklRX0xBU1RTQUxFUFJJQ0UuMTkvMDEvMjAyNC5VU0QBAAAAnUniJQIAAAAOMCwwNjE2MTAxMzUxMTIA5UBLrOtH3giYMUq260feCCdDSVEuTkJYLklRX0xBU1RTQUxFUFJJQ0UuMDIvMDIvMjAyNC5VU0QBAAAAnUniJQIAAAAOMCwwNjYwNzc4MDI2NDgA5UBLrOtH3giYMUq260feCChDSVEuU0JUWC5JUV9MQVNUU0FMRVBSSUNFLjI0LzAxLzIwMjQuVVNEAQAAAIqmERgCAAAADTAsMTg4MDEwNjU2MTEA5UBLrOtH3giYMUq2</t>
  </si>
  <si>
    <t>60feCChDSVEuU0JUWC5JUV9MQVNUU0FMRVBSSUNFLjIzLzAxLzIwMjQuVVNEAQAAAIqmERgCAAAADjAsMTkzMTQ3OTk1Njg1AOVAS6zrR94I+lhKtutH3ggoQ0lRLlNCVFguSVFfTEFTVFNBTEVQUklDRS4yMi8wMS8yMDI0LlVTRAEAAACKphEYAgAAAA0wLDIwMzQ3MTczNjQ4AOVAS6zrR94ImDFKtutH3ggoQ0lRLlNCVFguSVFfTEFTVFNBTEVQUklDRS4yMS8wMS8yMDI0LlVTRAEAAACKphEYAgAAAA4wLDIwOTA1OTIzMzQwNQDlQEus60feCPpYSrbrR94IKENJUS5TQlRYLklRX0xBU1RTQUxFUFJJQ0UuMjYvMDEvMjAyNC5VU0QBAAAAiqYRGAIAAAANMCwxNDc1NTgyOTE4NADlQEus60feCPpYSrbrR94IKENJUS5TQlRYLklRX0xBU1RTQUxFUFJJQ0UuMjcvMDEvMjAyNC5VU0QBAAAAiqYRGAIAAAANMCwxNDc1NTgyOTE4NADlQEus60feCJgxSrbrR94IKENJUS5TQlRYLklRX0xBU1RTQUxFUFJJQ0UuMjgvMDEvMjAyNC5VU0QBAAAAiqYRGAIAAAANMCwxNDc1NTgyOTE4NADlQEus60feCPpYSrbrR94IKENJUS5TQlRYLklRX0xBU1RTQUxFUFJJQ0UuMjkvMDEvMjAyNC5VU0QBAAAAiqYRGAIAAAAQMCwxNDEwNzgxNTQwODg3NQDlQEus60feCPpYSrbrR94IKENJUS5TQlRYLklRX0xBU1RTQUxFUFJJQ0UuMTgvMDEvMjAyNC5VU0QBAAAAiqYRGAIAAAAOMCwxOTY2NjgwNjIzOTUA5UBLrOtH3giYMUq260fe</t>
  </si>
  <si>
    <t>CChDSVEuU0JUWC5JUV9MQVNUU0FMRVBSSUNFLjAxLzAyLzIwMjQuVVNEAQAAAIqmERgCAAAADDAsMTQyOTQ5NzE5OADlQEus60feCJgxSrbrR94IKENJUS5CUktSLklRX0xBU1RTQUxFUFJJQ0UuMjQvMDEvMjAyNC5VU0QBAAAA1QsIAAIAAAAFNzEsNTMA5UBLrOtH3gg4gEq260feCChDSVEuQlJLUi5JUV9MQVNUU0FMRVBSSUNFLjIzLzAxLzIwMjQuVVNEAQAAANULCAACAAAABTcxLDkzAOVAS6zrR94I+lhKtutH3ggoQ0lRLkJSS1IuSVFfTEFTVFNBTEVQUklDRS4yMi8wMS8yMDI0LlVTRAEAAADVCwgAAgAAAAQ3Miw5AOVAS6zrR94IOIBKtutH3ggoQ0lRLkJSS1IuSVFfTEFTVFNBTEVQUklDRS4yMS8wMS8yMDI0LlVTRAEAAADVCwgAAgAAAAU3MSw5NADlQEus60feCDiASrbrR94IKENJUS5CUktSLklRX0xBU1RTQUxFUFJJQ0UuMjYvMDEvMjAyNC5VU0QBAAAA1QsIAAIAAAAFNzEsOTcA5UBLrOtH3gjzqEq260feCChDSVEuQlJLUi5JUV9MQVNUU0FMRVBSSUNFLjI3LzAxLzIwMjQuVVNEAQAAANULCAACAAAABTcxLDk3AOVAS6zrR94IOIBKtutH3ggoQ0lRLkJSS1IuSVFfTEFTVFNBTEVQUklDRS4yOC8wMS8yMDI0LlVTRAEAAADVCwgAAgAAAAU3MSw5NwDlQEus60feCPOoSrbrR94IKENJUS5CUktSLklRX0xBU1RTQUxFUFJJQ0UuMjkvMDEvMjAyNC5VU0QBAAAA1QsIAAIAAAAFNzMsMTQA5UBLrOtH</t>
  </si>
  <si>
    <t>3gg4gEq260feCChDSVEuQlJLUi5JUV9MQVNUU0FMRVBSSUNFLjE4LzAxLzIwMjQuVVNEAQAAANULCAACAAAABDcxLDUA5UBLrOtH3gg4gEq260feCChDSVEuQlJLUi5JUV9MQVNUU0FMRVBSSUNFLjAxLzAyLzIwMjQuVVNEAQAAANULCAACAAAABTcyLDU4AOVAS6zrR94I86hKtutH3ggoQ0lRLklOSU4uSVFfTEFTVFNBTEVQUklDRS4yNC8wMS8yMDI0LlVTRAEAAAAynjYBAgAAAA4wLDY3NjI1NTQ5NzI4OADlQEus60feCPOoSrbrR94IKENJUS5JTklOLklRX0xBU1RTQUxFUFJJQ0UuMjMvMDEvMjAyNC5VU0QBAAAAMp42AQIAAAAOMCw2NjE5MTE0Nzg2NjgA5UBLrOtH3gjzqEq260feCChDSVEuSU5JTi5JUV9MQVNUU0FMRVBSSUNFLjIyLzAxLzIwMjQuVVNEAQAAADKeNgECAAAADTAsNjY2NTQyNzQxMjcA5UBLrOtH3gjzqEq260feCChDSVEuSU5JTi5JUV9MQVNUU0FMRVBSSUNFLjIxLzAxLzIwMjQuVVNEAQAAADKeNgECAAAADDAsNjc2NTYxMDM3OQDlQEus60feCPOoSrbrR94IKENJUS5JTklOLklRX0xBU1RTQUxFUFJJQ0UuMjYvMDEvMjAyNC5VU0QBAAAAMp42AQIAAAAOMCw2OTk4ODA3MzM2MTQA5UBLrOtH3gjzqEq260feCChDSVEuSU5JTi5JUV9MQVNUU0FMRVBSSUNFLjI3LzAxLzIwMjQuVVNEAQAAADKeNgECAAAADjAsNjk5ODgwNzMzNjE0AOVAS6zrR94ITNBKtutH3ggoQ0lRLklOSU4uSVFf</t>
  </si>
  <si>
    <t>TEFTVFNBTEVQUklDRS4yOC8wMS8yMDI0LlVTRAEAAAAynjYBAgAAAA4wLDcyNjE3MzY5Njg4MwDlQEus60feCEzQSrbrR94IKENJUS5JTklOLklRX0xBU1RTQUxFUFJJQ0UuMjkvMDEvMjAyNC5VU0QBAAAAMp42AQIAAAAOMCw3OTk5MjM1ODQxOTYA5UBLrOtH3ggs/Uq260feCChDSVEuSU5JTi5JUV9MQVNUU0FMRVBSSUNFLjE4LzAxLzIwMjQuVVNEAQAAADKeNgECAAAADTAsNjYwOTkyMTUyNzMA5UBLrOtH3ggs/Uq260feCChDSVEuSU5JTi5JUV9MQVNUU0FMRVBSSUNFLjAxLzAyLzIwMjQuVVNEAQAAADKeNgECAAAADjAsODg1OTA2NzcxOTA0AOVAS6zrR94ILP1KtutH3ggrQ0lRLlNPTFdFUlMuSVFfTEFTVFNBTEVQUklDRS4yMy8wMS8yMDI0LlVTRAEAAACZbtIgAgAAAA01LDA3MDk3MTkzNjE2AOVAS6zrR94ILP1KtutH3ggrQ0lRLlNPTFdFUlMuSVFfTEFTVFNBTEVQUklDRS4yMi8wMS8yMDI0LlVTRAEAAACZbtIgAgAAAAw1LDExODE1MzExMDkA5UBLrOtH3ghVJEu260feCCtDSVEuU09MV0VSUy5JUV9MQVNUU0FMRVBSSUNFLjIxLzAxLzIwMjQuVVNEAQAAAJlu0iACAAAADDUsMTE0ODExMTg1MwDlQEus60feCFUkS7brR94IK0NJUS5TT0xXRVJTLklRX0xBU1RTQUxFUFJJQ0UuMjAvMDEvMjAyNC5VU0QBAAAAmW7SIAIAAAAMNSwxMTQ4MTExODUzAOVAS6zrR94ILP1KtutH3ggrQ0lRLlNPTFdF</t>
  </si>
  <si>
    <t>UlMuSVFfTEFTVFNBTEVQUklDRS4yNS8wMS8yMDI0LlVTRAEAAACZbtIgAgAAAAk1LDIwMjEyNDIA5UBLrOtH3ggs/Uq260feCCtDSVEuU09MV0VSUy5JUV9MQVNUU0FMRVBSSUNFLjI2LzAxLzIwMjQuVVNEAQAAAJlu0iACAAAADTUsMDQxMjg2Mzk1NjgA5UBLrOtH3ghVJEu260feCCtDSVEuU09MV0VSUy5JUV9MQVNUU0FMRVBSSUNFLjI3LzAxLzIwMjQuVVNEAQAAAJlu0iACAAAADTUsMDQxMjg2Mzk1NjgA5UBLrOtH3ggs/Uq260feCCtDSVEuU09MV0VSUy5JUV9MQVNUU0FMRVBSSUNFLjI4LzAxLzIwMjQuVVNEAQAAAJlu0iACAAAADTUsMDQxMjg2Mzk1NjgA5UBLrOtH3ghVJEu260feCCtDSVEuU09MV0VSUy5JUV9MQVNUU0FMRVBSSUNFLjE3LzAxLzIwMjQuVVNEAQAAAJlu0iACAAAADTUsMTQ2MDIxMDYyNDgA5UBLrOtH3ghVJEu260feCCtDSVEuU09MV0VSUy5JUV9MQVNUU0FMRVBSSUNFLjMxLzAxLzIwMjQuVVNEAQAAAJlu0iACAAAADDQsNzUyMDg4NTMzNgDlQEus60feCFUkS7brR94IKkNJUS5TRElQIEIuSVFfTEFTVFNBTEVQUklDRS4yMy8wMS8yMDI0LlVTRAEAAAD1osgGAgAAAA0yMiw3OTQzNDY4MDY0AOVAS6zrR94IYUtLtutH3ggqQ0lRLlNESVAgQi5JUV9MQVNUU0FMRVBSSUNFLjIyLzAxLzIwMjQuVVNEAQAAAPWiyAYCAAAADTIyLDgxMDY5NTE0ODgA5UBLrOtH3ghVJEu260feCCpD</t>
  </si>
  <si>
    <t>SVEuU0RJUCBCLklRX0xBU1RTQUxFUFJJQ0UuMjEvMDEvMjAyNC5VU0QBAAAA9aLIBgIAAAANMjIsMjAxNDU2NzA1OADlQEus60feCHJyS7brR94IKkNJUS5TRElQIEIuSVFfTEFTVFNBTEVQUklDRS4yMC8wMS8yMDI0LlVTRAEAAAD1osgGAgAAAA0yMiwyMDE0NTY3MDU4AOVAS6zrR94IcnJLtutH3ggqQ0lRLlNESVAgQi5JUV9MQVNUU0FMRVBSSUNFLjI1LzAxLzIwMjQuVVNEAQAAAPWiyAYCAAAADTI0LDMzNzM1Mjc5NDYA5UBLrOtH3ghycku260feCCpDSVEuU0RJUCBCLklRX0xBU1RTQUxFUFJJQ0UuMjYvMDEvMjAyNC5VU0QBAAAA9aLIBgIAAAAMMjQsNzU0NjM2Mzc0AOVAS6zrR94IcnJLtutH3ggqQ0lRLlNESVAgQi5JUV9MQVNUU0FMRVBSSUNFLjI3LzAxLzIwMjQuVVNEAQAAAPWiyAYCAAAADDI0LDc1NDYzNjM3NADlQEus60feCGFLS7brR94IKkNJUS5TRElQIEIuSVFfTEFTVFNBTEVQUklDRS4yOC8wMS8yMDI0LlVTRAEAAAD1osgGAgAAAAwyNCw3NTQ2MzYzNzQA5UBLrOtH3ghhS0u260feCCpDSVEuU0RJUCBCLklRX0xBU1RTQUxFUFJJQ0UuMTcvMDEvMjAyNC5VU0QBAAAA9aLIBgIAAAANMjMsNzEzMzQxNDQ5NgDlQEus60feCGFLS7brR94IKkNJUS5TRElQIEIuSVFfTEFTVFNBTEVQUklDRS4zMS8wMS8yMDI0LlVTRAEAAAD1osgGAgAAAA0yNSwwNzEyODAwMzU0AOVAS6zrR94IfaZLtutH</t>
  </si>
  <si>
    <t>3ggnQ0lRLkFTWS5JUV9MQVNUU0FMRVBSSUNFLjIzLzAxLzIwMjQuVVNEAQAAAJhkDQACAAAADTcsODg0MjM3ODU2NjUA5UBLrOtH3ghycku260feCCdDSVEuQVNZLklRX0xBU1RTQUxFUFJJQ0UuMjIvMDEvMjAyNC5VU0QBAAAAmGQNAAIAAAANNyw5NDgxMTQ3MDYyNQDlQEus60feCH2mS7brR94IJ0NJUS5BU1kuSVFfTEFTVFNBTEVQUklDRS4yNS8wMS8yMDI0LlVTRAEAAACYZA0AAgAAAA03LDkzNzExMjY2ODc1AOVAS6zrR94IfaZLtutH3ggnQ0lRLkFTWS5JUV9MQVNUU0FMRVBSSUNFLjI2LzAxLzIwMjQuVVNEAQAAAJhkDQACAAAACDcsOTUwMzM5AOVAS6zrR94IfaZLtutH3ggnQ0lRLkFTWS5JUV9MQVNUU0FMRVBSSUNFLjI3LzAxLzIwMjQuVVNEAQAAAJhkDQACAAAACDcsOTUwMzM5AOVAS6zrR94IfaZLtutH3ggnQ0lRLkFTWS5JUV9MQVNUU0FMRVBSSUNFLjI4LzAxLzIwMjQuVVNEAQAAAJhkDQACAAAACDcsOTUwMzM5AOVAS6zrR94IfaZLtutH3ggnQ0lRLkFTWS5JUV9MQVNUU0FMRVBSSUNFLjMxLzAxLzIwMjQuVVNEAQAAAJhkDQACAAAADDcsODgzMDI2MDY1NADlQEus60feCNjNS7brR94IMENJUS5BQ0FELklRX1RPVEFMX0FTU0VUUy4yMDAwLjAxLzAxLzIwMjQuLi5VU0QuSAEAAADBbgoAAgAAAAc3NDgsOTU2AQgAAAAFAAAAATEBAAAACy0xOTU3NTAwMTUwAwAAAAMxNjACAAAABDEwMDcE</t>
  </si>
  <si>
    <t>AAAAATAHAAAACDEvMS8yMDI0CAAAAAoxMi8zMS8yMDIzCQAAAAEwrUZOrOtH3ghG7zu260feCC5DSVEuQUNBRC5JUV9DQVNIX0VRVUlWLjIwMDAuMDEvMDEvMjAyNC4uLlVTRC5IAQAAAMFuCgACAAAABzE4OCw2NTcBCAAAAAUAAAABMQEAAAALLTE5NTc1MDAxNTADAAAAAzE2MAIAAAAEMTA5NgQAAAABMAcAAAAIMS8xLzIwMjQIAAAACjEyLzMxLzIwMjMJAAAAATDlQEus60feCEbvO7brR94ILENJUS5BQ0FELklRX05FVF9ERUJULjIwMDAuMDEvMDEvMjAyNC4uLlVTRC5IAQAAAMFuCgACAAAABy0zODEsNjYBCAAAAAUAAAABMQEAAAALLTE5NTc1MDAxNTADAAAAAzE2MAIAAAAENDM2NAQAAAABMAcAAAAIMS8xLzIwMjQIAAAACjEyLzMxLzIwMjMJAAAAATDlQEus60feCEbvO7brR94IKkNJUS5CVFJXLklRX0VCSVREQS4yMDAwLjAxLzAxLzIwMjQuLi5VU0QuSAEAAACiVg0AAgAAAAo2MTIsNjc2NDE1AQgAAAAFAAAAATEBAAAACy0xOTYwMjQyMzIzAwAAAAMxNjACAAAABDQwNTEEAAAAATAHAAAACDEvMS8yMDI0CAAAAAoxMi8zMS8yMDIzCQAAAAEw5UBLrOtH3ghG7zu260feCDFDSVEuQlRSVy5JUV9FQklUREFfTUFSR0lOLjIwMDAuMDEvMDEvMjAyNC4uLlVTRC5IAQAAAKJWDQACAAAABzEwLDk2MDkBCAAAAAUAAAABMQEAAAALLTE5NjAyNDIzMjMDAAAAAjU1AgAAAAQ0MDQ3BAAAAAEwBwAAAAgxLzEv</t>
  </si>
  <si>
    <t>MjAyNAgAAAAKMTIvMzEvMjAyMwkAAAABMOVAS6zrR94IRu87tutH3ggwQ0lRLkJUUlcuSVFfVE9UQUxfQVNTRVRTLjIwMDAuMDEvMDEvMjAyNC4uLlVTRC5IAQAAAKJWDQACAAAACjk2NTgsMjUxMzkBCAAAAAUAAAABMQEAAAALLTE5NjAyNDIzMjMDAAAAAzE2MAIAAAAEMTAwNwQAAAABMAcAAAAIMS8xLzIwMjQIAAAACjEyLzMxLzIwMjMJAAAAATDlQEus60feCP0ZPLbrR94ILkNJUS5CVFJXLklRX0NBU0hfRVFVSVYuMjAwMC4wMS8wMS8yMDI0Li4uVVNELkgBAAAAolYNAAIAAAALMTIwOSw5NDAzODgBCAAAAAUAAAABMQEAAAALLTE5NjAyNDIzMjMDAAAAAzE2MAIAAAAEMTA5NgQAAAABMAcAAAAIMS8xLzIwMjQIAAAACjEyLzMxLzIwMjMJAAAAATDlQEus60feCP0ZPLbrR94ILENJUS5CVFJXLklRX05FVF9ERUJULjIwMDAuMDEvMDEvMjAyNC4uLlVTRC5IAQAAAKJWDQACAAAACy04OTYsNzIzOTAxAQgAAAAFAAAAATEBAAAACy0xOTYwMjQyMzIzAwAAAAMxNjACAAAABDQzNjQEAAAAATAHAAAACDEvMS8yMDI0CAAAAAoxMi8zMS8yMDIzCQAAAAEw5UBLrOtH3gj9GTy260feCCpDSVEuTVNDSS5JUV9FQklUREEuMjAwMC4wMS8wMS8yMDI0Li4uVVNELkgBAAAA3rF3AAIAAAAIMTQ3OSw3MDkBCAAAAAUAAAABMQEAAAALLTE5NjA1Njg1MTYDAAAAAzE2MAIAAAAENDA1MQQAAAABMAcAAAAIMS8xLzIwMjQI</t>
  </si>
  <si>
    <t>AAAACjEyLzMxLzIwMjMJAAAAATDlQEus60feCP0ZPLbrR94IMUNJUS5NU0NJLklRX0VCSVREQV9NQVJHSU4uMjAwMC4wMS8wMS8yMDI0Li4uVVNELkgBAAAA3rF3AAIAAAAHNTgsNTExNAEIAAAABQAAAAExAQAAAAstMTk2MDU2ODUxNgMAAAADMTYwAgAAAAQ0MDQ3BAAAAAEwBwAAAAgxLzEvMjAyNAgAAAAKMTIvMzEvMjAyMwkAAAABMOVAS6zrR94I1m48tutH3ggwQ0lRLk1TQ0kuSVFfVE9UQUxfQVNTRVRTLjIwMDAuMDEvMDEvMjAyNC4uLlVTRC5IAQAAAN6xdwACAAAACDU1MTgsMjE5AQgAAAAFAAAAATEBAAAACy0xOTYwNTY4NTE2AwAAAAMxNjACAAAABDEwMDcEAAAAATAHAAAACDEvMS8yMDI0CAAAAAoxMi8zMS8yMDIzCQAAAAEw5UBLrOtH3gjWbjy260feCC5DSVEuTVNDSS5JUV9DQVNIX0VRVUlWLjIwMDAuMDEvMDEvMjAyNC4uLlVTRC5IAQAAAN6xdwACAAAABzQ1Nyw4MTUBCAAAAAUAAAABMQEAAAALLTE5NjA1Njg1MTYDAAAAAzE2MAIAAAAEMTA5NgQAAAABMAcAAAAIMS8xLzIwMjQIAAAACjEyLzMxLzIwMjMJAAAAATDlQEus60feCFdEPLbrR94ILENJUS5NU0NJLklRX05FVF9ERUJULjIwMDAuMDEvMDEvMjAyNC4uLlVTRC5IAQAAAN6xdwACAAAACDQxNzAsMDQ3AQgAAAAFAAAAATEBAAAACy0xOTYwNTY4NTE2AwAAAAMxNjACAAAABDQzNjQEAAAAATAHAAAACDEvMS8yMDI0CAAAAAoxMi8z</t>
  </si>
  <si>
    <t>MS8yMDIzCQAAAAEw5UBLrOtH3ghXRDy260feCCpDSVEuNTI1OC5JUV9FQklUREEuMjAwMC4wMS8wMS8yMDI0Li4uVVNELkgBAAAAIm6ICAMAAAAAAOVAS6zrR94I1m48tutH3ggxQ0lRLjUyNTguSVFfRUJJVERBX01BUkdJTi4yMDAwLjAxLzAxLzIwMjQuLi5VU0QuSAEAAAAibogIAwAAAAAA5UBLrOtH3gjWbjy260feCDBDSVEuNTI1OC5JUV9UT1RBTF9BU1NFVFMuMjAwMC4wMS8wMS8yMDI0Li4uVVNELkgBAAAAIm6ICAMAAAAAAOVAS6zrR94Iupc8tutH3gguQ0lRLjUyNTguSVFfQ0FTSF9FUVVJVi4yMDAwLjAxLzAxLzIwMjQuLi5VU0QuSAEAAAAibogIAwAAAAAA5UBLrOtH3gi6lzy260feCCxDSVEuNTI1OC5JUV9ORVRfREVCVC4yMDAwLjAxLzAxLzIwMjQuLi5VU0QuSAEAAAAibogIAwAAAAAA5UBLrOtH3gi6lzy260feCCxDSVEuRU1JTCBCLklRX0VCSVREQS4yMDAwLjAxLzAxLzIwMjQuLi5VU0QuSAEAAADUT5glAgAAAAk0Myw2NTI1NzcBCAAAAAUAAAABMQEAAAALLTE5NTEzMzQwODIDAAAAAzE2MAIAAAAENDA1MQQAAAABMAcAAAAIMS8xLzIwMjQIAAAACjEyLzMxLzIwMjMJAAAAATDlQEus60feCLqXPLbrR94IM0NJUS5FTUlMIEIuSVFfRUJJVERBX01BUkdJTi4yMDAwLjAxLzAxLzIwMjQuLi5VU0QuSAEAAADUT5glAgAAAAc3NCwwMzAzAQgAAAAFAAAAATEBAAAACy0xOTUxMzM0MDgyAwAA</t>
  </si>
  <si>
    <t>AAMxMzcCAAAABDQwNDcEAAAAATAHAAAACDEvMS8yMDI0CAAAAAoxMi8zMS8yMDIzCQAAAAEw5UBLrOtH3gi6lzy260feCDJDSVEuRU1JTCBCLklRX1RPVEFMX0FTU0VUUy4yMDAwLjAxLzAxLzIwMjQuLi5VU0QuSAEAAADUT5glAgAAAAo3NTcsODA0NzY2AQgAAAAFAAAAATEBAAAACy0xOTUxMzM0MDgyAwAAAAMxNjACAAAABDEwMDcEAAAAATAHAAAACDEvMS8yMDI0CAAAAAoxMi8zMS8yMDIzCQAAAAEw5UBLrOtH3ghNvzy260feCDBDSVEuRU1JTCBCLklRX0NBU0hfRVFVSVYuMjAwMC4wMS8wMS8yMDI0Li4uVVNELkgBAAAA1E+YJQIAAAAJMjEsMDgwNTE2AQgAAAAFAAAAATEBAAAACy0xOTUxMzM0MDgyAwAAAAMxNjACAAAABDEwOTYEAAAAATAHAAAACDEvMS8yMDI0CAAAAAoxMi8zMS8yMDIzCQAAAAEw5UBLrOtH3ghNvzy260feCC5DSVEuRU1JTCBCLklRX05FVF9ERUJULjIwMDAuMDEvMDEvMjAyNC4uLlVTRC5IAQAAANRPmCUCAAAACjM3NCw5NzQ2NDYBCAAAAAUAAAABMQEAAAALLTE5NTEzMzQwODIDAAAAAzE2MAIAAAAENDM2NAQAAAABMAcAAAAIMS8xLzIwMjQIAAAACjEyLzMxLzIwMjMJAAAAATDlQEus60feCE2/PLbrR94IKkNJUS5NUFdSLklRX0VCSVREQS4yMDAwLjAxLzAxLzIwMjQuLi5VU0QuSAEAAABqkC4AAgAAAAc1MjEsOTA0AQgAAAAFAAAAATEBAAAACy0xOTU3MjEyNjM0AwAAAAMx</t>
  </si>
  <si>
    <t>NjACAAAABDQwNTEEAAAAATAHAAAACDEvMS8yMDI0CAAAAAoxMi8zMS8yMDIzCQAAAAEw5UBLrOtH3ghNvzy260feCDFDSVEuTVBXUi5JUV9FQklUREFfTUFSR0lOLjIwMDAuMDEvMDEvMjAyNC4uLlVTRC5IAQAAAGqQLgACAAAABzI4LDY1OTEBCAAAAAUAAAABMQEAAAALLTE5NTcyMTI2MzQDAAAAAzE2MAIAAAAENDA0NwQAAAABMAcAAAAIMS8xLzIwMjQIAAAACjEyLzMxLzIwMjMJAAAAATDlQEus60feCEkiPbbrR94IMENJUS5NUFdSLklRX1RPVEFMX0FTU0VUUy4yMDAwLjAxLzAxLzIwMjQuLi5VU0QuSAEAAABqkC4AAgAAAAgyNDM0LDM1MwEIAAAABQAAAAExAQAAAAstMTk1NzIxMjYzNAMAAAADMTYwAgAAAAQxMDA3BAAAAAEwBwAAAAgxLzEvMjAyNAgAAAAKMTIvMzEvMjAyMwkAAAABMOVAS6zrR94ISSI9tutH3gguQ0lRLk1QV1IuSVFfQ0FTSF9FUVVJVi4yMDAwLjAxLzAxLzIwMjQuLi5VU0QuSAEAAABqkC4AAgAAAAc1MjcsODQzAQgAAAAFAAAAATEBAAAACy0xOTU3MjEyNjM0AwAAAAMxNjACAAAABDEwOTYEAAAAATAHAAAACDEvMS8yMDI0CAAAAAoxMi8zMS8yMDIzCQAAAAEw5UBLrOtH3ggB+Dy260feCCxDSVEuTVBXUi5JUV9ORVRfREVCVC4yMDAwLjAxLzAxLzIwMjQuLi5VU0QuSAEAAABqkC4AAgAAAAktMTEwMCw2MDgBCAAAAAUAAAABMQEAAAALLTE5NTcyMTI2MzQDAAAAAzE2MAIAAAAE</t>
  </si>
  <si>
    <t>NDM2NAQAAAABMAcAAAAIMS8xLzIwMjQIAAAACjEyLzMxLzIwMjMJAAAAATDlQEus60feCAH4PLbrR94IKUNJUS5BVFMuSVFfRUJJVERBLjIwMDAuMDEvMDEvMjAyNC4uLlVTRC5IAQAAANP3CxYCAAAAAzAsOAEIAAAABQAAAAExAQAAAAstMTk1ODIwNjMxNwMAAAADMTYwAgAAAAQ0MDUxBAAAAAEwBwAAAAgxLzEvMjAyNAgAAAAKMTIvMzEvMjAyMwkAAAABMOVAS6zrR94ISSI9tutH3ggwQ0lRLkFUUy5JUV9FQklUREFfTUFSR0lOLjIwMDAuMDEvMDEvMjAyNC4uLlVTRC5IAQAAANP3CxYCAAAABjQsMDcwOAEIAAAABQAAAAExAQAAAAstMTk1ODIwNjMxNwMAAAADMTYwAgAAAAQ0MDQ3BAAAAAEwBwAAAAgxLzEvMjAyNAgAAAAKMTIvMzEvMjAyMwkAAAABMOVAS6zrR94ISSI9tutH3ggvQ0lRLkFUUy5JUV9UT1RBTF9BU1NFVFMuMjAwMC4wMS8wMS8yMDI0Li4uVVNELkgBAAAA0/cLFgIAAAAGNzAsNzc3AQgAAAAFAAAAATEBAAAACy0xOTU4MjA2MzE3AwAAAAMxNjACAAAABDEwMDcEAAAAATAHAAAACDEvMS8yMDI0CAAAAAoxMi8zMS8yMDIzCQAAAAEw5UBLrOtH3gicTD2260feCC1DSVEuQVRTLklRX0NBU0hfRVFVSVYuMjAwMC4wMS8wMS8yMDI0Li4uVVNELkgBAAAA0/cLFgIAAAAFMyw3NjMBCAAAAAUAAAABMQEAAAALLTE5NTgyMDYzMTcDAAAAAzE2MAIAAAAEMTA5NgQAAAABMAcAAAAIMS8xLzIwMjQI</t>
  </si>
  <si>
    <t>AAAACjEyLzMxLzIwMjMJAAAAATDlQEus60feCJxMPbbrR94IK0NJUS5BVFMuSVFfTkVUX0RFQlQuMjAwMC4wMS8wMS8yMDI0Li4uVVNELkgBAAAA0/cLFgIAAAAFNCwzOTYBCAAAAAUAAAABMQEAAAALLTE5NTgyMDYzMTcDAAAAAzE2MAIAAAAENDM2NAQAAAABMAcAAAAIMS8xLzIwMjQIAAAACjEyLzMxLzIwMjMJAAAAATDlQEus60feCJxMPbbrR94IKUNJUS5LQUkuSVFfRUJJVERBLjIwMDAuMDEvMDEvMjAyNC4uLlVTRC5IAQAAAAL0BAACAAAABzIwMiwwNDIBCAAAAAUAAAABMQEAAAALLTE5NTgyMTIwNTEDAAAAAzE2MAIAAAAENDA1MQQAAAABMAcAAAAIMS8xLzIwMjQIAAAACjEyLzMwLzIwMjMJAAAAATDlQEus60feCJxMPbbrR94IMENJUS5LQUkuSVFfRUJJVERBX01BUkdJTi4yMDAwLjAxLzAxLzIwMjQuLi5VU0QuSAEAAAAC9AQAAgAAAAcyMSwwOTcyAQgAAAAFAAAAATEBAAAACy0xOTU4MjEyMDUxAwAAAAMxNjACAAAABDQwNDcEAAAAATAHAAAACDEvMS8yMDI0CAAAAAoxMi8zMC8yMDIzCQAAAAEw5UBLrOtH3gicTD2260feCC9DSVEuS0FJLklRX1RPVEFMX0FTU0VUUy4yMDAwLjAxLzAxLzIwMjQuLi5VU0QuSAEAAAAC9AQAAgAAAAgxMTc1LDY2NQEIAAAABQAAAAExAQAAAAstMTk1ODIxMjA1MQMAAAADMTYwAgAAAAQxMDA3BAAAAAEwBwAAAAgxLzEvMjAyNAgAAAAKMTIvMzAvMjAyMwkAAAAB</t>
  </si>
  <si>
    <t>MOVAS6zrR94I8nY9tutH3ggtQ0lRLktBSS5JUV9DQVNIX0VRVUlWLjIwMDAuMDEvMDEvMjAyNC4uLlVTRC5IAQAAAAL0BAACAAAABzEwMyw4MzIBCAAAAAUAAAABMQEAAAALLTE5NTgyMTIwNTEDAAAAAzE2MAIAAAAEMTA5NgQAAAABMAcAAAAIMS8xLzIwMjQIAAAACjEyLzMwLzIwMjMJAAAAATDlQEus60feCPJ2PbbrR94IK0NJUS5LQUkuSVFfTkVUX0RFQlQuMjAwMC4wMS8wMS8yMDI0Li4uVVNELkgBAAAAAvQEAAIAAAAGMzEsNzgyAQgAAAAFAAAAATEBAAAACy0xOTU4MjEyMDUxAwAAAAMxNjACAAAABDQzNjQEAAAAATAHAAAACDEvMS8yMDI0CAAAAAoxMi8zMC8yMDIzCQAAAAEw5UBLrOtH3gjydj2260feCClDSVEuRVZPLklRX0VCSVREQS4yMDAwLjAxLzAxLzIwMjQuLi5VU0QuSAEAAADAKAARAgAAAAsxMzIyLDE5NDA5NwEIAAAABQAAAAExAQAAAAstMTk1MTMwMDU0MgMAAAADMTYwAgAAAAQ0MDUxBAAAAAEwBwAAAAgxLzEvMjAyNAgAAAAKMTIvMzEvMjAyMwkAAAABMOVAS6zrR94I8nY9tutH3ggwQ0lRLkVWTy5JUV9FQklUREFfTUFSR0lOLjIwMDAuMDEvMDEvMjAyNC4uLlVTRC5IAQAAAMAoABECAAAABzY2LDUwNjYBCAAAAAUAAAABMQEAAAALLTE5NTEzMDA1NDIDAAAAAjUwAgAAAAQ0MDQ3BAAAAAEwBwAAAAgxLzEvMjAyNAgAAAAKMTIvMzEvMjAyMwkAAAABMOVAS6zrR94I2sg9tutH3ggv</t>
  </si>
  <si>
    <t>Q0lRLkVWTy5JUV9UT1RBTF9BU1NFVFMuMjAwMC4wMS8wMS8yMDI0Li4uVVNELkgBAAAAwCgAEQIAAAALNTQ5NywzODQ3NjcBCAAAAAUAAAABMQEAAAALLTE5NTEzMDA1NDIDAAAAAzE2MAIAAAAEMTAwNwQAAAABMAcAAAAIMS8xLzIwMjQIAAAACjEyLzMxLzIwMjMJAAAAATDlQEus60feCNrIPbbrR94ILUNJUS5FVk8uSVFfQ0FTSF9FUVVJVi4yMDAwLjAxLzAxLzIwMjQuLi5VU0QuSAEAAADAKAARAgAAAAoxMDg5LDU5NDM0AQgAAAAFAAAAATEBAAAACy0xOTUxMzAwNTQyAwAAAAMxNjACAAAABDEwOTYEAAAAATAHAAAACDEvMS8yMDI0CAAAAAoxMi8zMS8yMDIzCQAAAAEw5UBLrOtH3giFoT2260feCCtDSVEuRVZPLklRX05FVF9ERUJULjIwMDAuMDEvMDEvMjAyNC4uLlVTRC5IAQAAAMAoABECAAAADC0xMDAxLDc2NzQzNgEIAAAABQAAAAExAQAAAAstMTk1MTMwMDU0MgMAAAADMTYwAgAAAAQ0MzY0BAAAAAEwBwAAAAgxLzEvMjAyNAgAAAAKMTIvMzEvMjAyMwkAAAABMOVAS6zrR94IhaE9tutH3ggpQ0lRLkVOUi5JUV9FQklUREEuMjAwMC4wMS8wMS8yMDI0Li4uVVNELkgBAAAAcuGqDwIAAAAFNTUwLDIBCAAAAAUAAAABMQEAAAALLTE5NjEwNzgzNjUDAAAAAzE2MAIAAAAENDA1MQQAAAABMAcAAAAIMS8xLzIwMjQIAAAACjEyLzMxLzIwMjMJAAAAATDlQEus60feCAfzPbbrR94IMENJUS5FTlIuSVFf</t>
  </si>
  <si>
    <t>RUJJVERBX01BUkdJTi4yMDAwLjAxLzAxLzIwMjQuLi5VU0QuSAEAAABy4aoPAgAAAAcxOCw4OTk0AQgAAAAFAAAAATEBAAAACy0xOTYxMDc4MzY1AwAAAAMxNjACAAAABDQwNDcEAAAAATAHAAAACDEvMS8yMDI0CAAAAAoxMi8zMS8yMDIzCQAAAAEw5UBLrOtH3ggH8z2260feCC9DSVEuRU5SLklRX1RPVEFMX0FTU0VUUy4yMDAwLjAxLzAxLzIwMjQuLi5VU0QuSAEAAABy4aoPAgAAAAY0NDIzLDkBCAAAAAUAAAABMQEAAAALLTE5NjEwNzgzNjUDAAAAAzE2MAIAAAAEMTAwNwQAAAABMAcAAAAIMS8xLzIwMjQIAAAACjEyLzMxLzIwMjMJAAAAATDlQEus60feCAfzPbbrR94ILUNJUS5FTlIuSVFfQ0FTSF9FUVVJVi4yMDAwLjAxLzAxLzIwMjQuLi5VU0QuSAEAAABy4aoPAgAAAAUyNDEsNwEIAAAABQAAAAExAQAAAAstMTk2MTA3ODM2NQMAAAADMTYwAgAAAAQxMDk2BAAAAAEwBwAAAAgxLzEvMjAyNAgAAAAKMTIvMzEvMjAyMwkAAAABMOVAS6zrR94IICM+tutH3ggrQ0lRLkVOUi5JUV9ORVRfREVCVC4yMDAwLjAxLzAxLzIwMjQuLi5VU0QuSAEAAABy4aoPAgAAAAYzMTc1LDkBCAAAAAUAAAABMQEAAAALLTE5NjEwNzgzNjUDAAAAAzE2MAIAAAAENDM2NAQAAAABMAcAAAAIMS8xLzIwMjQIAAAACjEyLzMxLzIwMjMJAAAAATDlQEus60feCCAjPrbrR94IKkNJUS5MS09ILklRX0VCSVREQS4yMDAwLjAxLzAx</t>
  </si>
  <si>
    <t>LzIwMjQuLi5VU0QuSAEAAADHFwgAAgAAAAwyMTI1MiwzMzEyNzIBCAAAAAUAAAABMQEAAAALLTE5NTEyOTMzOTADAAAAAzE2MAIAAAAENDA1MQQAAAABMAcAAAAIMS8xLzIwMjQIAAAACjEyLzMxLzIwMjMJAAAAATDlQEus60feCKGaPrbrR94IMUNJUS5MS09ILklRX0VCSVREQV9NQVJHSU4uMjAwMC4wMS8wMS8yMDI0Li4uVVNELkgBAAAAxxcIAAIAAAAHMjQsMDk2NgEIAAAABQAAAAExAQAAAAstMTk1MTI5MzM5MAMAAAADMTMxAgAAAAQ0MDQ3BAAAAAEwBwAAAAgxLzEvMjAyNAgAAAAKMTIvMzEvMjAyMwkAAAABMOVAS6zrR94IrBU/tutH3ggwQ0lRLkxLT0guSVFfVE9UQUxfQVNTRVRTLjIwMDAuMDEvMDEvMjAyNC4uLlVTRC5IAQAAAMcXCAACAAAADDk1NjcwLDI1OTQ5MQEIAAAABQAAAAExAQAAAAstMTk1MTI5MzM5MAMAAAADMTYwAgAAAAQxMDA3BAAAAAEwBwAAAAgxLzEvMjAyNAgAAAAKMTIvMzEvMjAyMwkAAAABMOVAS6zrR94IrBU/tutH3gguQ0lRLkxLT0guSVFfQ0FTSF9FUVVJVi4yMDAwLjAxLzAxLzIwMjQuLi5VU0QuSAEAAADHFwgAAgAAAAwxMzEyMiw5NDc4NzgBCAAAAAUAAAABMQEAAAALLTE5NTEyOTMzOTADAAAAAzE2MAIAAAAEMTA5NgQAAAABMAcAAAAIMS8xLzIwMjQIAAAACjEyLzMxLzIwMjMJAAAAATDlQEus60feCD/EPrbrR94ILENJUS5MS09ILklRX05FVF9ERUJULjIwMDAu</t>
  </si>
  <si>
    <t>MDEvMDEvMjAyNC4uLlVTRC5IAQAAAMcXCAACAAAADC04NzE2LDMzMDg3OAEIAAAABQAAAAExAQAAAAstMTk1MTI5MzM5MAMAAAADMTYwAgAAAAQ0MzY0BAAAAAEwBwAAAAgxLzEvMjAyNAgAAAAKMTIvMzEvMjAyMwkAAAABMOVAS6zrR94IP8Q+tutH3ggpQ0lRLlZISS5JUV9FQklUREEuMjAwMC4wMS8wMS8yMDI0Li4uVVNELkgBAAAAssEEAAIAAAAENDAsNQEIAAAABQAAAAExAQAAAAstMTk1Njc5NTMwNAMAAAADMTYwAgAAAAQ0MDUxBAAAAAEwBwAAAAgxLzEvMjAyNAgAAAAKMTIvMzEvMjAyMwkAAAABMMCciq3rR94Iujw/tutH3ggwQ0lRLlZISS5JUV9FQklUREFfTUFSR0lOLjIwMDAuMDEvMDEvMjAyNC4uLlVTRC5IAQAAALLBBAACAAAABjIsMTA3NQEIAAAABQAAAAExAQAAAAstMTk1Njc5NTMwNAMAAAADMTYwAgAAAAQ0MDQ3BAAAAAEwBwAAAAgxLzEvMjAyNAgAAAAKMTIvMzEvMjAyMwkAAAABMMCciq3rR94Iujw/tutH3ggvQ0lRLlZISS5JUV9UT1RBTF9BU1NFVFMuMjAwMC4wMS8wMS8yMDI0Li4uVVNELkgBAAAAssEEAAIAAAAEMjczNwEIAAAABQAAAAExAQAAAAstMTk1Njc5NTMwNAMAAAADMTYwAgAAAAQxMDA3BAAAAAEwBwAAAAgxLzEvMjAyNAgAAAAKMTIvMzEvMjAyMwkAAAABMNDDiq3rR94IzGM/tutH3ggtQ0lRLlZISS5JUV9DQVNIX0VRVUlWLjIwMDAuMDEvMDEvMjAyNC4uLlVTRC5I</t>
  </si>
  <si>
    <t>AQAAALLBBAACAAAAAzQwNwEIAAAABQAAAAExAQAAAAstMTk1Njc5NTMwNAMAAAADMTYwAgAAAAQxMDk2BAAAAAEwBwAAAAgxLzEvMjAyNAgAAAAKMTIvMzEvMjAyMwkAAAABMNDDiq3rR94IzGM/tutH3ggrQ0lRLlZISS5JUV9ORVRfREVCVC4yMDAwLjAxLzAxLzIwMjQuLi5VU0QuSAEAAACywQQAAgAAAAUxMDEsMQEIAAAABQAAAAExAQAAAAstMTk1Njc5NTMwNAMAAAADMTYwAgAAAAQ0MzY0BAAAAAEwBwAAAAgxLzEvMjAyNAgAAAAKMTIvMzEvMjAyMwkAAAABMNDDiq3rR94IzGM/tutH3ggsQ0lRLkVMQU4gQi5JUV9FQklUREEuMjAwMC4wMS8wMS8yMDI0Li4uVVNELkgBAAAANG0NAAIAAAAJOTksODM0MTQxAQgAAAAFAAAAATEBAAAACy0xOTU0MTkzNTQ3AwAAAAMxNjACAAAABDQwNTEEAAAAATAHAAAACDEvMS8yMDI0CAAAAAoxMi8zMS8yMDIzCQAAAAEwv3dLrOtH3gjaij+260feCDNDSVEuRUxBTiBCLklRX0VCSVREQV9NQVJHSU4uMjAwMC4wMS8wMS8yMDI0Li4uVVNELkgBAAAANG0NAAIAAAAGNywyNDAyAQgAAAAFAAAAATEBAAAACy0xOTU0MTkzNTQ3AwAAAAMxMzcCAAAABDQwNDcEAAAAATAHAAAACDEvMS8yMDI0CAAAAAoxMi8zMS8yMDIzCQAAAAEwv3dLrOtH3gjaij+260feCDJDSVEuRUxBTiBCLklRX1RPVEFMX0FTU0VUUy4yMDAwLjAxLzAxLzIwMjQuLi5VU0QuSAEAAAA0bQ0AAgAAAAsx</t>
  </si>
  <si>
    <t>NTU0LDE5MDg1NAEIAAAABQAAAAExAQAAAAstMTk1NDE5MzU0NwMAAAADMTYwAgAAAAQxMDA3BAAAAAEwBwAAAAgxLzEvMjAyNAgAAAAKMTIvMzEvMjAyMwkAAAABML93S6zrR94I7bE/tutH3ggwQ0lRLkVMQU4gQi5JUV9DQVNIX0VRVUlWLjIwMDAuMDEvMDEvMjAyNC4uLlVTRC5IAQAAADRtDQACAAAACjExMCwwNzYwODkBCAAAAAUAAAABMQEAAAALLTE5NTQxOTM1NDcDAAAAAzE2MAIAAAAEMTA5NgQAAAABMAcAAAAIMS8xLzIwMjQIAAAACjEyLzMxLzIwMjMJAAAAATC/d0us60feCP/YP7brR94ILkNJUS5FTEFOIEIuSVFfTkVUX0RFQlQuMjAwMC4wMS8wMS8yMDI0Li4uVVNELkgBAAAANG0NAAIAAAAKODA3LDMyNDA5MQEIAAAABQAAAAExAQAAAAstMTk1NDE5MzU0NwMAAAADMTYwAgAAAAQ0MzY0BAAAAAEwBwAAAAgxLzEvMjAyNAgAAAAKMTIvMzEvMjAyMwkAAAABML93S6zrR94I/9g/tutH3ggpQ0lRLkJBLi5JUV9FQklUREEuMjAwMC4wMS8wMS8yMDI0Li4uVVNELkgBAAAAa1YNAAIAAAALMzU5NCw1MzgxMzcBCAAAAAUAAAABMQEAAAALLTE5NTcyMDExMDcDAAAAAzE2MAIAAAAENDA1MQQAAAABMAcAAAAIMS8xLzIwMjQIAAAACjEyLzMxLzIwMjMJAAAAATC/d0us60feCP/YP7brR94IMENJUS5CQS4uSVFfRUJJVERBX01BUkdJTi4yMDAwLjAxLzAxLzIwMjQuLi5VU0QuSAEAAABrVg0AAgAAAAYx</t>
  </si>
  <si>
    <t>MiwyMjgBCAAAAAUAAAABMQEAAAALLTE5NTcyMDExMDcDAAAAAjU1AgAAAAQ0MDQ3BAAAAAEwBwAAAAgxLzEvMjAyNAgAAAAKMTIvMzEvMjAyMwkAAAABML93S6zrR94IaVpAtutH3ggvQ0lRLkJBLi5JUV9UT1RBTF9BU1NFVFMuMjAwMC4wMS8wMS8yMDI0Li4uVVNELkgBAAAAa1YNAAIAAAAMNDA4NDEsNjk3NjY3AQgAAAAFAAAAATEBAAAACy0xOTU3MjAxMTA3AwAAAAMxNjACAAAABDEwMDcEAAAAATAHAAAACDEvMS8yMDI0CAAAAAoxMi8zMS8yMDIzCQAAAAEwv3dLrOtH3ghpWkC260feCC1DSVEuQkEuLklRX0NBU0hfRVFVSVYuMjAwMC4wMS8wMS8yMDI0Li4uVVNELkgBAAAAa1YNAAIAAAALNTE4MCwzNjM3ODUBCAAAAAUAAAABMQEAAAALLTE5NTcyMDExMDcDAAAAAzE2MAIAAAAEMTA5NgQAAAABMAcAAAAIMS8xLzIwMjQIAAAACjEyLzMxLzIwMjMJAAAAATC/d0us60feCEcLQLbrR94IK0NJUS5CQS4uSVFfTkVUX0RFQlQuMjAwMC4wMS8wMS8yMDI0Li4uVVNELkgBAAAAa1YNAAIAAAALMzI5Nyw3NTMwOTYBCAAAAAUAAAABMQEAAAALLTE5NTcyMDExMDcDAAAAAzE2MAIAAAAENDM2NAQAAAABMAcAAAAIMS8xLzIwMjQIAAAACjEyLzMxLzIwMjMJAAAAATC/d0us60feCEcLQLbrR94IKkNJUS5PUklULklRX0VCSVREQS4yMDAwLjAxLzAxLzIwMjQuLi5VU0QuSAEAAACb5EkmAwAAAAAAv3dLrOtH3ggs</t>
  </si>
  <si>
    <t>hUC260feCDFDSVEuT1JJVC5JUV9FQklUREFfTUFSR0lOLjIwMDAuMDEvMDEvMjAyNC4uLlVTRC5IAQAAAJvkSSYDAAAAAAC/d0us60feCCyFQLbrR94IMENJUS5PUklULklRX1RPVEFMX0FTU0VUUy4yMDAwLjAxLzAxLzIwMjQuLi5VU0QuSAEAAACb5EkmAgAAAAo3NjcsMTUyMzkyAQgAAAAFAAAAATEBAAAACy0xOTQwNTI0NTU4AwAAAAMxNjACAAAABDEwMDcEAAAAATAHAAAACDEvMS8yMDI0CAAAAAoxMi8zMS8yMDIzCQAAAAEwv3dLrOtH3gh5rUC260feCC5DSVEuT1JJVC5JUV9DQVNIX0VRVUlWLjIwMDAuMDEvMDEvMjAyNC4uLlVTRC5IAQAAAJvkSSYCAAAACDEyLDc1Mjg0AQgAAAAFAAAAATEBAAAACy0xOTQwNTI0NTU4AwAAAAMxNjACAAAABDEwOTYEAAAAATAHAAAACDEvMS8yMDI0CAAAAAoxMi8zMS8yMDIzCQAAAAEwv3dLrOtH3gh5rUC260feCCxDSVEuT1JJVC5JUV9ORVRfREVCVC4yMDAwLjAxLzAxLzIwMjQuLi5VU0QuSAEAAACb5EkmAgAAAAktMTIsNzUyODQBCAAAAAUAAAABMQEAAAALLTE5NDA1MjQ1NTgDAAAAAzE2MAIAAAAENDM2NAQAAAABMAcAAAAIMS8xLzIwMjQIAAAACjEyLzMxLzIwMjMJAAAAATC/d0us60feCJ3VQLbrR94IKUNJUS5TS1AuSVFfRUJJVERBLjIwMDAuMDEvMDEvMjAyNC4uLlVTRC5IAQAAAG1YMAADAAAAAAC/d0us60feCJ3VQLbrR94IMENJUS5TS1AuSVFfRUJJ</t>
  </si>
  <si>
    <t>VERBX01BUkdJTi4yMDAwLjAxLzAxLzIwMjQuLi5VU0QuSAEAAABtWDAAAwAAAAAAv3dLrOtH3gj9/EC260feCC9DSVEuU0tQLklRX1RPVEFMX0FTU0VUUy4yMDAwLjAxLzAxLzIwMjQuLi5VU0QuSAEAAABtWDAAAgAAAAgxLDUzNTYzNQEIAAAABQAAAAExAQAAAAstMTk1MTk5MjI0NgMAAAADMTYwAgAAAAQxMDA3BAAAAAEwBwAAAAgxLzEvMjAyNAgAAAAKMTIvMzEvMjAyMwkAAAABML93S6zrR94ICyRBtutH3ggtQ0lRLlNLUC5JUV9DQVNIX0VRVUlWLjIwMDAuMDEvMDEvMjAyNC4uLlVTRC5IAQAAAG1YMAACAAAACDEsMDYwNDU4AQgAAAAFAAAAATEBAAAACy0xOTUxOTkyMjQ2AwAAAAMxNjACAAAABDEwOTYEAAAAATAHAAAACDEvMS8yMDI0CAAAAAoxMi8zMS8yMDIzCQAAAAEwv3dLrOtH3ggLJEG260feCCtDSVEuU0tQLklRX05FVF9ERUJULjIwMDAuMDEvMDEvMjAyNC4uLlVTRC5IAQAAAG1YMAACAAAACS0xLDA2MDQ1OAEIAAAABQAAAAExAQAAAAstMTk1MTk5MjI0NgMAAAADMTYwAgAAAAQ0MzY0BAAAAAEwBwAAAAgxLzEvMjAyNAgAAAAKMTIvMzEvMjAyMwkAAAABML93S6zrR94ICyRBtutH3ggqQ0lRLjk1MDIuSVFfRUJJVERBLjIwMDAuMDEvMDEvMjAyNC4uLlVTRC5IAQAAAO5WDQACAAAACzM0MDEsMTkxMjMxAQgAAAAFAAAAATEBAAAACy0yMDEwNzExNTU4AwAAAAMxNjACAAAABDQwNTEEAAAA</t>
  </si>
  <si>
    <t>ATAHAAAACDEvMS8yMDI0CAAAAAoxMi8zMS8yMDIzCQAAAAEwv3dLrOtH3ggLJEG260feCDFDSVEuOTUwMi5JUV9FQklUREFfTUFSR0lOLjIwMDAuMDEvMDEvMjAyNC4uLlVTRC5IAQAAAO5WDQACAAAABzEyLDM4OTMBCAAAAAUAAAABMQEAAAALLTIwMTA3MTE1NTgDAAAAAjc5AgAAAAQ0MDQ3BAAAAAEwBwAAAAgxLzEvMjAyNAgAAAAKMTIvMzEvMjAyMwkAAAABML93S6zrR94IOplBtutH3ggwQ0lRLjk1MDIuSVFfVE9UQUxfQVNTRVRTLjIwMDAuMDEvMDEvMjAyNC4uLlVTRC5IAQAAAO5WDQACAAAADDQ5MTY5LDAyODExNgEIAAAABQAAAAExAQAAAAstMjAxMDcxMTU1OAMAAAADMTYwAgAAAAQxMDA3BAAAAAEwBwAAAAgxLzEvMjAyNAgAAAAKMTIvMzEvMjAyMwkAAAABML93S6zrR94IOplBtutH3gguQ0lRLjk1MDIuSVFfQ0FTSF9FUVVJVi4yMDAwLjAxLzAxLzIwMjQuLi5VU0QuSAEAAADuVg0AAgAAAAsyMjc0LDM2NDU3MgEIAAAABQAAAAExAQAAAAstMjAxMDcxMTU1OAMAAAADMTYwAgAAAAQxMDk2BAAAAAEwBwAAAAgxLzEvMjAyNAgAAAAKMTIvMzEvMjAyMwkAAAABML93S6zrR94IKXJBtutH3ggsQ0lRLjk1MDIuSVFfTkVUX0RFQlQuMjAwMC4wMS8wMS8yMDI0Li4uVVNELkgBAAAA7lYNAAIAAAAMMTkyOTksMTY0NDU1AQgAAAAFAAAAATEBAAAACy0yMDEwNzExNTU4AwAAAAMxNjACAAAABDQzNjQE</t>
  </si>
  <si>
    <t>AAAAATAHAAAACDEvMS8yMDI0CAAAAAoxMi8zMS8yMDIzCQAAAAEwv3dLrOtH3ggpckG260feCCxDSVEuQklORVJPLklRX0VCSVREQS4yMDAwLjAxLzAxLzIwMjQuLi5VU0QuSAEAAAAR9ZwBAgAAAAgyLDQyNTc1MQEIAAAABQAAAAExAQAAAAstMTk1MjIzODY3MgMAAAADMTYwAgAAAAQ0MDUxBAAAAAEwBwAAAAgxLzEvMjAyNAgAAAAKMTIvMzEvMjAyMwkAAAABML93S6zrR94IWudBtutH3ggzQ0lRLkJJTkVSTy5JUV9FQklUREFfTUFSR0lOLjIwMDAuMDEvMDEvMjAyNC4uLlVTRC5IAQAAABH1nAECAAAABjcsNDU5OAEIAAAABQAAAAExAQAAAAstMTk1MjIzODY3MgMAAAADMTM3AgAAAAQ0MDQ3BAAAAAEwBwAAAAgxLzEvMjAyNAgAAAAKMTIvMzEvMjAyMwkAAAABML93S6zrR94IWudBtutH3ggyQ0lRLkJJTkVSTy5JUV9UT1RBTF9BU1NFVFMuMjAwMC4wMS8wMS8yMDI0Li4uVVNELkgBAAAAEfWcAQIAAAAJMTQsNTU1Njk4AQgAAAAFAAAAATEBAAAACy0xOTUyMjM4NjcyAwAAAAMxNjACAAAABDEwMDcEAAAAATAHAAAACDEvMS8yMDI0CAAAAAoxMi8zMS8yMDIzCQAAAAEwv3dLrOtH3gha50G260feCDBDSVEuQklORVJPLklRX0NBU0hfRVFVSVYuMjAwMC4wMS8wMS8yMDI0Li4uVVNELkgBAAAAEfWcAQIAAAAINCw5MTMwNTMBCAAAAAUAAAABMQEAAAALLTE5NTIyMzg2NzIDAAAAAzE2MAIAAAAEMTA5NgQA</t>
  </si>
  <si>
    <t>AAABMAcAAAAIMS8xLzIwMjQIAAAACjEyLzMxLzIwMjMJAAAAATC/d0us60feCFrnQbbrR94ILkNJUS5CSU5FUk8uSVFfTkVUX0RFQlQuMjAwMC4wMS8wMS8yMDI0Li4uVVNELkgBAAAAEfWcAQIAAAAJLTQsNzQwMzMyAQgAAAAFAAAAATEBAAAACy0xOTUyMjM4NjcyAwAAAAMxNjACAAAABDQzNjQEAAAAATAHAAAACDEvMS8yMDI0CAAAAAoxMi8zMS8yMDIzCQAAAAEwv3dLrOtH3gg9GEK260feCChDSVEuQkcuSVFfRUJJVERBLjIwMDAuMDEvMDEvMjAyNC4uLlVTRC5IAQAAAJ18CgACAAAABDM3MDIBCAAAAAUAAAABMQEAAAALLTE5NTg3MDAyMzADAAAAAzE2MAIAAAAENDA1MQQAAAABMAcAAAAIMS8xLzIwMjQIAAAACjEyLzMxLzIwMjMJAAAAATC/d0us60feCD0YQrbrR94IL0NJUS5CRy5JUV9FQklUREFfTUFSR0lOLjIwMDAuMDEvMDEvMjAyNC4uLlVTRC5IAQAAAJ18CgACAAAABjYsMjE3NgEIAAAABQAAAAExAQAAAAstMTk1ODcwMDIzMAMAAAADMTYwAgAAAAQ0MDQ3BAAAAAEwBwAAAAgxLzEvMjAyNAgAAAAKMTIvMzEvMjAyMwkAAAABML93S6zrR94IPRhCtutH3gguQ0lRLkJHLklRX1RPVEFMX0FTU0VUUy4yMDAwLjAxLzAxLzIwMjQuLi5VU0QuSAEAAACdfAoAAgAAAAUyNTM3MgEIAAAABQAAAAExAQAAAAstMTk1ODcwMDIzMAMAAAADMTYwAgAAAAQxMDA3BAAAAAEwBwAAAAgxLzEvMjAyNAgAAAAK</t>
  </si>
  <si>
    <t>MTIvMzEvMjAyMwkAAAABML93S6zrR94I7j9CtutH3ggsQ0lRLkJHLklRX0NBU0hfRVFVSVYuMjAwMC4wMS8wMS8yMDI0Li4uVVNELkgBAAAAnXwKAAIAAAAEMjYwMgEIAAAABQAAAAExAQAAAAstMTk1ODcwMDIzMAMAAAADMTYwAgAAAAQxMDk2BAAAAAEwBwAAAAgxLzEvMjAyNAgAAAAKMTIvMzEvMjAyMwkAAAABML93S6zrR94I7j9CtutH3ggqQ0lRLkJHLklRX05FVF9ERUJULjIwMDAuMDEvMDEvMjAyNC4uLlVTRC5IAQAAAJ18CgACAAAABDMwNDkBCAAAAAUAAAABMQEAAAALLTE5NTg3MDAyMzADAAAAAzE2MAIAAAAENDM2NAQAAAABMAcAAAAIMS8xLzIwMjQIAAAACjEyLzMxLzIwMjMJAAAAATC/d0us60feCO4/QrbrR94IKUNJUS5STVYuSVFfRUJJVERBLjIwMDAuMDEvMDEvMjAyNC4uLlVTRC5IAQAAAOBAWwECAAAACjMzMCw3MDUxNTEBCAAAAAUAAAABMQEAAAALLTE5NTMzNTQ3OTYDAAAAAzE2MAIAAAAENDA1MQQAAAABMAcAAAAIMS8xLzIwMjQIAAAACjEyLzMxLzIwMjMJAAAAATC/d0us60feCO4/QrbrR94IMENJUS5STVYuSVFfRUJJVERBX01BUkdJTi4yMDAwLjAxLzAxLzIwMjQuLi5VU0QuSAEAAADgQFsBAgAAAAY3MSwyNjUBCAAAAAUAAAABMQEAAAALLTE5NTMzNTQ3OTYDAAAAAjU1AgAAAAQ0MDQ3BAAAAAEwBwAAAAgxLzEvMjAyNAgAAAAKMTIvMzEvMjAyMwkAAAABML93S6zrR94Iy45C</t>
  </si>
  <si>
    <t>tutH3ggvQ0lRLlJNVi5JUV9UT1RBTF9BU1NFVFMuMjAwMC4wMS8wMS8yMDI0Li4uVVNELkgBAAAA4EBbAQIAAAAKMTMzLDU4MjU2NQEIAAAABQAAAAExAQAAAAstMTk1MzM1NDc5NgMAAAADMTYwAgAAAAQxMDA3BAAAAAEwBwAAAAgxLzEvMjAyNAgAAAAKMTIvMzEvMjAyMwkAAAABML93S6zrR94Iy45CtutH3ggtQ0lRLlJNVi5JUV9DQVNIX0VRVUlWLjIwMDAuMDEvMDEvMjAyNC4uLlVTRC5IAQAAAOBAWwECAAAACDQyLDg1MDQxAQgAAAAFAAAAATEBAAAACy0xOTUzMzU0Nzk2AwAAAAMxNjACAAAABDEwOTYEAAAAATAHAAAACDEvMS8yMDI0CAAAAAoxMi8zMS8yMDIzCQAAAAEwv3dLrOtH3ghkZ0K260feCCtDSVEuUk1WLklRX05FVF9ERUJULjIwMDAuMDEvMDEvMjAyNC4uLlVTRC5IAQAAAOBAWwECAAAACi00MCwwNzQ4OTcBCAAAAAUAAAABMQEAAAALLTE5NTMzNTQ3OTYDAAAAAzE2MAIAAAAENDM2NAQAAAABMAcAAAAIMS8xLzIwMjQIAAAACjEyLzMxLzIwMjMJAAAAATC/d0us60feCGRnQrbrR94IKkNJUS5TU1RLLklRX0VCSVREQS4yMDAwLjAxLzAxLzIwMjQuLi5VU0QuSAEAAAA+tWUBAgAAAAcxNDcsODI5AQgAAAAFAAAAATEBAAAACy0xOTU4NDUxNDMxAwAAAAMxNjACAAAABDQwNTEEAAAAATAHAAAACDEvMS8yMDI0CAAAAAoxMi8zMS8yMDIzCQAAAAEwv3dLrOtH3ggotkK260feCDFDSVEuU1NU</t>
  </si>
  <si>
    <t>Sy5JUV9FQklUREFfTUFSR0lOLjIwMDAuMDEvMDEvMjAyNC4uLlVTRC5IAQAAAD61ZQECAAAABzE2LDkwMjcBCAAAAAUAAAABMQEAAAALLTE5NTg0NTE0MzEDAAAAAzE2MAIAAAAENDA0NwQAAAABMAcAAAAIMS8xLzIwMjQIAAAACjEyLzMxLzIwMjMJAAAAATC/d0us60feCG/qQrbrR94IMENJUS5TU1RLLklRX1RPVEFMX0FTU0VUUy4yMDAwLjAxLzAxLzIwMjQuLi5VU0QuSAEAAAA+tWUBAgAAAAgxMDM2LDAxNQEIAAAABQAAAAExAQAAAAstMTk1ODQ1MTQzMQMAAAADMTYwAgAAAAQxMDA3BAAAAAEwBwAAAAgxLzEvMjAyNAgAAAAKMTIvMzEvMjAyMwkAAAABML93S6zrR94Ib+pCtutH3gguQ0lRLlNTVEsuSVFfQ0FTSF9FUVVJVi4yMDAwLjAxLzAxLzIwMjQuLi5VU0QuSAEAAAA+tWUBAgAAAAYxMDAsNDkBCAAAAAUAAAABMQEAAAALLTE5NTg0NTE0MzEDAAAAAzE2MAIAAAAEMTA5NgQAAAABMAcAAAAIMS8xLzIwMjQIAAAACjEyLzMxLzIwMjMJAAAAATC/d0us60feCG/qQrbrR94ILENJUS5TU1RLLklRX05FVF9ERUJULjIwMDAuMDEvMDEvMjAyNC4uLlVTRC5IAQAAAD61ZQECAAAABi0zMiwwMQEIAAAABQAAAAExAQAAAAstMTk1ODQ1MTQzMQMAAAADMTYwAgAAAAQ0MzY0BAAAAAEwBwAAAAgxLzEvMjAyNAgAAAAKMTIvMzEvMjAyMwkAAAABML93S6zrR94ITRJDtutH3ggoQ0lRLklSLklRX0VCSVREQS4y</t>
  </si>
  <si>
    <t>MDAwLjAxLzAxLzIwMjQuLi5VU0QuSAEAAABOGQUAAgAAAAYxNzAwLDYBCAAAAAUAAAABMQEAAAALLTE5NTkwMDI0MjgDAAAAAzE2MAIAAAAENDA1MQQAAAABMAcAAAAIMS8xLzIwMjQIAAAACjEyLzMxLzIwMjMJAAAAATAAyfGs60feCP06Q7brR94IL0NJUS5JUi5JUV9FQklUREFfTUFSR0lOLjIwMDAuMDEvMDEvMjAyNC4uLlVTRC5IAQAAAE4ZBQACAAAABjI0LDczMgEIAAAABQAAAAExAQAAAAstMTk1OTAwMjQyOAMAAAADMTYwAgAAAAQ0MDQ3BAAAAAEwBwAAAAgxLzEvMjAyNAgAAAAKMTIvMzEvMjAyMwkAAAABMADJ8azrR94I/TpDtutH3gguQ0lRLklSLklRX1RPVEFMX0FTU0VUUy4yMDAwLjAxLzAxLzIwMjQuLi5VU0QuSAEAAABOGQUAAgAAAAcxNTU2Myw1AQgAAAAFAAAAATEBAAAACy0xOTU5MDAyNDI4AwAAAAMxNjACAAAABDEwMDcEAAAAATAHAAAACDEvMS8yMDI0CAAAAAoxMi8zMS8yMDIzCQAAAAEwAMnxrOtH3ggFYkO260feCCxDSVEuSVIuSVFfQ0FTSF9FUVVJVi4yMDAwLjAxLzAxLzIwMjQuLi5VU0QuSAEAAABOGQUAAgAAAAYxNTk1LDUBCAAAAAUAAAABMQEAAAALLTE5NTkwMDI0MjgDAAAAAzE2MAIAAAAEMTA5NgQAAAABMAcAAAAIMS8xLzIwMjQIAAAACjEyLzMxLzIwMjMJAAAAATAAyfGs60feCAViQ7brR94IKkNJUS5JUi5JUV9ORVRfREVCVC4yMDAwLjAxLzAxLzIwMjQuLi5VU0Qu</t>
  </si>
  <si>
    <t>SAEAAABOGQUAAgAAAAYxMzI1LDgBCAAAAAUAAAABMQEAAAALLTE5NTkwMDI0MjgDAAAAAzE2MAIAAAAENDM2NAQAAAABMAcAAAAIMS8xLzIwMjQIAAAACjEyLzMxLzIwMjMJAAAAATAAyfGs60feCAViQ7brR94IKUNJUS5RRFQuSVFfRUJJVERBLjIwMDAuMDEvMDEvMjAyNC4uLlVTRC5IAQAAAIjwAQACAAAACjI1OCwzMjA0NzYBCAAAAAUAAAABMQEAAAALLTE5NzQ0NzgyOTUDAAAAAzE2MAIAAAAENDA1MQQAAAABMAcAAAAIMS8xLzIwMjQIAAAACTcvMzEvMjAyMwkAAAABML93S6zrR94IEolDtutH3ggwQ0lRLlFEVC5JUV9FQklUREFfTUFSR0lOLjIwMDAuMDEvMDEvMjAyNC4uLlVTRC5IAQAAAIjwAQACAAAABzIyLDAxNTUBCAAAAAUAAAABMQEAAAALLTE5NzQ0NzgyOTUDAAAAAjUwAgAAAAQ0MDQ3BAAAAAEwBwAAAAgxLzEvMjAyNAgAAAAJNy8zMS8yMDIzCQAAAAEwv3dLrOtH3gjp4kO260feCC9DSVEuUURULklRX1RPVEFMX0FTU0VUUy4yMDAwLjAxLzAxLzIwMjQuLi5VU0QuSAEAAACI8AEAAgAAAAsyODc2LDQ2MDIxNwEIAAAABQAAAAExAQAAAAstMTk3NDQ3ODI5NQMAAAADMTYwAgAAAAQxMDA3BAAAAAEwBwAAAAgxLzEvMjAyNAgAAAAJNy8zMS8yMDIzCQAAAAEwv3dLrOtH3gjp4kO260feCC1DSVEuUURULklRX0NBU0hfRVFVSVYuMjAwMC4wMS8wMS8yMDI0Li4uVVNELkgBAAAAiPABAAIAAAAK</t>
  </si>
  <si>
    <t>MTg3LDQ1ODY3MwEIAAAABQAAAAExAQAAAAstMTk3NDQ3ODI5NQMAAAADMTYwAgAAAAQxMDk2BAAAAAEwBwAAAAgxLzEvMjAyNAgAAAAJNy8zMS8yMDIzCQAAAAEwv3dLrOtH3ggrsEO260feCCtDSVEuUURULklRX05FVF9ERUJULjIwMDAuMDEvMDEvMjAyNC4uLlVTRC5IAQAAAIjwAQACAAAACTgyMiwxMjkxNgEIAAAABQAAAAExAQAAAAstMTk3NDQ3ODI5NQMAAAADMTYwAgAAAAQ0MzY0BAAAAAEwBwAAAAgxLzEvMjAyNAgAAAAJNy8zMS8yMDIzCQAAAAEwv3dLrOtH3ggrsEO260feCClDSVEuVFJQLklRX0VCSVREQS4yMDAwLjAxLzAxLzIwMjQuLi5VU0QuSAEAAAAf1mcBAwAAAAAAv3dLrOtH3gjp4kO260feCDBDSVEuVFJQLklRX0VCSVREQV9NQVJHSU4uMjAwMC4wMS8wMS8yMDI0Li4uVVNELkgBAAAAH9ZnAQMAAAAAAL93S6zrR94I6eJDtutH3ggvQ0lRLlRSUC5JUV9UT1RBTF9BU1NFVFMuMjAwMC4wMS8wMS8yMDI0Li4uVVNELkgBAAAAH9ZnAQIAAAAJMzYsMjExODgyAQgAAAAFAAAAATEBAAAACy0xOTM4OTkzODI2AwAAAAMxNjACAAAABDEwMDcEAAAAATAHAAAACDEvMS8yMDI0CAAAAAoxMi8zMS8yMDIzCQAAAAEwv3dLrOtH3gjLFES260feCC1DSVEuVFJQLklRX0NBU0hfRVFVSVYuMjAwMC4wMS8wMS8yMDI0Li4uVVNELkgBAAAAH9ZnAQIAAAAIMCwwMjA2MzMBCAAAAAUAAAABMQEAAAALLTE5</t>
  </si>
  <si>
    <t>Mzg5OTM4MjYDAAAAAzE2MAIAAAAEMTA5NgQAAAABMAcAAAAIMS8xLzIwMjQIAAAACjEyLzMxLzIwMjMJAAAAATC/d0us60feCMsURLbrR94IK0NJUS5UUlAuSVFfTkVUX0RFQlQuMjAwMC4wMS8wMS8yMDI0Li4uVVNELkgBAAAAH9ZnAQIAAAAIMCwwMTAzMzIBCAAAAAUAAAABMQEAAAALLTE5Mzg5OTM4MjYDAAAAAzE2MAIAAAAENDM2NAQAAAABMAcAAAAIMS8xLzIwMjQIAAAACjEyLzMxLzIwMjMJAAAAATC/d0us60feCMsURLbrR94IKkNJUS44NDUwLklRX0VCSVREQS4yMDAwLjAxLzAxLzIwMjQuLi5VU0QuSAEAAADoD3sYAgAAAAgtMiw4NDM5OAEIAAAABQAAAAExAQAAAAstMTk0MDkyNjQwOAMAAAADMTYwAgAAAAQ0MDUxBAAAAAEwBwAAAAgxLzEvMjAyNAgAAAAKMTIvMzEvMjAyMwkAAAABML93S6zrR94IbD9EtutH3ggxQ0lRLjg0NTAuSVFfRUJJVERBX01BUkdJTi4yMDAwLjAxLzAxLzIwMjQuLi5VU0QuSAEAAADoD3sYAgAAAAktMTkxLDg3NTcBCAAAAAUAAAABMQEAAAALLTE5NDA5MjY0MDgDAAAAAzEzNwIAAAAENDA0NwQAAAABMAcAAAAIMS8xLzIwMjQIAAAACjEyLzMxLzIwMjMJAAAAATC/d0us60feCGw/RLbrR94IMENJUS44NDUwLklRX1RPVEFMX0FTU0VUUy4yMDAwLjAxLzAxLzIwMjQuLi5VU0QuSAEAAADoD3sYAgAAAAgzLDE1ODk5NQEIAAAABQAAAAExAQAAAAstMTk0MDkyNjQwOAMA</t>
  </si>
  <si>
    <t>AAADMTYwAgAAAAQxMDA3BAAAAAEwBwAAAAgxLzEvMjAyNAgAAAAKMTIvMzEvMjAyMwkAAAABML93S6zrR94IyWZEtutH3gguQ0lRLjg0NTAuSVFfQ0FTSF9FUVVJVi4yMDAwLjAxLzAxLzIwMjQuLi5VU0QuSAEAAADoD3sYAgAAAAgwLDA0NDI0OQEIAAAABQAAAAExAQAAAAstMTk0MDkyNjQwOAMAAAADMTYwAgAAAAQxMDk2BAAAAAEwBwAAAAgxLzEvMjAyNAgAAAAKMTIvMzEvMjAyMwkAAAABML93S6zrR94IyWZEtutH3ggsQ0lRLjg0NTAuSVFfTkVUX0RFQlQuMjAwMC4wMS8wMS8yMDI0Li4uVVNELkgBAAAA6A97GAIAAAAJLTAsMDQ0MjQ5AQgAAAAFAAAAATEBAAAACy0xOTQwOTI2NDA4AwAAAAMxNjACAAAABDQzNjQEAAAAATAHAAAACDEvMS8yMDI0CAAAAAoxMi8zMS8yMDIzCQAAAAEwv3dLrOtH3gjJZkS260feCClDSVEuQkRCLklRX0VCSVREQS4yMDAwLjAxLzAxLzIwMjQuLi5VU0QuSAEAAACEP34AAwAAAAJOQQBIwaSt60feCMlmRLbrR94IMENJUS5CREIuSVFfRUJJVERBX01BUkdJTi4yMDAwLjAxLzAxLzIwMjQuLi5VU0QuSAEAAACEP34AAwAAAAJOQQDh6KSt60feCAO8RLbrR94IL0NJUS5CREIuSVFfVE9UQUxfQVNTRVRTLjIwMDAuMDEvMDEvMjAyNC4uLlVTRC5IAQAAAIQ/fgACAAAADDIwNTA5LDg0MzAzNgEIAAAABQAAAAExAQAAAAstMTk1NDA5NTI3OQMAAAADMTYwAgAAAAQxMDA3BAAA</t>
  </si>
  <si>
    <t>AAEwBwAAAAgxLzEvMjAyNAgAAAAKMTIvMzEvMjAyMwkAAAABMOHopK3rR94IA7xEtutH3ggtQ0lRLkJEQi5JUV9DQVNIX0VRVUlWLjIwMDAuMDEvMDEvMjAyNC4uLlVTRC5IAQAAAIQ/fgACAAAACzE4MjksNTQyMzg5AQgAAAAFAAAAATEBAAAACy0xOTU0MDk1Mjc5AwAAAAMxNjACAAAABDEwOTYEAAAAATAHAAAACDEvMS8yMDI0CAAAAAoxMi8zMS8yMDIzCQAAAAEw4eikretH3gggkUS260feCCtDSVEuQkRCLklRX05FVF9ERUJULjIwMDAuMDEvMDEvMjAyNC4uLlVTRC5IAQAAAIQ/fgACAAAACzQxOTEsNDQ2ODg3AQgAAAAFAAAAATEBAAAACy0xOTU0MDk1Mjc5AwAAAAMxNjACAAAABDQzNjQEAAAAATAHAAAACDEvMS8yMDI0CAAAAAoxMi8zMS8yMDIzCQAAAAEw4eikretH3gggkUS260feCCpDSVEuVFJJQi5JUV9FQklUREEuMjAwMC4wMS8wMS8yMDI0Li4uVVNELkgBAAAAexIGAAIAAAAHLTE0LDE2NQEIAAAABQAAAAExAQAAAAstMTk0MTM1NjExMgMAAAADMTYwAgAAAAQ0MDUxBAAAAAEwBwAAAAgxLzEvMjAyNAgAAAAKMTIvMzEvMjAyMwkAAAABML93S6zrR94IOedEtutH3ggxQ0lRLlRSSUIuSVFfRUJJVERBX01BUkdJTi4yMDAwLjAxLzAxLzIwMjQuLi5VU0QuSAEAAAB7EgYAAgAAAAgtMjQsOTI0MwEIAAAABQAAAAExAQAAAAstMTk0MTM1NjExMgMAAAADMTYwAgAAAAQ0MDQ3BAAAAAEwBwAAAAgx</t>
  </si>
  <si>
    <t>LzEvMjAyNAgAAAAKMTIvMzEvMjAyMwkAAAABML93S6zrR94IOedEtutH3ggwQ0lRLlRSSUIuSVFfVE9UQUxfQVNTRVRTLjIwMDAuMDEvMDEvMjAyNC4uLlVTRC5IAQAAAHsSBgACAAAABjU5LDQzNQEIAAAABQAAAAExAQAAAAstMTk0MTM1NjExMgMAAAADMTYwAgAAAAQxMDA3BAAAAAEwBwAAAAgxLzEvMjAyNAgAAAAKMTIvMzEvMjAyMwkAAAABML93S6zrR94IAxJFtutH3gguQ0lRLlRSSUIuSVFfQ0FTSF9FUVVJVi4yMDAwLjAxLzAxLzIwMjQuLi5VU0QuSAEAAAB7EgYAAgAAAAUzLDY5MQEIAAAABQAAAAExAQAAAAstMTk0MTM1NjExMgMAAAADMTYwAgAAAAQxMDk2BAAAAAEwBwAAAAgxLzEvMjAyNAgAAAAKMTIvMzEvMjAyMwkAAAABML93S6zrR94IAxJFtutH3ggsQ0lRLlRSSUIuSVFfTkVUX0RFQlQuMjAwMC4wMS8wMS8yMDI0Li4uVVNELkgBAAAAexIGAAIAAAAGNjMsNzM2AQgAAAAFAAAAATEBAAAACy0xOTQxMzU2MTEyAwAAAAMxNjACAAAABDQzNjQEAAAAATAHAAAACDEvMS8yMDI0CAAAAAoxMi8zMS8yMDIzCQAAAAEwv3dLrOtH3ggDEkW260feCClDSVEuS1NMLklRX0VCSVREQS4yMDAwLjAxLzAxLzIwMjQuLi5VU0QuSAEAAAAz0kwBAgAAAAk3Miw0NTE1NjYBCAAAAAUAAAABMQEAAAALLTE5NjM5NTg1MjYDAAAAAzE2MAIAAAAENDA1MQQAAAABMAcAAAAIMS8xLzIwMjQIAAAACjEwLzMxLzIw</t>
  </si>
  <si>
    <t>MjMJAAAAATC/d0us60feCNFFRbbrR94IMENJUS5LU0wuSVFfRUJJVERBX01BUkdJTi4yMDAwLjAxLzAxLzIwMjQuLi5VU0QuSAEAAAAz0kwBAgAAAAcxNCwxNjk5AQgAAAAFAAAAATEBAAAACy0xOTYzOTU4NTI2AwAAAAMxNDkCAAAABDQwNDcEAAAAATAHAAAACDEvMS8yMDI0CAAAAAoxMC8zMS8yMDIzCQAAAAEwv3dLrOtH3gjRRUW260feCC9DSVEuS1NMLklRX1RPVEFMX0FTU0VUUy4yMDAwLjAxLzAxLzIwMjQuLi5VU0QuSAEAAAAz0kwBAgAAAAsxMTAyLDk5OTQ3NgEIAAAABQAAAAExAQAAAAstMTk2Mzk1ODUyNgMAAAADMTYwAgAAAAQxMDA3BAAAAAEwBwAAAAgxLzEvMjAyNAgAAAAKMTAvMzEvMjAyMwkAAAABML93S6zrR94IqnBFtutH3ggtQ0lRLktTTC5JUV9DQVNIX0VRVUlWLjIwMDAuMDEvMDEvMjAyNC4uLlVTRC5IAQAAADPSTAECAAAACDUsNzIwMDM2AQgAAAAFAAAAATEBAAAACy0xOTYzOTU4NTI2AwAAAAMxNjACAAAABDEwOTYEAAAAATAHAAAACDEvMS8yMDI0CAAAAAoxMC8zMS8yMDIzCQAAAAEwv3dLrOtH3giqcEW260feCCtDSVEuS1NMLklRX05FVF9ERUJULjIwMDAuMDEvMDEvMjAyNC4uLlVTRC5IAQAAADPSTAECAAAACjM4NSwyNjAyNjUBCAAAAAUAAAABMQEAAAALLTE5NjM5NTg1MjYDAAAAAzE2MAIAAAAENDM2NAQAAAABMAcAAAAIMS8xLzIwMjQIAAAACjEwLzMxLzIwMjMJAAAA</t>
  </si>
  <si>
    <t>ATC/d0us60feCKpwRbbrR94IKUNJUS5BTVMuSVFfRUJJVERBLjIwMDAuMDEvMDEvMjAyNC4uLlVTRC5IAQAAAIDTAwACAAAABTcsNDg3AQgAAAAFAAAAATEBAAAACy0xOTUxOTM2Njc5AwAAAAMxNjACAAAABDQwNTEEAAAAATAHAAAACDEvMS8yMDI0CAAAAAoxMi8zMS8yMDIzCQAAAAEwrsLlrOtH3giqcEW260feCDBDSVEuQU1TLklRX0VCSVREQV9NQVJHSU4uMjAwMC4wMS8wMS8yMDI0Li4uVVNELkgBAAAAgNMDAAIAAAAGMzUsMTA5AQgAAAAFAAAAATEBAAAACy0xOTUxOTM2Njc5AwAAAAMxNjACAAAABDQwNDcEAAAAATAHAAAACDEvMS8yMDI0CAAAAAoxMi8zMS8yMDIzCQAAAAEwrsLlrOtH3giL8UW260feCC9DSVEuQU1TLklRX1RPVEFMX0FTU0VUUy4yMDAwLjAxLzAxLzIwMjQuLi5VU0QuSAEAAACA0wMAAgAAAAY0OCwxNjIBCAAAAAUAAAABMQEAAAALLTE5NTE5MzY2NzkDAAAAAzE2MAIAAAAEMTAwNwQAAAABMAcAAAAIMS8xLzIwMjQIAAAACjEyLzMxLzIwMjMJAAAAATCuwuWs60feCIvxRbbrR94ILUNJUS5BTVMuSVFfQ0FTSF9FUVVJVi4yMDAwLjAxLzAxLzIwMjQuLi5VU0QuSAEAAACA0wMAAgAAAAUxMyw2OQEIAAAABQAAAAExAQAAAAstMTk1MTkzNjY3OQMAAAADMTYwAgAAAAQxMDk2BAAAAAEwBwAAAAgxLzEvMjAyNAgAAAAKMTIvMzEvMjAyMwkAAAABMK7C5azrR94IjJtFtutH3ggrQ0lR</t>
  </si>
  <si>
    <t>LkFNUy5JUV9ORVRfREVCVC4yMDAwLjAxLzAxLzIwMjQuLi5VU0QuSAEAAACA0wMAAgAAAAUxLDk5MgEIAAAABQAAAAExAQAAAAstMTk1MTkzNjY3OQMAAAADMTYwAgAAAAQ0MzY0BAAAAAEwBwAAAAgxLzEvMjAyNAgAAAAKMTIvMzEvMjAyMwkAAAABMK7C5azrR94Ih8ZFtutH3ggqQ0lRLlJFQkwuSVFfRUJJVERBLjIwMDAuMDEvMDEvMjAyNC4uLlVTRC5IAQAAALrargACAAAACDcsNTQxNzI3AQgAAAAFAAAAATEBAAAACy0xOTU0NDk1NTU0AwAAAAMxNjACAAAABDQwNTEEAAAAATAHAAAACDEvMS8yMDI0CAAAAAoxMi8zMS8yMDIzCQAAAAEwv3dLrOtH3gj8GEa260feCDFDSVEuUkVCTC5JUV9FQklUREFfTUFSR0lOLjIwMDAuMDEvMDEvMjAyNC4uLlVTRC5IAQAAALrargACAAAABjUsODA3OAEIAAAABQAAAAExAQAAAAstMTk1NDQ5NTU1NAMAAAACNTACAAAABDQwNDcEAAAAATAHAAAACDEvMS8yMDI0CAAAAAoxMi8zMS8yMDIzCQAAAAEwv3dLrOtH3gj8GEa260feCDBDSVEuUkVCTC5JUV9UT1RBTF9BU1NFVFMuMjAwMC4wMS8wMS8yMDI0Li4uVVNELkgBAAAAutquAAIAAAAKMTIyLDkzNjg4NQEIAAAABQAAAAExAQAAAAstMTk1NDQ5NTU1NAMAAAADMTYwAgAAAAQxMDA3BAAAAAEwBwAAAAgxLzEvMjAyNAgAAAAKMTIvMzEvMjAyMwkAAAABML93S6zrR94I/BhGtutH3gguQ0lRLlJFQkwuSVFfQ0FTSF9F</t>
  </si>
  <si>
    <t>UVVJVi4yMDAwLjAxLzAxLzIwMjQuLi5VU0QuSAEAAAC62q4AAgAAAAgyLDYzNzMzOAEIAAAABQAAAAExAQAAAAstMTk1NDQ5NTU1NAMAAAADMTYwAgAAAAQxMDk2BAAAAAEwBwAAAAgxLzEvMjAyNAgAAAAKMTIvMzEvMjAyMwkAAAABML93S6zrR94IPEBGtutH3ggsQ0lRLlJFQkwuSVFfTkVUX0RFQlQuMjAwMC4wMS8wMS8yMDI0Li4uVVNELkgBAAAAutquAAIAAAAJMzksOTA5MzYyAQgAAAAFAAAAATEBAAAACy0xOTU0NDk1NTU0AwAAAAMxNjACAAAABDQzNjQEAAAAATAHAAAACDEvMS8yMDI0CAAAAAoxMi8zMS8yMDIzCQAAAAEwv3dLrOtH3gg8QEa260feCClDSVEuSDJPLklRX0VCSVREQS4yMDAwLjAxLzAxLzIwMjQuLi5VU0QuSAEAAABHhw0AAgAAAAktMyw3NzA1MzkBCAAAAAUAAAABMQEAAAALLTE5NDUxMzQ3NzADAAAAAzE2MAIAAAAENDA1MQQAAAABMAcAAAAIMS8xLzIwMjQIAAAACjEyLzMxLzIwMjMJAAAAATC/d0us60feCPlpRrbrR94IMENJUS5IMk8uSVFfRUJJVERBX01BUkdJTi4yMDAwLjAxLzAxLzIwMjQuLi5VU0QuSAEAAABHhw0AAgAAAActOSw1NjAyAQgAAAAFAAAAATEBAAAACy0xOTQ1MTM0NzcwAwAAAAI1MAIAAAAENDA0NwQAAAABMAcAAAAIMS8xLzIwMjQIAAAACjEyLzMxLzIwMjMJAAAAATC/d0us60feCPlpRrbrR94IL0NJUS5IMk8uSVFfVE9UQUxfQVNTRVRTLjIwMDAuMDEv</t>
  </si>
  <si>
    <t>MDEvMjAyNC4uLlVTRC5IAQAAAEeHDQACAAAACjE1NiwzMDQyMzkBCAAAAAUAAAABMQEAAAALLTE5NDUxMzQ3NzADAAAAAzE2MAIAAAAEMTAwNwQAAAABMAcAAAAIMS8xLzIwMjQIAAAACjEyLzMxLzIwMjMJAAAAATC/d0us60feCLGURrbrR94ILUNJUS5IMk8uSVFfQ0FTSF9FUVVJVi4yMDAwLjAxLzAxLzIwMjQuLi5VU0QuSAEAAABHhw0AAgAAAAkxNiwxMjYwNTgBCAAAAAUAAAABMQEAAAALLTE5NDUxMzQ3NzADAAAAAzE2MAIAAAAEMTA5NgQAAAABMAcAAAAIMS8xLzIwMjQIAAAACjEyLzMxLzIwMjMJAAAAATC/d0us60feCLGURrbrR94IK0NJUS5IMk8uSVFfTkVUX0RFQlQuMjAwMC4wMS8wMS8yMDI0Li4uVVNELkgBAAAAR4cNAAIAAAAJMjYsNjE1MjEzAQgAAAAFAAAAATEBAAAACy0xOTQ1MTM0NzcwAwAAAAMxNjACAAAABDQzNjQEAAAAATAHAAAACDEvMS8yMDI0CAAAAAoxMi8zMS8yMDIzCQAAAAEwv3dLrOtH3gixlEa260feCCpDSVEuRk5UTC5JUV9FQklUREEuMjAwMC4wMS8wMS8yMDI0Li4uVVNELkgBAAAAX8PnFQIAAAAJMjIsMDM1OTcxAQgAAAAFAAAAATEBAAAACy0xOTUyNDM1MTcyAwAAAAMxNjACAAAABDQwNTEEAAAAATAHAAAACDEvMS8yMDI0CAAAAAoxMi8zMS8yMDIzCQAAAAEwBj8trutH3gixlEa260feCDFDSVEuRk5UTC5JUV9FQklUREFfTUFSR0lOLjIwMDAuMDEvMDEvMjAyNC4u</t>
  </si>
  <si>
    <t>LlVTRC5IAQAAAF/D5xUCAAAABzI2LDY1NjMBCAAAAAUAAAABMQEAAAALLTE5NTI0MzUxNzIDAAAAAjU1AgAAAAQ0MDQ3BAAAAAEwBwAAAAgxLzEvMjAyNAgAAAAKMTIvMzEvMjAyMwkAAAABMAY/La7rR94IfuZGtutH3ggwQ0lRLkZOVEwuSVFfVE9UQUxfQVNTRVRTLjIwMDAuMDEvMDEvMjAyNC4uLlVTRC5IAQAAAF/D5xUCAAAACjE4Nyw0OTY4MTYBCAAAAAUAAAABMQEAAAALLTE5NTI0MzUxNzIDAAAAAzE2MAIAAAAEMTAwNwQAAAABMAcAAAAIMS8xLzIwMjQIAAAACjEyLzMxLzIwMjMJAAAAATAGPy2u60feCH7mRrbrR94ILkNJUS5GTlRMLklRX0NBU0hfRVFVSVYuMjAwMC4wMS8wMS8yMDI0Li4uVVNELkgBAAAAX8PnFQIAAAAJMTYsMTc2Njk1AQgAAAAFAAAAATEBAAAACy0xOTUyNDM1MTcyAwAAAAMxNjACAAAABDEwOTYEAAAAATAHAAAACDEvMS8yMDI0CAAAAAoxMi8zMS8yMDIzCQAAAAEwBj8trutH3ggdv0a260feCCxDSVEuRk5UTC5JUV9ORVRfREVCVC4yMDAwLjAxLzAxLzIwMjQuLi5VU0QuSAEAAABfw+cVAgAAAAktMCwxMjczNzYBCAAAAAUAAAABMQEAAAALLTE5NTI0MzUxNzIDAAAAAzE2MAIAAAAENDM2NAQAAAABMAcAAAAIMS8xLzIwMjQIAAAACjEyLzMxLzIwMjMJAAAAATAGPy2u60feCB2/RrbrR94IKkNJUS5MT0tPLklRX0VCSVREQS4yMDAwLjAxLzAxLzIwMjQuLi5VU0QuSAEAAACC</t>
  </si>
  <si>
    <t>TeYoAgAAAAgtMiw3OTIzNQEIAAAABQAAAAExAQAAAAstMTk1MzA3MTI3OQMAAAADMTYwAgAAAAQ0MDUxBAAAAAEwBwAAAAgxLzEvMjAyNAgAAAAKMTIvMzEvMjAyMwkAAAABML93S6zrR94IURJHtutH3ggxQ0lRLkxPS08uSVFfRUJJVERBX01BUkdJTi4yMDAwLjAxLzAxLzIwMjQuLi5VU0QuSAEAAACCTeYoAwAAAAAAv3dLrOtH3ghREke260feCDBDSVEuTE9LTy5JUV9UT1RBTF9BU1NFVFMuMjAwMC4wMS8wMS8yMDI0Li4uVVNELkgBAAAAgk3mKAIAAAAHNSwyOTc1MQEIAAAABQAAAAExAQAAAAstMTk1MzA3MTI3OQMAAAADMTYwAgAAAAQxMDA3BAAAAAEwBwAAAAgxLzEvMjAyNAgAAAAKMTIvMzEvMjAyMwkAAAABML93S6zrR94IURJHtutH3gguQ0lRLkxPS08uSVFfQ0FTSF9FUVVJVi4yMDAwLjAxLzAxLzIwMjQuLi5VU0QuSAEAAACCTeYoAgAAAAgzLDY3OTcwMQEIAAAABQAAAAExAQAAAAstMTk1MzA3MTI3OQMAAAADMTYwAgAAAAQxMDk2BAAAAAEwBwAAAAgxLzEvMjAyNAgAAAAKMTIvMzEvMjAyMwkAAAABML93S6zrR94IURJHtutH3ggsQ0lRLkxPS08uSVFfTkVUX0RFQlQuMjAwMC4wMS8wMS8yMDI0Li4uVVNELkgBAAAAgk3mKAIAAAAJLTMsNjc5NzAxAQgAAAAFAAAAATEBAAAACy0xOTUzMDcxMjc5AwAAAAMxNjACAAAABDQzNjQEAAAAATAHAAAACDEvMS8yMDI0CAAAAAoxMi8zMS8yMDIzCQAA</t>
  </si>
  <si>
    <t>AAEwv3dLrOtH3ghREke260feCClDSVEuTURILklRX0VCSVREQS4yMDAwLjAxLzAxLzIwMjQuLi5VU0QuSAEAAAAPKwEqAgAAAAktMSwzNjkyODcBCAAAAAUAAAABMQEAAAALLTE5NzA5OTk0NDUDAAAAAzE2MAIAAAAENDA1MQQAAAABMAcAAAAIMS8xLzIwMjQIAAAACjEyLzMxLzIwMjMJAAAAATC/d0us60feCEVOR7brR94IMENJUS5NREguSVFfRUJJVERBX01BUkdJTi4yMDAwLjAxLzAxLzIwMjQuLi5VU0QuSAEAAAAPKwEqAwAAAAJOTQEIAAAABQAAAAExAQAAAAstMTk3MDk5OTQ0NQMAAAACNTUCAAAABDQwNDcEAAAAATAHAAAACDEvMS8yMDI0CAAAAAoxMi8zMS8yMDIzCQAAAAEwv3dLrOtH3ghFTke260feCC9DSVEuTURILklRX1RPVEFMX0FTU0VUUy4yMDAwLjAxLzAxLzIwMjQuLi5VU0QuSAEAAAAPKwEqAgAAAAgxLDE4MzMxOQEIAAAABQAAAAExAQAAAAstMTk3MDk5OTQ0NQMAAAADMTYwAgAAAAQxMDA3BAAAAAEwBwAAAAgxLzEvMjAyNAgAAAAKMTIvMzEvMjAyMwkAAAABML93S6zrR94I/HhHtutH3ggtQ0lRLk1ESC5JUV9DQVNIX0VRVUlWLjIwMDAuMDEvMDEvMjAyNC4uLlVTRC5IAQAAAA8rASoCAAAACDAsMjA3NjIyAQgAAAAFAAAAATEBAAAACy0xOTcwOTk5NDQ1AwAAAAMxNjACAAAABDEwOTYEAAAAATAHAAAACDEvMS8yMDI0CAAAAAoxMi8zMS8yMDIzCQAAAAEwv3dLrOtH3gj8eEe260fe</t>
  </si>
  <si>
    <t>CCtDSVEuTURILklRX05FVF9ERUJULjIwMDAuMDEvMDEvMjAyNC4uLlVTRC5IAQAAAA8rASoCAAAACDAsNTM2MjUxAQgAAAAFAAAAATEBAAAACy0xOTcwOTk5NDQ1AwAAAAMxNjACAAAABDQzNjQEAAAAATAHAAAACDEvMS8yMDI0CAAAAAoxMi8zMS8yMDIzCQAAAAEwv3dLrOtH3gj8eEe260feCCpDSVEuSUJTVC5JUV9FQklUREEuMjAwMC4wMS8wMS8yMDI0Li4uVVNELkgBAAAAG2WwEAIAAAAKMTIwLDE1NzE4MQEIAAAABQAAAAExAQAAAAstMTk1MTU1Mzk1MwMAAAADMTYwAgAAAAQ0MDUxBAAAAAEwBwAAAAgxLzEvMjAyNAgAAAAKMTIvMzEvMjAyMwkAAAABML93S6zrR94I/HhHtutH3ggxQ0lRLklCU1QuSVFfRUJJVERBX01BUkdJTi4yMDAwLjAxLzAxLzIwMjQuLi5VU0QuSAEAAAAbZbAQAgAAAAcyMywyNDM5AQgAAAAFAAAAATEBAAAACy0xOTUxNTUzOTUzAwAAAAI1NQIAAAAENDA0NwQAAAABMAcAAAAIMS8xLzIwMjQIAAAACjEyLzMxLzIwMjMJAAAAATC/d0us60feCKyuR7brR94IMENJUS5JQlNULklRX1RPVEFMX0FTU0VUUy4yMDAwLjAxLzAxLzIwMjQuLi5VU0QuSAEAAAAbZbAQAgAAAAo5NjAsNzA1OTE1AQgAAAAFAAAAATEBAAAACy0xOTUxNTUzOTUzAwAAAAMxNjACAAAABDEwMDcEAAAAATAHAAAACDEvMS8yMDI0CAAAAAoxMi8zMS8yMDIzCQAAAAEwv3dLrOtH3gisrke260feCC5DSVEuSUJT</t>
  </si>
  <si>
    <t>VC5JUV9DQVNIX0VRVUlWLjIwMDAuMDEvMDEvMjAyNC4uLlVTRC5IAQAAABtlsBACAAAACTMwLDQwNzA5MgEIAAAABQAAAAExAQAAAAstMTk1MTU1Mzk1MwMAAAADMTYwAgAAAAQxMDk2BAAAAAEwBwAAAAgxLzEvMjAyNAgAAAAKMTIvMzEvMjAyMwkAAAABML93S6zrR94IrK5HtutH3ggsQ0lRLklCU1QuSVFfTkVUX0RFQlQuMjAwMC4wMS8wMS8yMDI0Li4uVVNELkgBAAAAG2WwEAIAAAAKMTgzLDk5MjcxNAEIAAAABQAAAAExAQAAAAstMTk1MTU1Mzk1MwMAAAADMTYwAgAAAAQ0MzY0BAAAAAEwBwAAAAgxLzEvMjAyNAgAAAAKMTIvMzEvMjAyMwkAAAABML93S6zrR94IrK5HtutH3ggpQ0lRLktSTi5JUV9FQklUREEuMjAwMC4wMS8wMS8yMDI0Li4uVVNELkgBAAAAwWENAAIAAAAKNDIyLDAwMDY2MwEIAAAABQAAAAExAQAAAAstMTk1NTA2NDk0NQMAAAADMTYwAgAAAAQ0MDUxBAAAAAEwBwAAAAgxLzEvMjAyNAgAAAAKMTIvMzEvMjAyMwkAAAABMPuM+KzrR94I19hHtutH3ggwQ0lRLktSTi5JUV9FQklUREFfTUFSR0lOLjIwMDAuMDEvMDEvMjAyNC4uLlVTRC5IAQAAAMFhDQACAAAABjgsMDExNAEIAAAABQAAAAExAQAAAAstMTk1NTA2NDk0NQMAAAACNTACAAAABDQwNDcEAAAAATAHAAAACDEvMS8yMDI0CAAAAAoxMi8zMS8yMDIzCQAAAAEw+4z4rOtH3gjX2Ee260feCC9DSVEuS1JOLklRX1RPVEFMX0FT</t>
  </si>
  <si>
    <t>U0VUUy4yMDAwLjAxLzAxLzIwMjQuLi5VU0QuSAEAAADBYQ0AAgAAAAs0OTQ4LDcyMjIyNwEIAAAABQAAAAExAQAAAAstMTk1NTA2NDk0NQMAAAADMTYwAgAAAAQxMDA3BAAAAAEwBwAAAAgxLzEvMjAyNAgAAAAKMTIvMzEvMjAyMwkAAAABMPuM+KzrR94I19hHtutH3ggtQ0lRLktSTi5JUV9DQVNIX0VRVUlWLjIwMDAuMDEvMDEvMjAyNC4uLlVTRC5IAQAAAMFhDQACAAAACjQ5NSw1OTQxMTkBCAAAAAUAAAABMQEAAAALLTE5NTUwNjQ5NDUDAAAAAzE2MAIAAAAEMTA5NgQAAAABMAcAAAAIMS8xLzIwMjQIAAAACjEyLzMxLzIwMjMJAAAAATD7jPis60feCNfYR7brR94IK0NJUS5LUk4uSVFfTkVUX0RFQlQuMjAwMC4wMS8wMS8yMDI0Li4uVVNELkgBAAAAwWENAAIAAAALLTM0MSwxMzQwNzcBCAAAAAUAAAABMQEAAAALLTE5NTUwNjQ5NDUDAAAAAzE2MAIAAAAENDM2NAQAAAABMAcAAAAIMS8xLzIwMjQIAAAACjEyLzMxLzIwMjMJAAAAATD7jPis60feCAYDSLbrR94IK0NJUS5MSUREUy5JUV9FQklUREEuMjAwMC4wMS8wMS8yMDI0Li4uVVNELkgBAAAA2Cr8AQIAAAAJLTMsOTk3MzQzAQgAAAAFAAAAATEBAAAACy0xOTkwMjc5NTQ5AwAAAAMxNjACAAAABDQwNTEEAAAAATAHAAAACDEvMS8yMDI0CAAAAAoxMi8zMS8yMDIzCQAAAAEwv3dLrOtH3ggGA0i260feCDJDSVEuTElERFMuSVFfRUJJVERBX01BUkdJ</t>
  </si>
  <si>
    <t>Ti4yMDAwLjAxLzAxLzIwMjQuLi5VU0QuSAEAAADYKvwBAwAAAAAAv3dLrOtH3ggGA0i260feCDFDSVEuTElERFMuSVFfVE9UQUxfQVNTRVRTLjIwMDAuMDEvMDEvMjAyNC4uLlVTRC5IAQAAANgq/AECAAAABzEsNzU1NTUBCAAAAAUAAAABMQEAAAALLTE5OTAyNzk1NDkDAAAAAzE2MAIAAAAEMTAwNwQAAAABMAcAAAAIMS8xLzIwMjQIAAAACjEyLzMxLzIwMjMJAAAAATC/d0us60feCFcqSLbrR94IL0NJUS5MSUREUy5JUV9DQVNIX0VRVUlWLjIwMDAuMDEvMDEvMjAyNC4uLlVTRC5IAQAAANgq/AECAAAACDEsMzQzNTg1AQgAAAAFAAAAATEBAAAACy0xOTkwMjc5NTQ5AwAAAAMxNjACAAAABDEwOTYEAAAAATAHAAAACDEvMS8yMDI0CAAAAAoxMi8zMS8yMDIzCQAAAAEwv3dLrOtH3ghXKki260feCC1DSVEuTElERFMuSVFfTkVUX0RFQlQuMjAwMC4wMS8wMS8yMDI0Li4uVVNELkgBAAAA2Cr8AQIAAAAJLTEsMzQzNTg1AQgAAAAFAAAAATEBAAAACy0xOTkwMjc5NTQ5AwAAAAMxNjACAAAABDQzNjQEAAAAATAHAAAACDEvMS8yMDI0CAAAAAoxMi8zMS8yMDIzCQAAAAEwv3dLrOtH3ghXKki260feCCpDSVEuQ1VSTi5JUV9FQklUREEuMjAwMC4wMS8wMS8yMDI0Li4uVVNELkgBAAAAWK4HCAIAAAAJMTgsMTU1MjMyAQgAAAAFAAAAATEBAAAACy0xOTYyMTQ4Nzc2AwAAAAMxNjACAAAABDQwNTEEAAAAATAHAAAA</t>
  </si>
  <si>
    <t>CDEvMS8yMDI0CAAAAAoxMC8zMS8yMDIzCQAAAAEwv3dLrOtH3ghXKki260feCDFDSVEuQ1VSTi5JUV9FQklUREFfTUFSR0lOLjIwMDAuMDEvMDEvMjAyNC4uLlVTRC5IAQAAAFiuBwgCAAAABzIyLDE1MjcBCAAAAAUAAAABMQEAAAALLTE5NjIxNDg3NzYDAAAAAzE2MAIAAAAENDA0NwQAAAABMAcAAAAIMS8xLzIwMjQIAAAACjEwLzMxLzIwMjMJAAAAATC/d0us60feCOTtSLbrR94IMENJUS5DVVJOLklRX1RPVEFMX0FTU0VUUy4yMDAwLjAxLzAxLzIwMjQuLi5VU0QuSAEAAABYrgcIAgAAAAoxMzIsMDQ5NDQ0AQgAAAAFAAAAATEBAAAACy0xOTYyMTQ4Nzc2AwAAAAMxNjACAAAABDEwMDcEAAAAATAHAAAACDEvMS8yMDI0CAAAAAoxMC8zMS8yMDIzCQAAAAEwv3dLrOtH3gjk7Ui260feCC5DSVEuQ1VSTi5JUV9DQVNIX0VRVUlWLjIwMDAuMDEvMDEvMjAyNC4uLlVTRC5IAQAAAFiuBwgCAAAACTkyLDcyMDI5MwEIAAAABQAAAAExAQAAAAstMTk2MjE0ODc3NgMAAAADMTYwAgAAAAQxMDk2BAAAAAEwBwAAAAgxLzEvMjAyNAgAAAAKMTAvMzEvMjAyMwkAAAABML93S6zrR94I2sZItutH3ggsQ0lRLkNVUk4uSVFfTkVUX0RFQlQuMjAwMC4wMS8wMS8yMDI0Li4uVVNELkgBAAAAWK4HCAIAAAAKLTc1LDA3MzU4MwEIAAAABQAAAAExAQAAAAstMTk2MjE0ODc3NgMAAAADMTYwAgAAAAQ0MzY0BAAAAAEwBwAAAAgx</t>
  </si>
  <si>
    <t>LzEvMjAyNAgAAAAKMTAvMzEvMjAyMwkAAAABML93S6zrR94I2sZItutH3ggoQ0lRLkRULklRX0VCSVREQS4yMDAwLjAxLzAxLzIwMjQuLi5VU0QuSAEAAABquXQlAgAAAAcxNjMsNDc0AQgAAAAFAAAAATEBAAAACy0xOTYxNTg4ODUwAwAAAAMxNjACAAAABDQwNTEEAAAAATAHAAAACDEvMS8yMDI0CAAAAAoxMi8zMS8yMDIzCQAAAAEwv3dLrOtH3gjk7Ui260feCC9DSVEuRFQuSVFfRUJJVERBX01BUkdJTi4yMDAwLjAxLzAxLzIwMjQuLi5VU0QuSAEAAABquXQlAgAAAAcxMSw5ODM1AQgAAAAFAAAAATEBAAAACy0xOTYxNTg4ODUwAwAAAAMxNjACAAAABDQwNDcEAAAAATAHAAAACDEvMS8yMDI0CAAAAAoxMi8zMS8yMDIzCQAAAAEwv3dLrOtH3gjk7Ui260feCC5DSVEuRFQuSVFfVE9UQUxfQVNTRVRTLjIwMDAuMDEvMDEvMjAyNC4uLlVTRC5IAQAAAGq5dCUCAAAACDI5OTksMjEzAQgAAAAFAAAAATEBAAAACy0xOTYxNTg4ODUwAwAAAAMxNjACAAAABDEwMDcEAAAAATAHAAAACDEvMS8yMDI0CAAAAAoxMi8zMS8yMDIzCQAAAAEwv3dLrOtH3gj1FEm260feCCxDSVEuRFQuSVFfQ0FTSF9FUVVJVi4yMDAwLjAxLzAxLzIwMjQuLi5VU0QuSAEAAABquXQlAgAAAAc3ODIsNjQ5AQgAAAAFAAAAATEBAAAACy0xOTYxNTg4ODUwAwAAAAMxNjACAAAABDEwOTYEAAAAATAHAAAACDEvMS8yMDI0CAAAAAoxMi8zMS8y</t>
  </si>
  <si>
    <t>MDIzCQAAAAEwv3dLrOtH3gj1FEm260feCCpDSVEuRFQuSVFfTkVUX0RFQlQuMjAwMC4wMS8wMS8yMDI0Li4uVVNELkgBAAAAarl0JQIAAAAILTcwOCwzNTkBCAAAAAUAAAABMQEAAAALLTE5NjE1ODg4NTADAAAAAzE2MAIAAAAENDM2NAQAAAABMAcAAAAIMS8xLzIwMjQIAAAACjEyLzMxLzIwMjMJAAAAATC/d0us60feCPUUSbbrR94IKUNJUS5JVEQuSVFfRUJJVERBLjIwMDAuMDEvMDEvMjAyNC4uLlVTRC5IAQAAAPNoDQACAAAACTE2OCwzMTU4MwEIAAAABQAAAAExAQAAAAstMTk1NzY1ODk1MgMAAAADMTYwAgAAAAQ0MDUxBAAAAAEwBwAAAAgxLzEvMjAyNAgAAAAKMTIvMzEvMjAyMwkAAAABML93S6zrR94I9RRJtutH3ggwQ0lRLklURC5JUV9FQklUREFfTUFSR0lOLjIwMDAuMDEvMDEvMjAyNC4uLlVTRC5IAQAAAPNoDQACAAAABTksMDc4AQgAAAAFAAAAATEBAAAACy0xOTU3NjU4OTUyAwAAAAMxNDkCAAAABDQwNDcEAAAAATAHAAAACDEvMS8yMDI0CAAAAAoxMi8zMS8yMDIzCQAAAAEwv3dLrOtH3gj1FEm260feCC9DSVEuSVRELklRX1RPVEFMX0FTU0VUUy4yMDAwLjAxLzAxLzIwMjQuLi5VU0QuSAEAAADzaA0AAgAAAAszNDA2LDU5MDg0MgEIAAAABQAAAAExAQAAAAstMTk1NzY1ODk1MgMAAAADMTYwAgAAAAQxMDA3BAAAAAEwBwAAAAgxLzEvMjAyNAgAAAAKMTIvMzEvMjAyMwkAAAABML93S6zr</t>
  </si>
  <si>
    <t>R94IAjxJtutH3ggtQ0lRLklURC5JUV9DQVNIX0VRVUlWLjIwMDAuMDEvMDEvMjAyNC4uLlVTRC5IAQAAAPNoDQACAAAACjEzMyw3MDkzNTYBCAAAAAUAAAABMQEAAAALLTE5NTc2NTg5NTIDAAAAAzE2MAIAAAAEMTA5NgQAAAABMAcAAAAIMS8xLzIwMjQIAAAACjEyLzMxLzIwMjMJAAAAATC/d0us60feCAI8SbbrR94IK0NJUS5JVEQuSVFfTkVUX0RFQlQuMjAwMC4wMS8wMS8yMDI0Li4uVVNELkgBAAAA82gNAAIAAAALMTI4OCw5ODA0NjYBCAAAAAUAAAABMQEAAAALLTE5NTc2NTg5NTIDAAAAAzE2MAIAAAAENDM2NAQAAAABMAcAAAAIMS8xLzIwMjQIAAAACjEyLzMxLzIwMjMJAAAAATC/d0us60feCAI8SbbrR94IKkNJUS5TUEVDLklRX0VCSVREQS4yMDAwLjAxLzAxLzIwMjQuLi5VU0QuSAEAAABZdp9sAgAAAAotMTYsNzA4NjgzAQgAAAAFAAAAATEBAAAACy0yMDAzNzAzMjQwAwAAAAMxNjACAAAABDQwNTEEAAAAATAHAAAACDEvMS8yMDI0CAAAAAoxMi8zMS8yMDIzCQAAAAEwv3dLrOtH3ggCPEm260feCDFDSVEuU1BFQy5JUV9FQklUREFfTUFSR0lOLjIwMDAuMDEvMDEvMjAyNC4uLlVTRC5IAQAAAFl2n2wDAAAAAAC/d0us60feCCOKSbbrR94IMENJUS5TUEVDLklRX1RPVEFMX0FTU0VUUy4yMDAwLjAxLzAxLzIwMjQuLi5VU0QuSAEAAABZdp9sAgAAAAgxLDQ0MzA1NQEIAAAABQAAAAExAQAAAAst</t>
  </si>
  <si>
    <t>MjAwMzcwMzI0MAMAAAADMTYwAgAAAAQxMDA3BAAAAAEwBwAAAAgxLzEvMjAyNAgAAAAKMTIvMzEvMjAyMwkAAAABML93S6zrR94II4pJtutH3gguQ0lRLlNQRUMuSVFfQ0FTSF9FUVVJVi4yMDAwLjAxLzAxLzIwMjQuLi5VU0QuSAEAAABZdp9sAgAAAAgwLDM0Mjk5NgEIAAAABQAAAAExAQAAAAstMjAwMzcwMzI0MAMAAAADMTYwAgAAAAQxMDk2BAAAAAEwBwAAAAgxLzEvMjAyNAgAAAAKMTIvMzEvMjAyMwkAAAABML93S6zrR94IEmNJtutH3ggsQ0lRLlNQRUMuSVFfTkVUX0RFQlQuMjAwMC4wMS8wMS8yMDI0Li4uVVNELkgBAAAAWXafbAIAAAAINyw0MTc5NDUBCAAAAAUAAAABMQEAAAALLTIwMDM3MDMyNDADAAAAAzE2MAIAAAAENDM2NAQAAAABMAcAAAAIMS8xLzIwMjQIAAAACjEyLzMxLzIwMjMJAAAAATC/d0us60feCBJjSbbrR94IKUNJUS5GR1AuSVFfRUJJVERBLjIwMDAuMDEvMDEvMjAyNC4uLlVTRC5IAQAAAKFrDQACAAAACjI4OSwzMzM1NzEBCAAAAAUAAAABMQEAAAALLTE5MzcwNTI4MDcDAAAAAzE2MAIAAAAENDA1MQQAAAABMAcAAAAIMS8xLzIwMjQIAAAACjEyLzMwLzIwMjMJAAAAATC/d0us60feCA+ySbbrR94IMENJUS5GR1AuSVFfRUJJVERBX01BUkdJTi4yMDAwLjAxLzAxLzIwMjQuLi5VU0QuSAEAAAChaw0AAgAAAAY0LDc5OTkBCAAAAAUAAAABMQEAAAALLTE5MzcwNTI4MDcDAAAA</t>
  </si>
  <si>
    <t>AjU1AgAAAAQ0MDQ3BAAAAAEwBwAAAAgxLzEvMjAyNAgAAAAKMTIvMzAvMjAyMwkAAAABML93S6zrR94ID7JJtutH3ggvQ0lRLkZHUC5JUV9UT1RBTF9BU1NFVFMuMjAwMC4wMS8wMS8yMDI0Li4uVVNELkgBAAAAoWsNAAIAAAALNDg0OSw2OTY4NDcBCAAAAAUAAAABMQEAAAALLTE5MzcwNTI4MDcDAAAAAzE2MAIAAAAEMTAwNwQAAAABMAcAAAAIMS8xLzIwMjQIAAAACjEyLzMwLzIwMjMJAAAAATC/d0us60feCA+ySbbrR94ILUNJUS5GR1AuSVFfQ0FTSF9FUVVJVi4yMDAwLjAxLzAxLzIwMjQuLi5VU0QuSAEAAAChaw0AAgAAAAo2MzIsNDE5NjI2AQgAAAAFAAAAATEBAAAACy0xOTM3MDUyODA3AwAAAAMxNjACAAAABDEwOTYEAAAAATAHAAAACDEvMS8yMDI0CAAAAAoxMi8zMC8yMDIzCQAAAAEwv3dLrOtH3ggPskm260feCCtDSVEuRkdQLklRX05FVF9ERUJULjIwMDAuMDEvMDEvMjAyNC4uLlVTRC5IAQAAAKFrDQACAAAACzE0NjMsMjkwMzY2AQgAAAAFAAAAATEBAAAACy0xOTM3MDUyODA3AwAAAAMxNjACAAAABDQzNjQEAAAAATAHAAAACDEvMS8yMDI0CAAAAAoxMi8zMC8yMDIzCQAAAAEwv3dLrOtH3ggJ2km260feCClDSVEuTkJYLklRX0VCSVREQS4yMDAwLjAxLzAxLzIwMjQuLi5VU0QuSAEAAACdSeIlAgAAAAktMiwzMjA1OTYBCAAAAAUAAAABMQEAAAALLTE5NTE2NTk1ODkDAAAAAzE2MAIAAAAE</t>
  </si>
  <si>
    <t>NDA1MQQAAAABMAcAAAAIMS8xLzIwMjQIAAAACjEyLzMxLzIwMjMJAAAAATC/d0us60feCAnaSbbrR94IMENJUS5OQlguSVFfRUJJVERBX01BUkdJTi4yMDAwLjAxLzAxLzIwMjQuLi5VU0QuSAEAAACdSeIlAgAAAAktMjU2LDMzMDcBCAAAAAUAAAABMQEAAAALLTE5NTE2NTk1ODkDAAAAAzExNwIAAAAENDA0NwQAAAABMAcAAAAIMS8xLzIwMjQIAAAACjEyLzMxLzIwMjMJAAAAATC/d0us60feCAnaSbbrR94IL0NJUS5OQlguSVFfVE9UQUxfQVNTRVRTLjIwMDAuMDEvMDEvMjAyNC4uLlVTRC5IAQAAAJ1J4iUCAAAACDExLDg4NDcyAQgAAAAFAAAAATEBAAAACy0xOTUxNjU5NTg5AwAAAAMxNjACAAAABDEwMDcEAAAAATAHAAAACDEvMS8yMDI0CAAAAAoxMi8zMS8yMDIzCQAAAAEwv3dLrOtH3ggJ2km260feCC1DSVEuTkJYLklRX0NBU0hfRVFVSVYuMjAwMC4wMS8wMS8yMDI0Li4uVVNELkgBAAAAnUniJQIAAAAIMCwwMzkzMTMBCAAAAAUAAAABMQEAAAALLTE5NTE2NTk1ODkDAAAAAzE2MAIAAAAEMTA5NgQAAAABMAcAAAAIMS8xLzIwMjQIAAAACjEyLzMxLzIwMjMJAAAAATC/d0us60feCD4KSrbrR94IK0NJUS5OQlguSVFfTkVUX0RFQlQuMjAwMC4wMS8wMS8yMDI0Li4uVVNELkgBAAAAnUniJQIAAAAIMyw0NjAwOTMBCAAAAAUAAAABMQEAAAALLTE5NTE2NTk1ODkDAAAAAzE2MAIAAAAENDM2NAQAAAAB</t>
  </si>
  <si>
    <t>MAcAAAAIMS8xLzIwMjQIAAAACjEyLzMxLzIwMjMJAAAAATC/d0us60feCD4KSrbrR94IKkNJUS5TQlRYLklRX0VCSVREQS4yMDAwLjAxLzAxLzIwMjQuLi5VU0QuSAEAAACKphEYAgAAAAktMyw4MjAwOTkBCAAAAAUAAAABMQEAAAALLTE5NTQ0MDM5MzcDAAAAAzE2MAIAAAAENDA1MQQAAAABMAcAAAAIMS8xLzIwMjQIAAAACjEyLzMxLzIwMjMJAAAAATC/d0us60feCD4KSrbrR94IMUNJUS5TQlRYLklRX0VCSVREQV9NQVJHSU4uMjAwMC4wMS8wMS8yMDI0Li4uVVNELkgBAAAAiqYRGAMAAAACTk0BCAAAAAUAAAABMQEAAAALLTE5NTQ0MDM5MzcDAAAAAjU1AgAAAAQ0MDQ3BAAAAAEwBwAAAAgxLzEvMjAyNAgAAAAKMTIvMzEvMjAyMwkAAAABML93S6zrR94ImDFKtutH3ggwQ0lRLlNCVFguSVFfVE9UQUxfQVNTRVRTLjIwMDAuMDEvMDEvMjAyNC4uLlVTRC5IAQAAAIqmERgCAAAABzUsMzY0MjkBCAAAAAUAAAABMQEAAAALLTE5NTQ0MDM5MzcDAAAAAzE2MAIAAAAEMTAwNwQAAAABMAcAAAAIMS8xLzIwMjQIAAAACjEyLzMxLzIwMjMJAAAAATC/d0us60feCJgxSrbrR94ILkNJUS5TQlRYLklRX0NBU0hfRVFVSVYuMjAwMC4wMS8wMS8yMDI0Li4uVVNELkgBAAAAiqYRGAIAAAAIMyw2MTgxMzEBCAAAAAUAAAABMQEAAAALLTE5NTQ0MDM5MzcDAAAAAzE2MAIAAAAEMTA5NgQAAAABMAcAAAAIMS8xLzIwMjQI</t>
  </si>
  <si>
    <t>AAAACjEyLzMxLzIwMjMJAAAAATC/d0us60feCJgxSrbrR94ILENJUS5TQlRYLklRX05FVF9ERUJULjIwMDAuMDEvMDEvMjAyNC4uLlVTRC5IAQAAAIqmERgCAAAACS0zLDQ5NDUxMwEIAAAABQAAAAExAQAAAAstMTk1NDQwMzkzNwMAAAADMTYwAgAAAAQ0MzY0BAAAAAEwBwAAAAgxLzEvMjAyNAgAAAAKMTIvMzEvMjAyMwkAAAABML93S6zrR94ImDFKtutH3ggqQ0lRLkJSS1IuSVFfRUJJVERBLjIwMDAuMDEvMDEvMjAyNC4uLlVTRC5IAQAAANULCAACAAAAAzYwNAEIAAAABQAAAAExAQAAAAstMTk1NzE5NDYzNAMAAAADMTYwAgAAAAQ0MDUxBAAAAAEwBwAAAAgxLzEvMjAyNAgAAAAKMTIvMzEvMjAyMwkAAAABMPuM+KzrR94I+lhKtutH3ggxQ0lRLkJSS1IuSVFfRUJJVERBX01BUkdJTi4yMDAwLjAxLzAxLzIwMjQuLi5VU0QuSAEAAADVCwgAAgAAAAcyMCwzNzQ0AQgAAAAFAAAAATEBAAAACy0xOTU3MTk0NjM0AwAAAAMxNjACAAAABDQwNDcEAAAAATAHAAAACDEvMS8yMDI0CAAAAAoxMi8zMS8yMDIzCQAAAAEw+4z4rOtH3gj6WEq260feCDBDSVEuQlJLUi5JUV9UT1RBTF9BU1NFVFMuMjAwMC4wMS8wMS8yMDI0Li4uVVNELkgBAAAA1QsIAAIAAAAGNDI0OSw5AQgAAAAFAAAAATEBAAAACy0xOTU3MTk0NjM0AwAAAAMxNjACAAAABDEwMDcEAAAAATAHAAAACDEvMS8yMDI0CAAAAAoxMi8zMS8yMDIzCQAA</t>
  </si>
  <si>
    <t>AAEw+4z4rOtH3gj6WEq260feCC5DSVEuQlJLUi5JUV9DQVNIX0VRVUlWLjIwMDAuMDEvMDEvMjAyNC4uLlVTRC5IAQAAANULCAACAAAABTQ4OCwzAQgAAAAFAAAAATEBAAAACy0xOTU3MTk0NjM0AwAAAAMxNjACAAAABDEwOTYEAAAAATAHAAAACDEvMS8yMDI0CAAAAAoxMi8zMS8yMDIzCQAAAAEw+4z4rOtH3gj6WEq260feCCxDSVEuQlJLUi5JUV9ORVRfREVCVC4yMDAwLjAxLzAxLzIwMjQuLi5VU0QuSAEAAADVCwgAAgAAAAU4NzksMwEIAAAABQAAAAExAQAAAAstMTk1NzE5NDYzNAMAAAADMTYwAgAAAAQ0MzY0BAAAAAEwBwAAAAgxLzEvMjAyNAgAAAAKMTIvMzEvMjAyMwkAAAABMPuM+KzrR94IOIBKtutH3ggqQ0lRLklOSU4uSVFfRUJJVERBLjIwMDAuMDEvMDEvMjAyNC4uLlVTRC5IAQAAADKeNgECAAAACS0yLDMwOTk5OQEIAAAABQAAAAExAQAAAAstMTk1MzE0MjM2NAMAAAADMTYwAgAAAAQ0MDUxBAAAAAEwBwAAAAgxLzEvMjAyNAgAAAAKMTIvMzEvMjAyMwkAAAABME9mLa7rR94IOIBKtutH3ggxQ0lRLklOSU4uSVFfRUJJVERBX01BUkdJTi4yMDAwLjAxLzAxLzIwMjQuLi5VU0QuSAEAAAAynjYBAgAAAActMSwxMzQzAQgAAAAFAAAAATEBAAAACy0xOTUzMTQyMzY0AwAAAAI3MQIAAAAENDA0NwQAAAABMAcAAAAIMS8xLzIwMjQIAAAACjEyLzMxLzIwMjMJAAAAATBPZi2u60feCDiASrbrR94I</t>
  </si>
  <si>
    <t>MENJUS5JTklOLklRX1RPVEFMX0FTU0VUUy4yMDAwLjAxLzAxLzIwMjQuLi5VU0QuSAEAAAAynjYBAgAAAAoxNTAsNDI1MTI0AQgAAAAFAAAAATEBAAAACy0xOTUzMTQyMzY0AwAAAAMxNjACAAAABDEwMDcEAAAAATAHAAAACDEvMS8yMDI0CAAAAAoxMi8zMS8yMDIzCQAAAAEwT2YtrutH3gjzqEq260feCC5DSVEuSU5JTi5JUV9DQVNIX0VRVUlWLjIwMDAuMDEvMDEvMjAyNC4uLlVTRC5IAQAAADKeNgECAAAACDgsMDc0ODYyAQgAAAAFAAAAATEBAAAACy0xOTUzMTQyMzY0AwAAAAMxNjACAAAABDEwOTYEAAAAATAHAAAACDEvMS8yMDI0CAAAAAoxMi8zMS8yMDIzCQAAAAEwT2YtrutH3gjzqEq260feCCxDSVEuSU5JTi5JUV9ORVRfREVCVC4yMDAwLjAxLzAxLzIwMjQuLi5VU0QuSAEAAAAynjYBAgAAAAk0NiwzODc2OTMBCAAAAAUAAAABMQEAAAALLTE5NTMxNDIzNjQDAAAAAzE2MAIAAAAENDM2NAQAAAABMAcAAAAIMS8xLzIwMjQIAAAACjEyLzMxLzIwMjMJAAAAATBPZi2u60feCPOoSrbrR94ILUNJUS5TT0xXRVJTLklRX0VCSVREQS4yMDAwLjAxLzAxLzIwMjQuLi5VU0QuSAEAAACZbtIgAgAAAAg1LDA4MzQ1MwEIAAAABQAAAAExAQAAAAstMTk1NDQ5NTU0OAMAAAADMTYwAgAAAAQ0MDUxBAAAAAEwBwAAAAgxLzEvMjAyNAgAAAAKMTIvMzEvMjAyMwkAAAABML93S6zrR94I86hKtutH3gg0Q0lRLlNP</t>
  </si>
  <si>
    <t>TFdFUlMuSVFfRUJJVERBX01BUkdJTi4yMDAwLjAxLzAxLzIwMjQuLi5VU0QuSAEAAACZbtIgAgAAAAY2LDk2OTEBCAAAAAUAAAABMQEAAAALLTE5NTQ0OTU1NDgDAAAAAjUwAgAAAAQ0MDQ3BAAAAAEwBwAAAAgxLzEvMjAyNAgAAAAKMTIvMzEvMjAyMwkAAAABML93S6zrR94IVSRLtutH3ggzQ0lRLlNPTFdFUlMuSVFfVE9UQUxfQVNTRVRTLjIwMDAuMDEvMDEvMjAyNC4uLlVTRC5IAQAAAJlu0iACAAAACDk2LDIxNTMyAQgAAAAFAAAAATEBAAAACy0xOTU0NDk1NTQ4AwAAAAMxNjACAAAABDEwMDcEAAAAATAHAAAACDEvMS8yMDI0CAAAAAoxMi8zMS8yMDIzCQAAAAEwv3dLrOtH3ghVJEu260feCDFDSVEuU09MV0VSUy5JUV9DQVNIX0VRVUlWLjIwMDAuMDEvMDEvMjAyNC4uLlVTRC5IAQAAAJlu0iACAAAACDE3LDYzMzQ3AQgAAAAFAAAAATEBAAAACy0xOTU0NDk1NTQ4AwAAAAMxNjACAAAABDEwOTYEAAAAATAHAAAACDEvMS8yMDI0CAAAAAoxMi8zMS8yMDIzCQAAAAEwv3dLrOtH3ggs/Uq260feCC9DSVEuU09MV0VSUy5JUV9ORVRfREVCVC4yMDAwLjAxLzAxLzIwMjQuLi5VU0QuSAEAAACZbtIgAgAAAAkxMCwzODc5NzQBCAAAAAUAAAABMQEAAAALLTE5NTQ0OTU1NDgDAAAAAzE2MAIAAAAENDM2NAQAAAABMAcAAAAIMS8xLzIwMjQIAAAACjEyLzMxLzIwMjMJAAAAATC/d0us60feCCz9SrbrR94ILENJ</t>
  </si>
  <si>
    <t>US5TRElQIEIuSVFfRUJJVERBLjIwMDAuMDEvMDEvMjAyNC4uLlVTRC5IAQAAAPWiyAYCAAAACTk3LDU0NzEwMwEIAAAABQAAAAExAQAAAAstMTk1MTEzMDY3MgMAAAADMTYwAgAAAAQ0MDUxBAAAAAEwBwAAAAgxLzEvMjAyNAgAAAAKMTIvMzEvMjAyMwkAAAABMPSh8azrR94IVSRLtutH3ggzQ0lRLlNESVAgQi5JUV9FQklUREFfTUFSR0lOLjIwMDAuMDEvMDEvMjAyNC4uLlVTRC5IAQAAAPWiyAYCAAAABzIxLDQwOTgBCAAAAAUAAAABMQEAAAALLTE5NTExMzA2NzIDAAAAAzEzNwIAAAAENDA0NwQAAAABMAcAAAAIMS8xLzIwMjQIAAAACjEyLzMxLzIwMjMJAAAAATD0ofGs60feCFUkS7brR94IMkNJUS5TRElQIEIuSVFfVE9UQUxfQVNTRVRTLjIwMDAuMDEvMDEvMjAyNC4uLlVTRC5IAQAAAPWiyAYCAAAACjkwNSwzNjgzNzYBCAAAAAUAAAABMQEAAAALLTE5NTExMzA2NzIDAAAAAzE2MAIAAAAEMTAwNwQAAAABMAcAAAAIMS8xLzIwMjQIAAAACjEyLzMxLzIwMjMJAAAAATD0ofGs60feCGFLS7brR94IMENJUS5TRElQIEIuSVFfQ0FTSF9FUVVJVi4yMDAwLjAxLzAxLzIwMjQuLi5VU0QuSAEAAAD1osgGAgAAAAk1NCw2OTAwMTcBCAAAAAUAAAABMQEAAAALLTE5NTExMzA2NzIDAAAAAzE2MAIAAAAEMTA5NgQAAAABMAcAAAAIMS8xLzIwMjQIAAAACjEyLzMxLzIwMjMJAAAAATD0ofGs60feCGFLS7brR94I</t>
  </si>
  <si>
    <t>LkNJUS5TRElQIEIuSVFfTkVUX0RFQlQuMjAwMC4wMS8wMS8yMDI0Li4uVVNELkgBAAAA9aLIBgIAAAAKMzQ3LDYyOTYzNwEIAAAABQAAAAExAQAAAAstMTk1MTEzMDY3MgMAAAADMTYwAgAAAAQ0MzY0BAAAAAEwBwAAAAgxLzEvMjAyNAgAAAAKMTIvMzEvMjAyMwkAAAABMPSh8azrR94IYUtLtutH3ggpQ0lRLk5FVC5JUV9FQklUREEuMjAwMC4wMS8wMS8yMDI0Li4uVVNELkgBAAAANPXgBAIAAAAHLTcxLDE2NQEIAAAABQAAAAExAQAAAAstMTk1ODY5NTY1MwMAAAADMTYwAgAAAAQ0MDUxBAAAAAEwBwAAAAgxLzEvMjAyNAgAAAAKMTIvMzEvMjAyMwkAAAABML93S6zrR94IfaZLtutH3ggwQ0lRLk5FVC5JUV9FQklUREFfTUFSR0lOLjIwMDAuMDEvMDEvMjAyNC4uLlVTRC5IAQAAADT14AQCAAAABy01LDQ4NzkBCAAAAAUAAAABMQEAAAALLTE5NTg2OTU2NTMDAAAAAzE2MAIAAAAENDA0NwQAAAABMAcAAAAIMS8xLzIwMjQIAAAACjEyLzMxLzIwMjMJAAAAATC/d0us60feCNjNS7brR94IL0NJUS5ORVQuSVFfVE9UQUxfQVNTRVRTLjIwMDAuMDEvMDEvMjAyNC4uLlVTRC5IAQAAADT14AQCAAAACDI3NTksNzY3AQgAAAAFAAAAATEBAAAACy0xOTU4Njk1NjUzAwAAAAMxNjACAAAABDEwMDcEAAAAATAHAAAACDEvMS8yMDI0CAAAAAoxMi8zMS8yMDIzCQAAAAEwv3dLrOtH3gjYzUu260feCChDSVEuTFVDRS5J</t>
  </si>
  <si>
    <t>UV9MQVNUU0FMRVBSSUNFLjI5LzAyLzIwMjQuVVNEAQAAACb/HBgCAAAADjEsNzY2MTU1MDEyNjU2AErPTazrR94IR/kstutH3ggoQ0lRLkxVQ0UuSVFfTEFTVFNBTEVQUklDRS4yOC8wMi8yMDI0LlVTRAEAAAAm/xwYAgAAAA0xLDYzNDg4NDI4MDUyAErPTazrR94IhDcttutH3ggoQ0lRLkxVQ0UuSVFfTEFTVFNBTEVQUklDRS4yNy8wMi8yMDI0LlVTRAEAAAAm/xwYAgAAAA0xLDgxNDUxMzU3MDg3AErPTazrR94IR/kstutH3ggoQ0lRLkxVQ0UuSVFfTEFTVFNBTEVQUklDRS4yNi8wMi8yMDI0LlVTRAEAAAAm/xwYAgAAAA4xLDgyMDY5NDU1MTkxMgBKz02s60feCIQ3LbbrR94IKENJUS5MVUNFLklRX0xBU1RTQUxFUFJJQ0UuMDIvMDMvMjAyNC5VU0QBAAAAJv8cGAIAAAALMSw3MDgzMDAxNjUASs9NrOtH3giENy2260feCChDSVEuTFVDRS5JUV9MQVNUU0FMRVBSSUNFLjAzLzAzLzIwMjQuVVNEAQAAACb/HBgCAAAACzEsNzA4MzAwMTY1AErPTazrR94IhDcttutH3ggoQ0lRLkxVQ0UuSVFfTEFTVFNBTEVQUklDRS4wNC8wMy8yMDI0LlVTRAEAAAAm/xwYAgAAAA0xLDcyMTc1MTcxNzE4AErPTazrR94IR/kstutH3ggoQ0lRLkxVQ0UuSVFfTEFTVFNBTEVQUklDRS4wNS8wMy8yMDI0LlVTRAEAAAAm/xwYAgAAAA0xLDY2NjUxODI0ODg1AErPTazrR94IhDcttutH3ggoQ0lRLkxVQ0UuSVFfTEFTVFNBTEVQ</t>
  </si>
  <si>
    <t>UklDRS4yMy8wMi8yMDI0LlVTRAEAAAAm/xwYAgAAAA0xLDg1MDI3OTQ0MzAyAErPTazrR94IhDcttutH3ggoQ0lRLkxVQ0UuSVFfTEFTVFNBTEVQUklDRS4wOC8wMy8yMDI0LlVTRAEAAAAm/xwYAgAAAA0xLDY4NDA4NjAzMDA1AErPTazrR94IhDcttutH3ggnQ0lRLkFDRi5JUV9MQVNUU0FMRVBSSUNFLjI5LzAyLzIwMjQuVVNEAQAAAAPvrwICAAAADTAsNzkzMzkyNzI4OTgASs9NrOtH3ghSqi2260feCCdDSVEuQUNGLklRX0xBU1RTQUxFUFJJQ0UuMjgvMDIvMjAyNC5VU0QBAAAAA++vAgIAAAAMMCw3OTE5NTA2NjU4AErPTazrR94I8G0ttutH3ggnQ0lRLkFDRi5JUV9MQVNUU0FMRVBSSUNFLjI3LzAyLzIwMjQuVVNEAQAAAAPvrwICAAAADTAsNzk5MDA0NTE5MTQASs9NrOtH3gjwbS2260feCCdDSVEuQUNGLklRX0xBU1RTQUxFUFJJQ0UuMjYvMDIvMjAyNC5VU0QBAAAAA++vAgIAAAANMCw3Nzc3MjY5NDU0NQBKz02s60feCFKqLbbrR94IJ0NJUS5BQ0YuSVFfTEFTVFNBTEVQUklDRS4wMi8wMy8yMDI0LlVTRAEAAAAD768CAgAAAA0wLDgzNTE4MjA0NDE2AErPTazrR94IUqottutH3ggnQ0lRLkFDRi5JUV9MQVNUU0FMRVBSSUNFLjAzLzAzLzIwMjQuVVNEAQAAAAPvrwICAAAADTAsODM1MTgyMDQ0MTYASs9NrOtH3gjwbS2260feCCdDSVEuQUNGLklRX0xBU1RTQUxFUFJJQ0UuMDQvMDMvMjAyNC5V</t>
  </si>
  <si>
    <t>U0QBAAAAA++vAgIAAAANMCw4MjgwMDg4NjcyMgBKz02s60feCPBtLbbrR94IJ0NJUS5BQ0YuSVFfTEFTVFNBTEVQUklDRS4wNS8wMy8yMDI0LlVTRAEAAAAD768CAgAAAAwwLDgyMDM2NTkwOTMASs9NrOtH3ghSqi2260feCCdDSVEuQUNGLklRX0xBU1RTQUxFUFJJQ0UuMjMvMDIvMjAyNC5VU0QBAAAAA++vAgIAAAANMCw3OTAzMTk0MDcyNABKz02s60feCPBtLbbrR94IJ0NJUS5BQ0YuSVFfTEFTVFNBTEVQUklDRS4wOC8wMy8yMDI0LlVTRAEAAAAD768CAgAAAA0wLDgxNDc4NTM3MzU5AErPTazrR94I8G0ttutH3ggnQ0lRLlNHTi5JUV9MQVNUU0FMRVBSSUNFLjI5LzAyLzIwMjQuVVNEAQAAANShLmkCAAAACTMzLDM2NDgwNQBKz02s60feCNbpLbbrR94IJ0NJUS5TR04uSVFfTEFTVFNBTEVQUklDRS4yOC8wMi8yMDI0LlVTRAEAAADUoS5pAgAAAAkzMyw1OTUyMDUASs9NrOtH3gjW6S2260feCCdDSVEuU0dOLklRX0xBU1RTQUxFUFJJQ0UuMjcvMDIvMjAyNC5VU0QBAAAA1KEuaQIAAAAJMzMsNjAwMDA1AErPTazrR94IUqottutH3ggnQ0lRLlNHTi5JUV9MQVNUU0FMRVBSSUNFLjI2LzAyLzIwMjQuVVNEAQAAANShLmkCAAAACTMzLDYwMDAwNQBKz02s60feCNbpLbbrR94IJ0NJUS5TR04uSVFfTEFTVFNBTEVQUklDRS4wMi8wMy8yMDI0LlVTRAEAAADUoS5pAgAAAAkzMiw4ODAwMDUASs9NrOtH3gjW</t>
  </si>
  <si>
    <t>6S2260feCCdDSVEuU0dOLklRX0xBU1RTQUxFUFJJQ0UuMDMvMDMvMjAyNC5VU0QBAAAA1KEuaQIAAAAJMzIsODgwMDA1AErPTazrR94I1ukttutH3ggnQ0lRLlNHTi5JUV9MQVNUU0FMRVBSSUNFLjA0LzAzLzIwMjQuVVNEAQAAANShLmkCAAAACTMzLDk2NDgwNQBKz02s60feCNbpLbbrR94IJ0NJUS5TR04uSVFfTEFTVFNBTEVQUklDRS4wNS8wMy8yMDI0LlVTRAEAAADUoS5pAgAAAAkyOCwzMjAwMDQASs9NrOtH3gjW6S2260feCCdDSVEuU0dOLklRX0xBU1RTQUxFUFJJQ0UuMjMvMDIvMjAyNC5VU0QBAAAA1KEuaQIAAAAJMzEsNzc2MDA1AErPTazrR94IUqottutH3ggnQ0lRLlNHTi5JUV9MQVNUU0FMRVBSSUNFLjA4LzAzLzIwMjQuVVNEAQAAANShLmkCAAAACTE5LDkyMDAwMwBKz02s60feCFQrLrbrR94IKENJUS5FQ01CLklRX0xBU1RTQUxFUFJJQ0UuMjkvMDIvMjAyNC5VU0QBAAAA4qblDAIAAAAMNiw1NzIyNjI0NTc2AErPTazrR94IVCsututH3ggoQ0lRLkVDTUIuSVFfTEFTVFNBTEVQUklDRS4yOC8wMi8yMDI0LlVTRAEAAADipuUMAgAAAA02LDU4NzIxNTYwMzUyAErPTazrR94I1ukttutH3ggoQ0lRLkVDTUIuSVFfTEFTVFNBTEVQUklDRS4yNy8wMi8yMDI0LlVTRAEAAADipuUMAgAAAAw2LDY2MzA0OTM3NzMASs9NrOtH3ghUKy6260feCChDSVEuRUNNQi5JUV9MQVNUU0FMRVBSSUNFLjI2</t>
  </si>
  <si>
    <t>LzAyLzIwMjQuVVNEAQAAAOKm5QwCAAAADDYsNzkxMDYwOTY1MgBKz02s60feCFQrLrbrR94IKENJUS5FQ01CLklRX0xBU1RTQUxFUFJJQ0UuMDIvMDMvMjAyNC5VU0QBAAAA4qblDAIAAAANNiw2OTA0ODM5MjU4NgBKz02s60feCFQrLrbrR94IKENJUS5FQ01CLklRX0xBU1RTQUxFUFJJQ0UuMDMvMDMvMjAyNC5VU0QBAAAA4qblDAIAAAANNiw2OTA0ODM5MjU4NgBKz02s60feCFQrLrbrR94IKENJUS5FQ01CLklRX0xBU1RTQUxFUFJJQ0UuMDQvMDMvMjAyNC5VU0QBAAAA4qblDAIAAAANNiw3MTIyODQxMjkyNABKz02s60feCFQrLrbrR94IKENJUS5FQ01CLklRX0xBU1RTQUxFUFJJQ0UuMDUvMDMvMjAyNC5VU0QBAAAA4qblDAIAAAAMNiw2Mjg5OTM2OTU4AErPTazrR94I12sututH3ggoQ0lRLkVDTUIuSVFfTEFTVFNBTEVQUklDRS4yMy8wMi8yMDI0LlVTRAEAAADipuUMAgAAAAw2LDkyNDE1ODgyMjQASs9NrOtH3gjXay6260feCChDSVEuRUNNQi5JUV9MQVNUU0FMRVBSSUNFLjA4LzAzLzIwMjQuVVNEAQAAAOKm5QwCAAAADTYsNzY0NDQ4MzM1MDQASs9NrOtH3gjXay6260feCChDSVEuTllBQi5JUV9MQVNUU0FMRVBSSUNFLjI5LzAyLzIwMjQuVVNEAQAAAO0g/gIDAAAAAABKz02s60feCNdrLrbrR94IKENJUS5OWUFCLklRX0xBU1RTQUxFUFJJQ0UuMjgvMDIvMjAyNC5VU0QBAAAA7SD+AgMAAAAA</t>
  </si>
  <si>
    <t>AErPTazrR94I12sututH3ggoQ0lRLk5ZQUIuSVFfTEFTVFNBTEVQUklDRS4yNy8wMi8yMDI0LlVTRAEAAADtIP4CAwAAAAAASs9NrOtH3gjXay6260feCChDSVEuTllBQi5JUV9MQVNUU0FMRVBSSUNFLjI2LzAyLzIwMjQuVVNEAQAAAO0g/gIDAAAAAABKz02s60feCNdrLrbrR94IKENJUS5OWUFCLklRX0xBU1RTQUxFUFJJQ0UuMDIvMDMvMjAyNC5VU0QBAAAA7SD+AgMAAAAAAErPTazrR94I9agututH3ggoQ0lRLk5ZQUIuSVFfTEFTVFNBTEVQUklDRS4wMy8wMy8yMDI0LlVTRAEAAADtIP4CAwAAAAAASs9NrOtH3gjXay6260feCChDSVEuTllBQi5JUV9MQVNUU0FMRVBSSUNFLjA0LzAzLzIwMjQuVVNEAQAAAO0g/gIDAAAAAABKz02s60feCPWoLrbrR94IKENJUS5OWUFCLklRX0xBU1RTQUxFUFJJQ0UuMDUvMDMvMjAyNC5VU0QBAAAA7SD+AgMAAAAAAErPTazrR94I12sututH3ggoQ0lRLk5ZQUIuSVFfTEFTVFNBTEVQUklDRS4yMy8wMi8yMDI0LlVTRAEAAADtIP4CAwAAAAAASs9NrOtH3gjXay6260feCChDSVEuTllBQi5JUV9MQVNUU0FMRVBSSUNFLjA4LzAzLzIwMjQuVVNEAQAAAO0g/gIDAAAAAABKz02s60feCNdrLrbrR94IJ0NJUS5FR1kuSVFfTEFTVFNBTEVQUklDRS4yOC8wMi8yMDI0LlVTRAEAAAB0WwYAAgAAAAQ0LDI5AErPTazrR94I9agututH3ggnQ0lRLkVHWS5JUV9MQVNUU0FMRVBS</t>
  </si>
  <si>
    <t>SUNFLjI3LzAyLzIwMjQuVVNEAQAAAHRbBgACAAAABDQsMzcASs9NrOtH3gj1qC6260feCCdDSVEuRUdZLklRX0xBU1RTQUxFUFJJQ0UuMjYvMDIvMjAyNC5VU0QBAAAAdFsGAAIAAAAENCwyMwBKz02s60feCPWoLrbrR94IJ0NJUS5FR1kuSVFfTEFTVFNBTEVQUklDRS4yNS8wMi8yMDI0LlVTRAEAAAB0WwYAAgAAAAQ0LDIzAErPTazrR94IPO4ututH3ggnQ0lRLkVHWS5JUV9MQVNUU0FMRVBSSUNFLjAxLzAzLzIwMjQuVVNEAQAAAHRbBgACAAAABDQsNDQASs9NrOtH3gj1qC6260feCCdDSVEuRUdZLklRX0xBU1RTQUxFUFJJQ0UuMDIvMDMvMjAyNC5VU0QBAAAAdFsGAAIAAAAENCw0NABKz02s60feCDzuLrbrR94IJ0NJUS5FR1kuSVFfTEFTVFNBTEVQUklDRS4wMy8wMy8yMDI0LlVTRAEAAAB0WwYAAgAAAAQ0LDQ0AErPTazrR94I9agututH3ggnQ0lRLkVHWS5JUV9MQVNUU0FMRVBSSUNFLjA0LzAzLzIwMjQuVVNEAQAAAHRbBgACAAAABDQsMjkASs9NrOtH3gg87i6260feCCdDSVEuRUdZLklRX0xBU1RTQUxFUFJJQ0UuMjIvMDIvMjAyNC5VU0QBAAAAdFsGAAIAAAAENCwyNABKz02s60feCPWoLrbrR94IJ0NJUS5FR1kuSVFfTEFTVFNBTEVQUklDRS4wNy8wMy8yMDI0LlVTRAEAAAB0WwYAAgAAAAQ0LDI1AErPTazrR94IPO4ututH3ggnQ0lRLkdYTy5JUV9MQVNUU0FMRVBSSUNFLjI4LzAyLzIwMjQu</t>
  </si>
  <si>
    <t>VVNEAQAAADi0kSkCAAAABDUxLDMASs9NrOtH3gg87i6260feCCdDSVEuR1hPLklRX0xBU1RTQUxFUFJJQ0UuMjcvMDIvMjAyNC5VU0QBAAAAOLSRKQIAAAAFNTIsMzYASs9NrOtH3gg87i6260feCCdDSVEuR1hPLklRX0xBU1RTQUxFUFJJQ0UuMjYvMDIvMjAyNC5VU0QBAAAAOLSRKQIAAAAFNTIsNjYASs9NrOtH3giLLS+260feCCdDSVEuR1hPLklRX0xBU1RTQUxFUFJJQ0UuMjUvMDIvMjAyNC5VU0QBAAAAOLSRKQIAAAAFNTMsMzEASs9NrOtH3gg87i6260feCCdDSVEuR1hPLklRX0xBU1RTQUxFUFJJQ0UuMDEvMDMvMjAyNC5VU0QBAAAAOLSRKQIAAAAFNTAsOTMASs9NrOtH3giLLS+260feCCdDSVEuR1hPLklRX0xBU1RTQUxFUFJJQ0UuMDIvMDMvMjAyNC5VU0QBAAAAOLSRKQIAAAAFNTAsOTMASs9NrOtH3giLLS+260feCCdDSVEuR1hPLklRX0xBU1RTQUxFUFJJQ0UuMDMvMDMvMjAyNC5VU0QBAAAAOLSRKQIAAAAFNTAsOTMASs9NrOtH3gg87i6260feCCdDSVEuR1hPLklRX0xBU1RTQUxFUFJJQ0UuMDQvMDMvMjAyNC5VU0QBAAAAOLSRKQIAAAAFNDksODcASs9NrOtH3giLLS+260feCCdDSVEuR1hPLklRX0xBU1RTQUxFUFJJQ0UuMjIvMDIvMjAyNC5VU0QBAAAAOLSRKQIAAAAFNTIsODUASs9NrOtH3giLLS+260feCCdDSVEuR1hPLklRX0xBU1RTQUxFUFJJQ0UuMDcvMDMvMjAyNC5VU0QBAAAA</t>
  </si>
  <si>
    <t>OLSRKQIAAAAFNDksODQASs9NrOtH3giLLS+260feCC1DSVEuVFJFU1RBVEVTLklRX0xBU1RTQUxFUFJJQ0UuMjgvMDIvMjAyNC5VU0QBAAAAT1sLaQIAAAAOMSw4MjY2NTIyMjE2MzQASs9NrOtH3giLLS+260feCC1DSVEuVFJFU1RBVEVTLklRX0xBU1RTQUxFUFJJQ0UuMjcvMDIvMjAyNC5VU0QBAAAAT1sLaQIAAAAMMSw4NDQ4MTgyMzE1AErPTazrR94Iiy0vtutH3ggtQ0lRLlRSRVNUQVRFUy5JUV9MQVNUU0FMRVBSSUNFLjI2LzAyLzIwMjQuVVNEAQAAAE9bC2kCAAAADDEsODc2NzYyODU0NgBKz02s60feCG1sL7brR94ILUNJUS5UUkVTVEFURVMuSVFfTEFTVFNBTEVQUklDRS4yNS8wMi8yMDI0LlVTRAEAAABPWwtpAgAAAA4xLDg3Mzg1MDQ4MTMxMgBKz02s60feCG1sL7brR94ILUNJUS5UUkVTVEFURVMuSVFfTEFTVFNBTEVQUklDRS4wMS8wMy8yMDI0LlVTRAEAAABPWwtpAgAAAA4xLDgyNzQzMzE0OTk3NgBKz02s60feCIstL7brR94ILUNJUS5UUkVTVEFURVMuSVFfTEFTVFNBTEVQUklDRS4wMi8wMy8yMDI0LlVTRAEAAABPWwtpAgAAAA4xLDgyNzQzMzE0OTk3NgBKz02s60feCIstL7brR94ILUNJUS5UUkVTVEFURVMuSVFfTEFTVFNBTEVQUklDRS4wMy8wMy8yMDI0LlVTRAEAAABPWwtpAgAAAA4xLDgyNzQzMzE0OTk3NgBKz02s60feCG1sL7brR94ILUNJUS5UUkVTVEFURVMuSVFfTEFTVFNB</t>
  </si>
  <si>
    <t>TEVQUklDRS4wNC8wMy8yMDI0LlVTRAEAAABPWwtpAgAAAA4xLDgzMzM4NzYzOTE4NACX+E2s60feCG1sL7brR94ILUNJUS5UUkVTVEFURVMuSVFfTEFTVFNBTEVQUklDRS4yMi8wMi8yMDI0LlVTRAEAAABPWwtpAgAAAA0xLDg3NTYwODQzNjUxAJf4TazrR94Iiy0vtutH3ggtQ0lRLlRSRVNUQVRFUy5JUV9MQVNUU0FMRVBSSUNFLjA3LzAzLzIwMjQuVVNEAQAAAE9bC2kCAAAADDEsODU3OTIzNDk3NQCX+E2s60feCIstL7brR94IJ0NJUS5LV1IuSVFfTEFTVFNBTEVQUklDRS4yOC8wMi8yMDI0LlVTRAEAAABbjwQAAgAAAAYxOTcsMTgAl/hNrOtH3ghtbC+260feCCdDSVEuS1dSLklRX0xBU1RTQUxFUFJJQ0UuMjcvMDIvMjAyNC5VU0QBAAAAW48EAAIAAAAGMTk3LDk2AJf4TazrR94IbWwvtutH3ggnQ0lRLktXUi5JUV9MQVNUU0FMRVBSSUNFLjI2LzAyLzIwMjQuVVNEAQAAAFuPBAACAAAABTE5OSwzAJf4TazrR94IbWwvtutH3ggnQ0lRLktXUi5JUV9MQVNUU0FMRVBSSUNFLjI1LzAyLzIwMjQuVVNEAQAAAFuPBAACAAAABjE5OSwwNwCX+E2s60feCG1sL7brR94IJ0NJUS5LV1IuSVFfTEFTVFNBTEVQUklDRS4wMS8wMy8yMDI0LlVTRAEAAABbjwQAAgAAAAYxOTgsMDcAl/hNrOtH3gjAqy+260feCCdDSVEuS1dSLklRX0xBU1RTQUxFUFJJQ0UuMDIvMDMvMjAyNC5VU0QBAAAAW48EAAIAAAAGMTk4LDA3</t>
  </si>
  <si>
    <t>AJf4TazrR94IwKsvtutH3ggnQ0lRLktXUi5JUV9MQVNUU0FMRVBSSUNFLjAzLzAzLzIwMjQuVVNEAQAAAFuPBAACAAAABjE5OCwwNwCX+E2s60feCMCrL7brR94IJ0NJUS5LV1IuSVFfTEFTVFNBTEVQUklDRS4wNC8wMy8yMDI0LlVTRAEAAABbjwQAAgAAAAYxOTcsMDEAl/hNrOtH3ghtbC+260feCCdDSVEuS1dSLklRX0xBU1RTQUxFUFJJQ0UuMjIvMDIvMjAyNC5VU0QBAAAAW48EAAIAAAAGMjAyLDA2AJf4TazrR94IbWwvtutH3ggnQ0lRLktXUi5JUV9MQVNUU0FMRVBSSUNFLjA3LzAzLzIwMjQuVVNEAQAAAFuPBAACAAAABjE5Nyw2NwCX+E2s60feCCC+L7brR94IJ0NJUS5QT1cuSVFfTEFTVFNBTEVQUklDRS4yOC8wMi8yMDI0LlVTRAEAAAD3jX0IAgAAAAwwLDIxNTExNjM1MjcAl/hNrOtH3gggvi+260feCCdDSVEuUE9XLklRX0xBU1RTQUxFUFJJQ0UuMjcvMDIvMjAyNC5VU0QBAAAA9419CAIAAAAOMCwyMjIwNTU4NTY1NzUAl/hNrOtH3ghr5S+260feCCdDSVEuUE9XLklRX0xBU1RTQUxFUFJJQ0UuMjYvMDIvMjAyNC5VU0QBAAAA9419CAIAAAANMCwyMjE4ODEyOTk4NQCX+E2s60feCCC+L7brR94IJ0NJUS5QT1cuSVFfTEFTVFNBTEVQUklDRS4yNS8wMi8yMDI0LlVTRAEAAAD3jX0IAgAAAA4wLDIyMTc4MDA3MDIyNQCX+E2s60feCGvlL7brR94IJ0NJUS5QT1cuSVFfTEFTVFNBTEVQUklDRS4w</t>
  </si>
  <si>
    <t>MS8wMy8yMDI0LlVTRAEAAAD3jX0IAgAAAAwwLDE5NzExMTU1NzUAl/hNrOtH3ghr5S+260feCCdDSVEuUE9XLklRX0xBU1RTQUxFUFJJQ0UuMDIvMDMvMjAyNC5VU0QBAAAA9419CAIAAAAMMCwxOTcxMTE1NTc1AJf4TazrR94IwKsvtutH3ggnQ0lRLlBPVy5JUV9MQVNUU0FMRVBSSUNFLjAzLzAzLzIwMjQuVVNEAQAAAPeNfQgCAAAADDAsMTk3MTExNTU3NQCX+E2s60feCGvlL7brR94IJ0NJUS5QT1cuSVFfTEFTVFNBTEVQUklDRS4wNC8wMy8yMDI0LlVTRAEAAAD3jX0IAgAAAA4wLDE5NjgwNzkwMjc3NQCX+E2s60feCGvlL7brR94IJ0NJUS5QT1cuSVFfTEFTVFNBTEVQUklDRS4yMi8wMi8yMDI0LlVTRAEAAAD3jX0IAgAAAA4wLDIyMTE4NTgwODcyNQCX+E2s60feCGvlL7brR94IJ0NJUS5QT1cuSVFfTEFTVFNBTEVQUklDRS4wNy8wMy8yMDI0LlVTRAEAAAD3jX0IAgAAAA0wLDE5ODMyODkxODg2AJf4TazrR94Ia+UvtutH3ggqQ0lRLkRFVlAgQi5JUV9MQVNUU0FMRVBSSUNFLjI4LzAyLzIwMjQuVVNEAQAAAOWgVg0CAAAACzMsMjk3Mzc0ODYxAJf4TazrR94IASEwtutH3ggqQ0lRLkRFVlAgQi5JUV9MQVNUU0FMRVBSSUNFLjI3LzAyLzIwMjQuVVNEAQAAAOWgVg0CAAAACzMsMzUwNTIyOTc2AJf4TazrR94Ia+UvtutH3ggqQ0lRLkRFVlAgQi5JUV9MQVNUU0FMRVBSSUNFLjI2LzAyLzIwMjQuVVNE</t>
  </si>
  <si>
    <t>AQAAAOWgVg0CAAAADDMsMjU0ODE2MTQ4NQCX+E2s60feCAEhMLbrR94IKkNJUS5ERVZQIEIuSVFfTEFTVFNBTEVQUklDRS4yNS8wMi8yMDI0LlVTRAEAAADloFYNAgAAAAwzLDIxNjk2Njk4NzIAl/hNrOtH3ggBITC260feCCpDSVEuREVWUCBCLklRX0xBU1RTQUxFUFJJQ0UuMDEvMDMvMjAyNC5VU0QBAAAA5aBWDQIAAAAMMywzNDA1MzcyNjE1AJf4TazrR94IASEwtutH3ggqQ0lRLkRFVlAgQi5JUV9MQVNUU0FMRVBSSUNFLjAyLzAzLzIwMjQuVVNEAQAAAOWgVg0CAAAADDMsMzQwNTM3MjYxNQCX+E2s60feCAEhMLbrR94IKkNJUS5ERVZQIEIuSVFfTEFTVFNBTEVQUklDRS4wMy8wMy8yMDI0LlVTRAEAAADloFYNAgAAAAwzLDM0MDUzNzI2MTUAl/hNrOtH3ggBITC260feCCpDSVEuREVWUCBCLklRX0xBU1RTQUxFUFJJQ0UuMDQvMDMvMjAyNC5VU0QBAAAA5aBWDQIAAAAMMywzNjA5MTI3NjQ0AJf4TazrR94IASEwtutH3ggqQ0lRLkRFVlAgQi5JUV9MQVNUU0FMRVBSSUNFLjIyLzAyLzIwMjQuVVNEAQAAAOWgVg0CAAAADDMsMjcwMjIxOTI2NACX+E2s60feCGvlL7brR94IKkNJUS5ERVZQIEIuSVFfTEFTVFNBTEVQUklDRS4wNy8wMy8yMDI0LlVTRAEAAADloFYNAgAAAAwzLDMxNDI0NjI4MDMAl/hNrOtH3ggBITC260feCChDSVEuQ0lDTi5JUV9MQVNUU0FMRVBSSUNFLjI3LzAyLzIwMjQuVVNEAQAA</t>
  </si>
  <si>
    <t>ADVHBQACAAAACDE0LDk5OTI1AJf4TazrR94IJ2AwtutH3ggoQ0lRLkNJQ04uSVFfTEFTVFNBTEVQUklDRS4yNi8wMi8yMDI0LlVTRAEAAAA1RwUAAgAAAAgxNCw5OTkyNQCBTeWs60feCCdgMLbrR94IKENJUS5DSUNOLklRX0xBU1RTQUxFUFJJQ0UuMjUvMDIvMjAyNC5VU0QBAAAANUcFAAIAAAAIMTQsOTk5MjUAl/hNrOtH3ggBITC260feCChDSVEuQ0lDTi5JUV9MQVNUU0FMRVBSSUNFLjI0LzAyLzIwMjQuVVNEAQAAADVHBQACAAAACDE0LDk5OTI1AJf4TazrR94IJ2AwtutH3ggoQ0lRLkNJQ04uSVFfTEFTVFNBTEVQUklDRS4yOS8wMi8yMDI0LlVTRAEAAAA1RwUAAgAAAAgxNCw5OTkyNQCBTeWs60feCPKeMLbrR94IKENJUS5DSUNOLklRX0xBU1RTQUxFUFJJQ0UuMDEvMDMvMjAyNC5VU0QBAAAANUcFAAIAAAAIMTQsOTk5MjUAgU3lrOtH3gjynjC260feCChDSVEuQ0lDTi5JUV9MQVNUU0FMRVBSSUNFLjAyLzAzLzIwMjQuVVNEAQAAADVHBQACAAAACDE0LDk5OTI1AIFN5azrR94I8p4wtutH3ggoQ0lRLkNJQ04uSVFfTEFTVFNBTEVQUklDRS4wMy8wMy8yMDI0LlVTRAEAAAA1RwUAAgAAAAgxNCw5OTkyNQCBTeWs60feCCdgMLbrR94IKENJUS5DSUNOLklRX0xBU1RTQUxFUFJJQ0UuMjEvMDIvMjAyNC5VU0QBAAAANUcFAAIAAAAIMTQsOTk5MjUAl/hNrOtH3ggnYDC260feCChDSVEuQ0lDTi5JUV9M</t>
  </si>
  <si>
    <t>QVNUU0FMRVBSSUNFLjA2LzAzLzIwMjQuVVNEAQAAADVHBQACAAAACDE0LDk5OTI1AIFN5azrR94I+90wtutH3ggoQ0lRLlZSTEEuSVFfTEFTVFNBTEVQUklDRS4yNy8wMi8yMDI0LlVTRAEAAAAodf8kAgAAAA0zNywxMzUxMDU4MTI5AJf4TazrR94I+90wtutH3ggoQ0lRLlZSTEEuSVFfTEFTVFNBTEVQUklDRS4yNi8wMi8yMDI0LlVTRAEAAAAodf8kAgAAAAszNiw4ODQzNTY2OACX+E2s60feCPvdMLbrR94IKENJUS5WUkxBLklRX0xBU1RTQUxFUFJJQ0UuMjUvMDIvMjAyNC5VU0QBAAAAKHX/JAIAAAAMMzYsNzg0NTkzNzQ0AJf4TazrR94I+90wtutH3ggoQ0lRLlZSTEEuSVFfTEFTVFNBTEVQUklDRS4yNC8wMi8yMDI0LlVTRAEAAAAodf8kAgAAAAwzNiw3ODQ1OTM3NDQAl/hNrOtH3gj73TC260feCChDSVEuVlJMQS5JUV9MQVNUU0FMRVBSSUNFLjI5LzAyLzIwMjQuVVNEAQAAACh1/yQCAAAADDM2LDk2ODk3NjMyNACX+E2s60feCPvdMLbrR94IKENJUS5WUkxBLklRX0xBU1RTQUxFUFJJQ0UuMDEvMDMvMjAyNC5VU0QBAAAAKHX/JAIAAAANMzgsMTA3NjEwNzEwNACX+E2s60feCPKeMLbrR94IKENJUS5WUkxBLklRX0xBU1RTQUxFUFJJQ0UuMDIvMDMvMjAyNC5VU0QBAAAAKHX/JAIAAAANMzgsMTA3NjEwNzEwNACX+E2s60feCPvdMLbrR94IKENJUS5WUkxBLklRX0xBU1RTQUxFUFJJQ0UuMDMvMDMv</t>
  </si>
  <si>
    <t>MjAyNC5VU0QBAAAAKHX/JAIAAAANMzgsMTA3NjEwNzEwNACX+E2s60feCCIdMbbrR94IKENJUS5WUkxBLklRX0xBU1RTQUxFUFJJQ0UuMjEvMDIvMjAyNC5VU0QBAAAAKHX/JAIAAAAOMzYsNzg2MzMyMTgzNTgAl/hNrOtH3ggiHTG260feCChDSVEuVlJMQS5JUV9MQVNUU0FMRVBSSUNFLjA2LzAzLzIwMjQuVVNEAQAAACh1/yQCAAAADTM4LDkxODU2NTM0NDQAl/hNrOtH3ggiHTG260feCChDSVEuQlJLUi5JUV9MQVNUU0FMRVBSSUNFLjI3LzAyLzIwMjQuVVNEAQAAANULCAACAAAABDgzLDcAl/hNrOtH3ggiHTG260feCChDSVEuQlJLUi5JUV9MQVNUU0FMRVBSSUNFLjI2LzAyLzIwMjQuVVNEAQAAANULCAACAAAABDgzLDYAl/hNrOtH3ggiHTG260feCChDSVEuQlJLUi5JUV9MQVNUU0FMRVBSSUNFLjI1LzAyLzIwMjQuVVNEAQAAANULCAACAAAABTg0LDY3AJf4TazrR94IIh0xtutH3ggoQ0lRLkJSS1IuSVFfTEFTVFNBTEVQUklDRS4yNC8wMi8yMDI0LlVTRAEAAADVCwgAAgAAAAU4NCw2NwCX+E2s60feCERcMbbrR94IKENJUS5CUktSLklRX0xBU1RTQUxFUFJJQ0UuMjkvMDIvMjAyNC5VU0QBAAAA1QsIAAIAAAAFODYsNTQAl/hNrOtH3ggiHTG260feCChDSVEuQlJLUi5JUV9MQVNUU0FMRVBSSUNFLjAxLzAzLzIwMjQuVVNEAQAAANULCAACAAAABTg4LDMzAJf4TazrR94IRFwxtutH3ggoQ0lRLkJS</t>
  </si>
  <si>
    <t>S1IuSVFfTEFTVFNBTEVQUklDRS4wMi8wMy8yMDI0LlVTRAEAAADVCwgAAgAAAAU4OCwzMwCX+E2s60feCERcMbbrR94IKENJUS5CUktSLklRX0xBU1RTQUxFUFJJQ0UuMDMvMDMvMjAyNC5VU0QBAAAA1QsIAAIAAAAFODgsMzMAl/hNrOtH3ggiHTG260feCChDSVEuQlJLUi5JUV9MQVNUU0FMRVBSSUNFLjIxLzAyLzIwMjQuVVNEAQAAANULCAACAAAABTgxLDkyAJf4TazrR94IRFwxtutH3ggoQ0lRLkJSS1IuSVFfTEFTVFNBTEVQUklDRS4wNi8wMy8yMDI0LlVTRAEAAADVCwgAAgAAAAU5MCw1MwCX+E2s60feCERcMbbrR94IKENJUS5JUklTLklRX0xBU1RTQUxFUFJJQ0UuMjcvMDIvMjAyNC5VU0QBAAAAo3pYAgIAAAANMCwzODk5MjMxODExMgCX+E2s60feCD6bMbbrR94IKENJUS5JUklTLklRX0xBU1RTQUxFUFJJQ0UuMjYvMDIvMjAyNC5VU0QBAAAAo3pYAgIAAAAOMCwzNzg0MzMxMDE0NDUAl/hNrOtH3gg+mzG260feCChDSVEuSVJJUy5JUV9MQVNUU0FMRVBSSUNFLjI1LzAyLzIwMjQuVVNEAQAAAKN6WAICAAAADTAsNDIyOTUzNjQxNTQAl/hNrOtH3ghEXDG260feCChDSVEuSVJJUy5JUV9MQVNUU0FMRVBSSUNFLjI0LzAyLzIwMjQuVVNEAQAAAKN6WAICAAAADTAsNDIyOTUzNjQxNTQAl/hNrOtH3gg+mzG260feCChDSVEuSVJJUy5JUV9MQVNUU0FMRVBSSUNFLjI5LzAyLzIwMjQuVVNEAQAAAKN6</t>
  </si>
  <si>
    <t>WAICAAAACzAsNDQzNzE0NzgxAJf4TazrR94IPpsxtutH3ggoQ0lRLklSSVMuSVFfTEFTVFNBTEVQUklDRS4wMS8wMy8yMDI0LlVTRAEAAACjelgCAgAAAAwwLDQ3NDQ1MzExODMAl/hNrOtH3gg+mzG260feCChDSVEuSVJJUy5JUV9MQVNUU0FMRVBSSUNFLjAyLzAzLzIwMjQuVVNEAQAAAKN6WAICAAAADDAsNDc0NDUzMTE4MwCX+E2s60feCD6bMbbrR94IKENJUS5JUklTLklRX0xBU1RTQUxFUFJJQ0UuMDMvMDMvMjAyNC5VU0QBAAAAo3pYAgIAAAAMMCw0NzQ0NTMxMTgzAJf4TazrR94IqtoxtutH3ggoQ0lRLklSSVMuSVFfTEFTVFNBTEVQUklDRS4yMS8wMi8yMDI0LlVTRAEAAACjelgCAgAAAA0wLDQzOTU4NTAxNjg4AJf4TazrR94IPpsxtutH3ggoQ0lRLklSSVMuSVFfTEFTVFNBTEVQUklDRS4wNi8wMy8yMDI0LlVTRAEAAACjelgCAgAAAAwwLDQ1MTkxNzAwMTgAl/hNrOtH3giq2jG260feCCdDSVEuQ1BSLklRX0xBU1RTQUxFUFJJQ0UuMjYvMDIvMjAyNC5VU0QBAAAAaBECAAIAAAAOMTAsMzY2NjczODk1MTIAl/hNrOtH3giq2jG260feCCdDSVEuQ1BSLklRX0xBU1RTQUxFUFJJQ0UuMjUvMDIvMjAyNC5VU0QBAAAAaBECAAIAAAAOMTAsNTcwMTYxMjAyMzIAl/hNrOtH3giq2jG260feCCdDSVEuQ1BSLklRX0xBU1RTQUxFUFJJQ0UuMjQvMDIvMjAyNC5VU0QBAAAAaBECAAIAAAAOMTAsNTcwMTYx</t>
  </si>
  <si>
    <t>MjAyMzIAl/hNrOtH3giq2jG260feCCdDSVEuQ1BSLklRX0xBU1RTQUxFUFJJQ0UuMjMvMDIvMjAyNC5VU0QBAAAAaBECAAIAAAAOMTAsNTcwMTYxMjAyMzIAl/hNrOtH3giq2jG260feCCdDSVEuQ1BSLklRX0xBU1RTQUxFUFJJQ0UuMjgvMDIvMjAyNC5VU0QBAAAAaBECAAIAAAAPMTAsMjk2ODU4MDc0OTc2AJf4TazrR94IqtoxtutH3ggnQ0lRLkNQUi5JUV9MQVNUU0FMRVBSSUNFLjI5LzAyLzIwMjQuVVNEAQAAAGgRAgACAAAADjEwLDEzMDc5NjY2OTg0AJf4TazrR94IqtoxtutH3ggnQ0lRLkNQUi5JUV9MQVNUU0FMRVBSSUNFLjAxLzAzLzIwMjQuVVNEAQAAAGgRAgACAAAADzEwLDI1NjU3NjgxNDQ5OACX+E2s60feCKraMbbrR94IJ0NJUS5DUFIuSVFfTEFTVFNBTEVQUklDRS4wMi8wMy8yMDI0LlVTRAEAAABoEQIAAgAAAA8xMCwyNTY1NzY4MTQ0OTgAl/hNrOtH3ghRFzK260feCCdDSVEuQ1BSLklRX0xBU1RTQUxFUFJJQ0UuMjAvMDIvMjAyNC5VU0QBAAAAaBECAAIAAAAPMTAsNjIyMDkyMzkzNDg4AJf4TazrR94IURcytutH3ggnQ0lRLkNQUi5JUV9MQVNUU0FMRVBSSUNFLjA1LzAzLzIwMjQuVVNEAQAAAGgRAgACAAAADjEwLDIzNjkwNTAxODc2AJf4TazrR94IURcytutH3ggnQ0lRLkdUVC5JUV9MQVNUU0FMRVBSSUNFLjI2LzAyLzIwMjQuVVNEAQAAALuSCQICAAAADTEzNyw4ODI0MDM5NDIA</t>
  </si>
  <si>
    <t>l/hNrOtH3gjJbDK260feCCdDSVEuR1RULklRX0xBU1RTQUxFUFJJQ0UuMjUvMDIvMjAyNC5VU0QBAAAAu5IJAgIAAAAOMTM3LDA3NjcwNjY4NzIAl/hNrOtH3ghNRTK260feCCdDSVEuR1RULklRX0xBU1RTQUxFUFJJQ0UuMjQvMDIvMjAyNC5VU0QBAAAAu5IJAgIAAAAOMTM3LDA3NjcwNjY4NzIAl/hNrOtH3ghNRTK260feCCdDSVEuR1RULklRX0xBU1RTQUxFUFJJQ0UuMjMvMDIvMjAyNC5VU0QBAAAAu5IJAgIAAAAOMTM3LDA3NjcwNjY4NzIAl/hNrOtH3gjJbDK260feCCdDSVEuR1RULklRX0xBU1RTQUxFUFJJQ0UuMjgvMDIvMjAyNC5VU0QBAAAAu5IJAgIAAAANMTUyLDc2MjczMDI3OQCX+E2s60feCMlsMrbrR94IJ0NJUS5HVFQuSVFfTEFTVFNBTEVQUklDRS4yOS8wMi8yMDI0LlVTRAEAAAC7kgkCAgAAAAwxNTQsNTc3ODgzNDYAl/hNrOtH3ghNRTK260feCCdDSVEuR1RULklRX0xBU1RTQUxFUFJJQ0UuMDEvMDMvMjAyNC5VU0QBAAAAu5IJAgIAAAAOMTU1LDY3ODI1MDU3MjYAl/hNrOtH3ghNRTK260feCCdDSVEuR1RULklRX0xBU1RTQUxFUFJJQ0UuMDIvMDMvMjAyNC5VU0QBAAAAu5IJAgIAAAAOMTU1LDY3ODI1MDU3MjYAl/hNrOtH3ghNRTK260feCCdDSVEuR1RULklRX0xBU1RTQUxFUFJJQ0UuMjAvMDIvMjAyNC5VU0QBAAAAu5IJAgIAAAAOMTM4LDY5OTU1NjQxMTIAl/hNrOtH3ghNRTK2</t>
  </si>
  <si>
    <t>60feCCdDSVEuR1RULklRX0xBU1RTQUxFUFJJQ0UuMDUvMDMvMjAyNC5VU0QBAAAAu5IJAgIAAAAOMTYxLDQ4NjYzMzMxMDgAl/hNrOtH3ghNRTK260feCChDSVEuRENUQS5JUV9MQVNUU0FMRVBSSUNFLjI1LzAyLzIwMjQuVVNEAQAAAL+KxRMCAAAADjAsMjQ0NTkxNzM0NTkxAJf4TazrR94IMJQytutH3ggoQ0lRLkRDVEEuSVFfTEFTVFNBTEVQUklDRS4yNC8wMi8yMDI0LlVTRAEAAAC/isUTAgAAAA4wLDI0NDU5MTczNDU5MQCX+E2s60feCDCUMrbrR94IKENJUS5EQ1RBLklRX0xBU1RTQUxFUFJJQ0UuMjMvMDIvMjAyNC5VU0QBAAAAv4rFEwIAAAAOMCwyNDQ1OTE3MzQ1OTEAl/hNrOtH3gjJbDK260feCChDSVEuRENUQS5JUV9MQVNUU0FMRVBSSUNFLjIyLzAyLzIwMjQuVVNEAQAAAL+KxRMCAAAADjAsMjQzOTM2MzQ5MDUxAJf4TazrR94IMJQytutH3ggoQ0lRLkRDVEEuSVFfTEFTVFNBTEVQUklDRS4yNy8wMi8yMDI0LlVTRAEAAAC/isUTAgAAAA4wLDIzNDc0NDc2MjY2NQCX+E2s60feCDCUMrbrR94IKENJUS5EQ1RBLklRX0xBU1RTQUxFUFJJQ0UuMjgvMDIvMjAyNC5VU0QBAAAAv4rFEwIAAAAOMCwyMzA5MzM3MzE1NzUAl/hNrOtH3giKuzK260feCChDSVEuRENUQS5JUV9MQVNUU0FMRVBSSUNFLjI5LzAyLzIwMjQuVVNEAQAAAL+KxRMCAAAADTAsMjI3NDAxOTMyOTYAl/hNrOtH3giKuzK260fe</t>
  </si>
  <si>
    <t>CChDSVEuRENUQS5JUV9MQVNUU0FMRVBSSUNFLjAxLzAzLzIwMjQuVVNEAQAAAL+KxRMCAAAADzAsMjMwNTk1MjUxNTYyNQCX+E2s60feCDCUMrbrR94IKENJUS5EQ1RBLklRX0xBU1RTQUxFUFJJQ0UuMTkvMDIvMjAyNC5VU0QBAAAAv4rFEwIAAAANMCwyMTM5NTIyMDA1MgCX+E2s60feCDCUMrbrR94IKENJUS5EQ1RBLklRX0xBU1RTQUxFUFJJQ0UuMDQvMDMvMjAyNC5VU0QBAAAAv4rFEwIAAAAOMCwyMzQ4OTk3NTQ5MjUAl/hNrOtH3giKuzK260feCChDSVEuQk5aTC5JUV9MQVNUU0FMRVBSSUNFLjI1LzAyLzIwMjQuVVNEAQAAAOxCBgACAAAADjQxLDg5NzQyMzU1MjIyAJf4TazrR94IirsytutH3ggoQ0lRLkJOWkwuSVFfTEFTVFNBTEVQUklDRS4yNC8wMi8yMDI0LlVTRAEAAADsQgYAAgAAAA40MSw4OTc0MjM1NTIyMgCX+E2s60feCBPkMrbrR94IKENJUS5CTlpMLklRX0xBU1RTQUxFUFJJQ0UuMjMvMDIvMjAyNC5VU0QBAAAA7EIGAAIAAAAONDEsODk3NDIzNTUyMjIAl/hNrOtH3ggT5DK260feCChDSVEuQk5aTC5JUV9MQVNUU0FMRVBSSUNFLjIyLzAyLzIwMjQuVVNEAQAAAOxCBgACAAAADjQxLDE2NTgzODgwMDk5AJf4TazrR94IE+QytutH3ggoQ0lRLkJOWkwuSVFfTEFTVFNBTEVQUklDRS4yNy8wMi8yMDI0LlVTRAEAAADsQgYAAgAAAA40MCw0MTQxNjU4OTY2NQCX+E2s60feCBPkMrbrR94I</t>
  </si>
  <si>
    <t>KENJUS5CTlpMLklRX0xBU1RTQUxFUFJJQ0UuMjgvMDIvMjAyNC5VU0QBAAAA7EIGAAIAAAANMzksNjY5OTg2MjE4NQCX+E2s60feCIq7MrbrR94IKENJUS5CTlpMLklRX0xBU1RTQUxFUFJJQ0UuMjkvMDIvMjAyNC5VU0QBAAAA7EIGAAIAAAAOMzksODMzMjM4NTkwMTYAl/hNrOtH3ggT5DK260feCChDSVEuQk5aTC5JUV9MQVNUU0FMRVBSSUNFLjAxLzAzLzIwMjQuVVNEAQAAAOxCBgACAAAACjM5LDIyMDE0NTgAl/hNrOtH3ggT5DK260feCChDSVEuQk5aTC5JUV9MQVNUU0FMRVBSSUNFLjE5LzAyLzIwMjQuVVNEAQAAAOxCBgACAAAADjQwLDYwMDU3NjQwNDU2AJf4TazrR94IshIztutH3ggoQ0lRLkJOWkwuSVFfTEFTVFNBTEVQUklDRS4wNC8wMy8yMDI0LlVTRAEAAADsQgYAAgAAAA0zOCw5Mjk4NzI4OTczAJf4TazrR94IshIztutH3ggoQ0lRLjYyNzkuSVFfTEFTVFNBTEVQUklDRS4yNS8wMi8yMDI0LlVTRAEAAABdDFcAAgAAAAwxMSw3NTI1NzY3NDkAl/hNrOtH3giyEjO260feCChDSVEuNjI3OS5JUV9MQVNUU0FMRVBSSUNFLjI0LzAyLzIwMjQuVVNEAQAAAF0MVwACAAAADDExLDc1MjU3Njc0OQCX+E2s60feCLISM7brR94IKENJUS42Mjc5LklRX0xBU1RTQUxFUFJJQ0UuMjMvMDIvMjAyNC5VU0QBAAAAXQxXAAIAAAAMMTEsNzUyNTc2NzQ5AJf4TazrR94IshIztutH3ggoQ0lRLjYyNzkuSVFf</t>
  </si>
  <si>
    <t>TEFTVFNBTEVQUklDRS4yMi8wMi8yMDI0LlVTRAEAAABdDFcAAgAAAAwxMSw3Mzc5Nzc3OTUAl/hNrOtH3ggPOjO260feCChDSVEuNjI3OS5JUV9MQVNUU0FMRVBSSUNFLjI3LzAyLzIwMjQuVVNEAQAAAF0MVwACAAAACjExLDYzNDk0MTUAl/hNrOtH3giyEjO260feCChDSVEuNjI3OS5JUV9MQVNUU0FMRVBSSUNFLjI4LzAyLzIwMjQuVVNEAQAAAF0MVwACAAAADDExLDM2MzYzNjAxOQCX+E2s60feCA86M7brR94IKENJUS42Mjc5LklRX0xBU1RTQUxFUFJJQ0UuMjkvMDIvMjAyNC5VU0QBAAAAXQxXAAIAAAAMMTAsODA0NjQyNTg4AJf4TazrR94IshIztutH3ggoQ0lRLjYyNzkuSVFfTEFTVFNBTEVQUklDRS4wMS8wMy8yMDI0LlVTRAEAAABdDFcAAgAAAAwxMCw2MDg3MDI4MTgAl/hNrOtH3giyEjO260feCChDSVEuNjI3OS5JUV9MQVNUU0FMRVBSSUNFLjE5LzAyLzIwMjQuVVNEAQAAAF0MVwACAAAADDEyLDE2NjEzMDAyNQCX+E2s60feCLISM7brR94IKENJUS42Mjc5LklRX0xBU1RTQUxFUFJJQ0UuMDQvMDMvMjAyNC5VU0QBAAAAXQxXAAIAAAAMMTAsNTc5MzM4Mjk2AJf4TazrR94IDzoztutH3ggoQ0lRLlNIQTAuSVFfTEFTVFNBTEVQUklDRS4yNS8wMi8yMDI0LlVTRAEAAABkfoUNAgAAAA02LDgxMDU1OTM0MTcyAJf4TazrR94IbmEztutH3ggoQ0lRLlNIQTAuSVFfTEFTVFNBTEVQUklDRS4yNC8w</t>
  </si>
  <si>
    <t>Mi8yMDI0LlVTRAEAAABkfoUNAgAAAA02LDgxMDU1OTM0MTcyAJf4TazrR94IbmEztutH3ggoQ0lRLlNIQTAuSVFfTEFTVFNBTEVQUklDRS4yMy8wMi8yMDI0LlVTRAEAAABkfoUNAgAAAA02LDgxMDU1OTM0MTcyAJf4TazrR94IDzoztutH3ggoQ0lRLlNIQTAuSVFfTEFTVFNBTEVQUklDRS4yMi8wMi8yMDI0LlVTRAEAAABkfoUNAgAAAA42LDc1NTAwMjcwMjQyNQCX+E2s60feCG5hM7brR94IKENJUS5TSEEwLklRX0xBU1RTQUxFUFJJQ0UuMjcvMDIvMjAyNC5VU0QBAAAAZH6FDQIAAAAMNywyNDkwNTA0NjI2AJf4TazrR94IbmEztutH3ggoQ0lRLlNIQTAuSVFfTEFTVFNBTEVQUklDRS4yOC8wMi8yMDI0LlVTRAEAAABkfoUNAgAAAAw3LDI1ODkzODI0NzMAl/hNrOtH3ghuYTO260feCChDSVEuU0hBMC5JUV9MQVNUU0FMRVBSSUNFLjI5LzAyLzIwMjQuVVNEAQAAAGR+hQ0CAAAADDcsMjY5NDg0Mzc5NQCX+E2s60feCG5hM7brR94IKENJUS5TSEEwLklRX0xBU1RTQUxFUFJJQ0UuMDEvMDMvMjAyNC5VU0QBAAAAZH6FDQIAAAAONywwNjM5ODE4MTQ5MjUAl/hNrOtH3ghuYTO260feCChDSVEuU0hBMC5JUV9MQVNUU0FMRVBSSUNFLjE5LzAyLzIwMjQuVVNEAQAAAGR+hQ0CAAAADjYsODMyMTMwOTM0ODI1AJf4TazrR94IDzoztutH3ggoQ0lRLlNIQTAuSVFfTEFTVFNBTEVQUklDRS4wNC8wMy8yMDI0LlVT</t>
  </si>
  <si>
    <t>RAEAAABkfoUNAgAAAA03LDEzMDQ0NDIyNDY3AJf4TazrR94IxogztutH3ggnQ0lRLkJQRi5JUV9MQVNUU0FMRVBSSUNFLjI1LzAyLzIwMjQuVVNEAQAAAKbzCCECAAAADTAsNTgxMDA5Mjk2MzUAl/hNrOtH3gjGiDO260feCCdDSVEuQlBGLklRX0xBU1RTQUxFUFJJQ0UuMjQvMDIvMjAyNC5VU0QBAAAApvMIIQIAAAANMCw1ODEwMDkyOTYzNQCX+E2s60feCMaIM7brR94IJ0NJUS5CUEYuSVFfTEFTVFNBTEVQUklDRS4yMy8wMi8yMDI0LlVTRAEAAACm8wghAgAAAA0wLDU4MTAwOTI5NjM1AJf4TazrR94IxogztutH3ggnQ0lRLkJQRi5JUV9MQVNUU0FMRVBSSUNFLjIyLzAyLzIwMjQuVVNEAQAAAKbzCCECAAAADTAsNTgwNTkxNjUwNDUAl/hNrOtH3gjGiDO260feCCdDSVEuQlBGLklRX0xBU1RTQUxFUFJJQ0UuMjcvMDIvMjAyNC5VU0QBAAAApvMIIQIAAAANMCw1ODI2NTM1NzExNQCX+E2s60feCMaIM7brR94IJ0NJUS5CUEYuSVFfTEFTVFNBTEVQUklDRS4yOC8wMi8yMDI0LlVTRAEAAACm8wghAgAAAA0wLDYwMzc3Nzc2NDk1AJf4TazrR94IbmEztutH3ggnQ0lRLkJQRi5JUV9MQVNUU0FMRVBSSUNFLjI5LzAyLzIwMjQuVVNEAQAAAKbzCCECAAAADTAsNjAyNDQyOTMzNTEAl/hNrOtH3gjGiDO260feCCdDSVEuQlBGLklRX0xBU1RTQUxFUFJJQ0UuMDEvMDMvMjAyNC5VU0QBAAAApvMIIQIAAAANMCw2</t>
  </si>
  <si>
    <t>MDMyMDk3Mzk3OQCX+E2s60feCD+wM7brR94IJ0NJUS5CUEYuSVFfTEFTVFNBTEVQUklDRS4xOS8wMi8yMDI0LlVTRAEAAACm8wghAgAAAA0wLDU4MzU3MTkwMDc0AJf4TazrR94IP7AztutH3ggnQ0lRLkJQRi5JUV9MQVNUU0FMRVBSSUNFLjA0LzAzLzIwMjQuVVNEAQAAAKbzCCECAAAADDAsNjA0MDQ1NDQxNwCX+E2s60feCD+wM7brR94IJ0NJUS5CQzguSVFfTEFTVFNBTEVQUklDRS4yMi8wMi8yMDI0LlVTRAEAAABk6ksAAgAAAA01Miw2NTU0ODk0NDAyAJf4TazrR94Ik9cztutH3ggnQ0lRLkJDOC5JUV9MQVNUU0FMRVBSSUNFLjIxLzAyLzIwMjQuVVNEAQAAAGTqSwACAAAADjUwLDAyMTYyNjMwMjU0AJf4TazrR94Ik9cztutH3ggnQ0lRLkJDOC5JUV9MQVNUU0FMRVBSSUNFLjIwLzAyLzIwMjQuVVNEAQAAAGTqSwACAAAADjUwLDAyNzA0NzQ5MTg0AJf4TazrR94IP7AztutH3ggnQ0lRLkJDOC5JUV9MQVNUU0FMRVBSSUNFLjE5LzAyLzIwMjQuVVNEAQAAAGTqSwACAAAADjUwLDA4MDc1ODA0MjM1AJf4TazrR94IP7AztutH3ggnQ0lRLkJDOC5JUV9MQVNUU0FMRVBSSUNFLjI0LzAyLzIwMjQuVVNEAQAAAGTqSwACAAAADTUyLDg1MDgwNjAxMTYAl/hNrOtH3giT1zO260feCCdDSVEuQkM4LklRX0xBU1RTQUxFUFJJQ0UuMjUvMDIvMjAyNC5VU0QBAAAAZOpLAAIAAAANNTIsODUwODA2MDExNgCX+E2s</t>
  </si>
  <si>
    <t>60feCJPXM7brR94IJ0NJUS5CQzguSVFfTEFTVFNBTEVQUklDRS4yNi8wMi8yMDI0LlVTRAEAAABk6ksAAgAAAAw1MSw4MDA4MjQ0NTUAl/hNrOtH3gg/sDO260feCCdDSVEuQkM4LklRX0xBU1RTQUxFUFJJQ0UuMjcvMDIvMjAyNC5VU0QBAAAAZOpLAAIAAAANNTEsNzg1MTMyOTQ1NACX+E2s60feCD+wM7brR94IJ0NJUS5CQzguSVFfTEFTVFNBTEVQUklDRS4xNi8wMi8yMDI0LlVTRAEAAABk6ksAAgAAAA41MywwMzgxMzgzNTUzNwCX+E2s60feCJPXM7brR94IJ0NJUS5CQzguSVFfTEFTVFNBTEVQUklDRS4wMS8wMy8yMDI0LlVTRAEAAABk6ksAAgAAAA41MiwyNTcyMjYzOTE3OQCX+E2s60feCJPXM7brR94IKENJUS5MUk5ELklRX0xBU1RTQUxFUFJJQ0UuMjIvMDIvMjAyNC5VU0QBAAAAvLoWbAIAAAAKOCw2NTMzMjYxMgCX+E2s60feCOb+M7brR94IKENJUS5MUk5ELklRX0xBU1RTQUxFUFJJQ0UuMjEvMDIvMjAyNC5VU0QBAAAAvLoWbAIAAAALOCw2NTA1MTkwMzIAl/hNrOtH3giT1zO260feCChDSVEuTFJORC5JUV9MQVNUU0FMRVBSSUNFLjIwLzAyLzIwMjQuVVNEAQAAALy6FmwCAAAADDgsNTQ3MDA4NTQ2NACX+E2s60feCOb+M7brR94IKENJUS5MUk5ELklRX0xBU1RTQUxFUFJJQ0UuMTkvMDIvMjAyNC5VU0QBAAAAvLoWbAIAAAAKOCw2MTQxOTE4OACX+E2s60feCDUmNLbrR94IKENJUS5MUk5E</t>
  </si>
  <si>
    <t>LklRX0xBU1RTQUxFUFJJQ0UuMjQvMDIvMjAyNC5VU0QBAAAAvLoWbAIAAAAMOCw1NDcwMDg1NDY0AJf4TazrR94INSY0tutH3ggoQ0lRLkxSTkQuSVFfTEFTVFNBTEVQUklDRS4yNS8wMi8yMDI0LlVTRAEAAAC8uhZsAgAAAAw4LDU0NzAwODU0NjQAl/hNrOtH3gg1JjS260feCChDSVEuTFJORC5JUV9MQVNUU0FMRVBSSUNFLjI2LzAyLzIwMjQuVVNEAQAAALy6FmwCAAAACzgsNTcwMTg4NzU4AJf4TazrR94I5v4ztutH3ggoQ0lRLkxSTkQuSVFfTEFTVFNBTEVQUklDRS4yNy8wMi8yMDI0LlVTRAEAAAC8uhZsAgAAAA05LDA2MTMxMzA3ODI1AJf4TazrR94I5v4ztutH3ggoQ0lRLkxSTkQuSVFfTEFTVFNBTEVQUklDRS4xNi8wMi8yMDI0LlVTRAEAAAC8uhZsAgAAAA04LDU2NDk2NDQ1MTA1AJf4TazrR94I5v4ztutH3ggoQ0lRLkxSTkQuSVFfTEFTVFNBTEVQUklDRS4wMS8wMy8yMDI0LlVTRAEAAAC8uhZsAgAAAA04LDI4MTkwOTcxNDA1AJf4TazrR94IbU00tutH3ggqQ0lRLlVOTEdSUC5JUV9MQVNUU0FMRVBSSUNFLjIyLzAyLzIwMjQuVVNEAQAAAEGWCA4CAAAADjAsMDAyMzk0MDE3NTcxAJf4TazrR94IbU00tutH3ggqQ0lRLlVOTEdSUC5JUV9MQVNUU0FMRVBSSUNFLjIxLzAyLzIwMjQuVVNEAQAAAEGWCA4CAAAADTAsMDAyNjExNTE1MzMAl/hNrOtH3ghtTTS260feCCpDSVEuVU5MR1JQLklRX0xB</t>
  </si>
  <si>
    <t>U1RTQUxFUFJJQ0UuMjAvMDIvMjAyNC5VU0QBAAAAQZYIDgIAAAAOMCwwMDI2MTIyODg1MDIAl/hNrOtH3ghtTTS260feCCpDSVEuVU5MR1JQLklRX0xBU1RTQUxFUFJJQ0UuMTkvMDIvMjAyNC5VU0QBAAAAQZYIDgIAAAAOMCwwMDI3NDQ0MTE1MDkAl/hNrOtH3ghtTTS260feCCpDSVEuVU5MR1JQLklRX0xBU1RTQUxFUFJJQ0UuMjQvMDIvMjAyNC5VU0QBAAAAQZYIDgIAAAAOMCwwMDI2MTMyMzY2MTYAl/hNrOtH3ghtTTS260feCCpDSVEuVU5MR1JQLklRX0xBU1RTQUxFUFJJQ0UuMjUvMDIvMjAyNC5VU0QBAAAAQZYIDgIAAAAOMCwwMDI2MTMyMzY2MTYAl/hNrOtH3gg1JjS260feCCpDSVEuVU5MR1JQLklRX0xBU1RTQUxFUFJJQ0UuMjYvMDIvMjAyNC5VU0QBAAAAQZYIDgIAAAAOMCwwMDI0NzQ0MjYwNzUAl/hNrOtH3ghtTTS260feCCpDSVEuVU5MR1JQLklRX0xBU1RTQUxFUFJJQ0UuMjcvMDIvMjAyNC5VU0QBAAAAQZYIDgIAAAANMCwwMDI0MDIyNzgyMwCX+E2s60feCHp0NLbrR94IKkNJUS5VTkxHUlAuSVFfTEFTVFNBTEVQUklDRS4xNi8wMi8yMDI0LlVTRAEAAABBlggOAgAAAA4wLDAwMjc0NTkxODcwMwCX+E2s60feCHp0NLbrR94IKkNJUS5VTkxHUlAuSVFfTEFTVFNBTEVQUklDRS4wMS8wMy8yMDI0LlVTRAEAAABBlggOAgAAAA4wLDAwMjc1OTI4NTcxNgCX+E2s60feCHp0NLbrR94IKENJ</t>
  </si>
  <si>
    <t>US5JTlRBLklRX0xBU1RTQUxFUFJJQ0UuMjEvMDIvMjAyNC5VU0QBAAAAxzMrAgIAAAAFNDAsMzkAl/hNrOtH3gh6dDS260feCChDSVEuSU5UQS5JUV9MQVNUU0FMRVBSSUNFLjIwLzAyLzIwMjQuVVNEAQAAAMczKwICAAAABTQxLDA3AJf4TazrR94ImKc0tutH3ggoQ0lRLklOVEEuSVFfTEFTVFNBTEVQUklDRS4xOS8wMi8yMDI0LlVTRAEAAADHMysCAgAAAAU0Miw4MwCX+E2s60feCJinNLbrR94IKENJUS5JTlRBLklRX0xBU1RTQUxFUFJJQ0UuMTgvMDIvMjAyNC5VU0QBAAAAxzMrAgIAAAAFNDIsODMAl/hNrOtH3gh6dDS260feCChDSVEuSU5UQS5JUV9MQVNUU0FMRVBSSUNFLjIzLzAyLzIwMjQuVVNEAQAAAMczKwICAAAABTQxLDgyAJf4TazrR94IenQ0tutH3ggoQ0lRLklOVEEuSVFfTEFTVFNBTEVQUklDRS4yNC8wMi8yMDI0LlVTRAEAAADHMysCAgAAAAU0MSw4MgCX+E2s60feCJinNLbrR94IKENJUS5JTlRBLklRX0xBU1RTQUxFUFJJQ0UuMjUvMDIvMjAyNC5VU0QBAAAAxzMrAgIAAAAFNDEsODIAl/hNrOtH3giYpzS260feCChDSVEuSU5UQS5JUV9MQVNUU0FMRVBSSUNFLjI2LzAyLzIwMjQuVVNEAQAAAMczKwICAAAABTQwLDE2AJf4TazrR94ImKc0tutH3ggoQ0lRLklOVEEuSVFfTEFTVFNBTEVQUklDRS4xNS8wMi8yMDI0LlVTRAEAAADHMysCAgAAAAU0Miw2MwCX+E2s60feCJinNLbrR94I</t>
  </si>
  <si>
    <t>KENJUS5JTlRBLklRX0xBU1RTQUxFUFJJQ0UuMjkvMDIvMjAyNC5VU0QBAAAAxzMrAgIAAAAFMzksMjMAl/hNrOtH3gh6dDS260feCChDSVEuU0xZRy5JUV9MQVNUU0FMRVBSSUNFLjIxLzAyLzIwMjQuVVNEAQAAACFEhgACAAAABTgzLDUxAJf4TazrR94IwNI0tutH3ggoQ0lRLlNMWUcuSVFfTEFTVFNBTEVQUklDRS4yMC8wMi8yMDI0LlVTRAEAAAAhRIYAAgAAAAU4Myw1OACX+E2s60feCMDSNLbrR94IKENJUS5TTFlHLklRX0xBU1RTQUxFUFJJQ0UuMTkvMDIvMjAyNC5VU0QBAAAAIUSGAAIAAAAFODQsNDYAl/hNrOtH3giYpzS260feCChDSVEuU0xZRy5JUV9MQVNUU0FMRVBSSUNFLjE4LzAyLzIwMjQuVVNEAQAAACFEhgACAAAABTg0LDQ2AJf4TazrR94IwNI0tutH3ggoQ0lRLlNMWUcuSVFfTEFTVFNBTEVQUklDRS4yMy8wMi8yMDI0LlVTRAEAAAAhRIYAAgAAAAU4NCwzNwCX+E2s60feCMDSNLbrR94IKENJUS5TTFlHLklRX0xBU1RTQUxFUFJJQ0UuMjQvMDIvMjAyNC5VU0QBAAAAIUSGAAIAAAAFODQsMzcAl/hNrOtH3gjA0jS260feCChDSVEuU0xZRy5JUV9MQVNUU0FMRVBSSUNFLjI1LzAyLzIwMjQuVVNEAQAAACFEhgACAAAABTg0LDM3AJf4TazrR94IwNI0tutH3ggoQ0lRLlNMWUcuSVFfTEFTVFNBTEVQUklDRS4yNi8wMi8yMDI0LlVTRAEAAAAhRIYAAgAAAAU4NCw2MgCX+E2s60feCMDSNLbr</t>
  </si>
  <si>
    <t>R94IKENJUS5TTFlHLklRX0xBU1RTQUxFUFJJQ0UuMTUvMDIvMjAyNC5VU0QBAAAAIUSGAAIAAAAFODUsNDcAl/hNrOtH3gjA0jS260feCChDSVEuU0xZRy5JUV9MQVNUU0FMRVBSSUNFLjI5LzAyLzIwMjQuVVNEAQAAACFEhgACAAAABTg0LDk0AJf4TazrR94I7Pw0tutH3ggnQ0lRLlNGVC5JUV9MQVNUU0FMRVBSSUNFLjIwLzAyLzIwMjQuVVNEAQAAAJE1pwACAAAADTAsMTg5Njk1NzI4MDUAl/hNrOtH3gjs/DS260feCCdDSVEuU0ZULklRX0xBU1RTQUxFUFJJQ0UuMTkvMDIvMjAyNC5VU0QBAAAAkTWnAAIAAAAMMCwxODg3ODEzNTM0AJf4TazrR94I7Pw0tutH3ggnQ0lRLlNGVC5JUV9MQVNUU0FMRVBSSUNFLjE4LzAyLzIwMjQuVVNEAQAAAJE1pwACAAAADTAsMTg4ODcxNjgwNTUAl/hNrOtH3gjs/DS260feCCdDSVEuU0ZULklRX0xBU1RTQUxFUFJJQ0UuMTcvMDIvMjAyNC5VU0QBAAAAkTWnAAIAAAANMCwxODg4NzE2ODA1NQCX+E2s60feCOz8NLbrR94IJ0NJUS5TRlQuSVFfTEFTVFNBTEVQUklDRS4yMi8wMi8yMDI0LlVTRAEAAACRNacAAgAAAA0wLDE4OTU4NzgzNjA1AJf4TazrR94I7Pw0tutH3ggnQ0lRLlNGVC5JUV9MQVNUU0FMRVBSSUNFLjIzLzAyLzIwMjQuVVNEAQAAAJE1pwACAAAADjAsMTk2NDMzNzc2NDg1AJf4TazrR94I7Pw0tutH3ggnQ0lRLlNGVC5JUV9MQVNUU0FMRVBSSUNFLjI0</t>
  </si>
  <si>
    <t>LzAyLzIwMjQuVVNEAQAAAJE1pwACAAAADjAsMTk2NDMzNzc2NDg1AJf4TazrR94I7Pw0tutH3ggnQ0lRLlNGVC5JUV9MQVNUU0FMRVBSSUNFLjI1LzAyLzIwMjQuVVNEAQAAAJE1pwACAAAADjAsMTk2NDMzNzc2NDg1AJf4TazrR94I2ic1tutH3ggnQ0lRLlNGVC5JUV9MQVNUU0FMRVBSSUNFLjE0LzAyLzIwMjQuVVNEAQAAAJE1pwACAAAADDAsMTg4MjYwMTAwMQCX+E2s60feCNonNbbrR94IJ0NJUS5TRlQuSVFfTEFTVFNBTEVQUklDRS4yOC8wMi8yMDI0LlVTRAEAAACRNacAAgAAAAwwLDE4OTgwODU0NjUAl/hNrOtH3gjaJzW260feCCdDSVEuSUVHLklRX0xBU1RTQUxFUFJJQ0UuMjAvMDIvMjAyNC5VU0QBAAAAgWq8DQIAAAANNSwxNzE0ODExMjA0OACX+E2s60feCNonNbbrR94IJ0NJUS5JRUcuSVFfTEFTVFNBTEVQUklDRS4xOS8wMi8yMDI0LlVTRAEAAACBarwNAgAAAA01LDI2NTQyNDc4NjY1AJf4TazrR94Ii081tutH3ggnQ0lRLklFRy5JUV9MQVNUU0FMRVBSSUNFLjE4LzAyLzIwMjQuVVNEAQAAAIFqvA0CAAAADTUsMjAzNjE5OTExNzcAl/hNrOtH3gjaJzW260feCCdDSVEuSUVHLklRX0xBU1RTQUxFUFJJQ0UuMTcvMDIvMjAyNC5VU0QBAAAAgWq8DQIAAAANNSwyMDM2MTk5MTE3NwCX+E2s60feCItPNbbrR94IJ0NJUS5JRUcuSVFfTEFTVFNBTEVQUklDRS4yMi8wMi8yMDI0LlVTRAEAAACB</t>
  </si>
  <si>
    <t>arwNAgAAAAw1LDE3MDM2MjM1NjcAoB9OrOtH3gjaJzW260feCCdDSVEuSUVHLklRX0xBU1RTQUxFUFJJQ0UuMjMvMDIvMjAyNC5VU0QBAAAAgWq8DQIAAAANNSwxODIzMDAxMTg2NACgH06s60feCItPNbbrR94IJ0NJUS5JRUcuSVFfTEFTVFNBTEVQUklDRS4yNC8wMi8yMDI0LlVTRAEAAACBarwNAgAAAA01LDE4MjMwMDExODY0AKAfTqzrR94Ii081tutH3ggnQ0lRLklFRy5JUV9MQVNUU0FMRVBSSUNFLjI1LzAyLzIwMjQuVVNEAQAAAIFqvA0CAAAADTUsMTgyMzAwMTE4NjQAoB9OrOtH3giLTzW260feCCdDSVEuSUVHLklRX0xBU1RTQUxFUFJJQ0UuMTQvMDIvMjAyNC5VU0QBAAAAgWq8DQIAAAANNSwxOTE0NjE5NzcyNACgH06s60feCItPNbbrR94IJ0NJUS5JRUcuSVFfTEFTVFNBTEVQUklDRS4yOC8wMi8yMDI0LlVTRAEAAACBarwNAgAAAA01LDI1NDYwNDU1MjE1AKAfTqzrR94I2ic1tutH3ggoQ0lRLktJU1QuSVFfTEFTVFNBTEVQUklDRS4xOS8wMi8yMDI0LlVTRAEAAACm9FkpAgAAAA0xLDczNjc4ODQ1MTI4AKAfTqzrR94Iqp01tutH3ggoQ0lRLktJU1QuSVFfTEFTVFNBTEVQUklDRS4xOC8wMi8yMDI0LlVTRAEAAACm9FkpAgAAAAwxLDc2MjgwMjM1MTgAoB9OrOtH3giqnTW260feCChDSVEuS0lTVC5JUV9MQVNUU0FMRVBSSUNFLjE3LzAyLzIwMjQuVVNEAQAAAKb0WSkCAAAADDEsNzYyODAy</t>
  </si>
  <si>
    <t>MzUxOACgH06s60feCItPNbbrR94IKENJUS5LSVNULklRX0xBU1RTQUxFUFJJQ0UuMTYvMDIvMjAyNC5VU0QBAAAApvRZKQIAAAAMMSw3NjI4MDIzNTE4AKAfTqzrR94Iqp01tutH3ggoQ0lRLktJU1QuSVFfTEFTVFNBTEVQUklDRS4yMS8wMi8yMDI0LlVTRAEAAACm9FkpAgAAAAwyLDE0NjAwNDAxNTEAoB9OrOtH3gjBxDW260feCChDSVEuS0lTVC5JUV9MQVNUU0FMRVBSSUNFLjIyLzAyLzIwMjQuVVNEAQAAAKb0WSkCAAAADTIsMjExODU4MDg3MjUAoB9OrOtH3gjBxDW260feCChDSVEuS0lTVC5JUV9MQVNUU0FMRVBSSUNFLjIzLzAyLzIwMjQuVVNEAQAAAKb0WSkCAAAADTIsMTkyNDU0NDA4NTEAoB9OrOtH3gindjW260feCChDSVEuS0lTVC5JUV9MQVNUU0FMRVBSSUNFLjI0LzAyLzIwMjQuVVNEAQAAAKb0WSkCAAAADTIsMTkyNDU0NDA4NTEAoB9OrOtH3gindjW260feCChDSVEuS0lTVC5JUV9MQVNUU0FMRVBSSUNFLjEzLzAyLzIwMjQuVVNEAQAAAKb0WSkCAAAADTEsNzc2MDE5OTUxMzgAoB9OrOtH3gindjW260feCChDSVEuS0lTVC5JUV9MQVNUU0FMRVBSSUNFLjI3LzAyLzIwMjQuVVNEAQAAAKb0WSkCAAAADjIsMTg4ODM2MzAwNTI1AKAfTqzrR94I1Os1tutH3ggqQ0lRLldQVEcgQi5JUV9MQVNUU0FMRVBSSUNFLjE5LzAyLzIwMjQuVVNEAQAAAE67NicCAAAADTAsNDY0NjQyOTcxNzYAoB9O</t>
  </si>
  <si>
    <t>rOtH3gjU6zW260feCCpDSVEuV1BURyBCLklRX0xBU1RTQUxFUFJJQ0UuMTgvMDIvMjAyNC5VU0QBAAAATrs2JwIAAAANMCw0NjczMzg5NDM3NgCgH06s60feCNTrNbbrR94IKkNJUS5XUFRHIEIuSVFfTEFTVFNBTEVQUklDRS4xNy8wMi8yMDI0LlVTRAEAAABOuzYnAgAAAA0wLDQ2NzMzODk0Mzc2AKAfTqzrR94I1Os1tutH3ggqQ0lRLldQVEcgQi5JUV9MQVNUU0FMRVBSSUNFLjE2LzAyLzIwMjQuVVNEAQAAAE67NicCAAAADTAsNDY3MzM4OTQzNzYAoB9OrOtH3gjU6zW260feCCpDSVEuV1BURyBCLklRX0xBU1RTQUxFUFJJQ0UuMjEvMDIvMjAyNC5VU0QBAAAATrs2JwIAAAAMMCw1MzAyMDEyMjY1AKAfTqzrR94I6RI2tutH3ggqQ0lRLldQVEcgQi5JUV9MQVNUU0FMRVBSSUNFLjIyLzAyLzIwMjQuVVNEAQAAAE67NicCAAAADTAsNTIwNTI2NDQ4NjQAoB9OrOtH3gjpEja260feCCpDSVEuV1BURyBCLklRX0xBU1RTQUxFUFJJQ0UuMjMvMDIvMjAyNC5VU0QBAAAATrs2JwIAAAANMCw1Mzg3NDUwNzM3NgCgH06s60feCMHENbbrR94IKkNJUS5XUFRHIEIuSVFfTEFTVFNBTEVQUklDRS4yNC8wMi8yMDI0LlVTRAEAAABOuzYnAgAAAA0wLDUzODc0NTA3Mzc2AKAfTqzrR94I6RI2tutH3ggqQ0lRLldQVEcgQi5JUV9MQVNUU0FMRVBSSUNFLjEzLzAyLzIwMjQuVVNEAQAAAE67NicCAAAADTAsNDQ3MDgyMTk2</t>
  </si>
  <si>
    <t>NzcAoB9OrOtH3gj7OTa260feCCpDSVEuV1BURyBCLklRX0xBU1RTQUxFUFJJQ0UuMjcvMDIvMjAyNC5VU0QBAAAATrs2JwIAAAANMCw2MDQwNjUzMDE3NgCgH06s60feCPs5NrbrR94IKENJUS43NDIwLklRX0xBU1RTQUxFUFJJQ0UuMTgvMDIvMjAyNC5VU0QBAAAA9HoNAAIAAAAMMTUsMTg1MzkzMjg2AKAfTqzrR94I+zk2tutH3ggoQ0lRLjc0MjAuSVFfTEFTVFNBTEVQUklDRS4xNy8wMi8yMDI0LlVTRAEAAAD0eg0AAgAAAAwxNSwxODUzOTMyODYAoB9OrOtH3ghNaza260feCChDSVEuNzQyMC5JUV9MQVNUU0FMRVBSSUNFLjE2LzAyLzIwMjQuVVNEAQAAAPR6DQACAAAADDE1LDE4NTM5MzI4NgCgH06s60feCPs5NrbrR94IKENJUS43NDIwLklRX0xBU1RTQUxFUFJJQ0UuMTUvMDIvMjAyNC5VU0QBAAAA9HoNAAIAAAALMTUsMTA5NzYyNDEAoB9OrOtH3ghNaza260feCChDSVEuNzQyMC5JUV9MQVNUU0FMRVBSSUNFLjIwLzAyLzIwMjQuVVNEAQAAAPR6DQACAAAADDE3LDEwNDM0MTk2OQCgH06s60feCPs5NrbrR94IKENJUS43NDIwLklRX0xBU1RTQUxFUFJJQ0UuMjEvMDIvMjAyNC5VU0QBAAAA9HoNAAIAAAAMMTYsMzAwMzY3NjcyAKAfTqzrR94ITWs2tutH3ggoQ0lRLjc0MjAuSVFfTEFTVFNBTEVQUklDRS4yMi8wMi8yMDI0LlVTRAEAAAD0eg0AAgAAAAsxNiwyMzUyMTA5NACgH06s60feCE1rNrbr</t>
  </si>
  <si>
    <t>R94IKENJUS43NDIwLklRX0xBU1RTQUxFUFJJQ0UuMjMvMDIvMjAyNC5VU0QBAAAA9HoNAAIAAAAMMTYsMjU1NDAzMjY4AKAfTqzrR94ITWs2tutH3ggoQ0lRLjc0MjAuSVFfTEFTVFNBTEVQUklDRS4xMi8wMi8yMDI0LlVTRAEAAAD0eg0AAgAAAAwxNSw1MTU5MTMxNTIAoB9OrOtH3ghNaza260feCChDSVEuNzQyMC5JUV9MQVNUU0FMRVBSSUNFLjI2LzAyLzIwMjQuVVNEAQAAAPR6DQACAAAACzE2LDA0OTQ0NzI2AKAfTqzrR94I+zk2tutH3ggpQ0lRLkFMTUNQLklRX0xBU1RTQUxFUFJJQ0UuMTgvMDIvMjAyNC5VU0QBAAAA5RkpAwIAAAAOMiw1NDY4NjQ5MDA5MTYAoB9OrOtH3gif4Da260feCClDSVEuQUxNQ1AuSVFfTEFTVFNBTEVQUklDRS4xNy8wMi8yMDI0LlVTRAEAAADlGSkDAgAAAA4yLDU0Njg2NDkwMDkxNgCgH06s60feCJ/gNrbrR94IKUNJUS5BTE1DUC5JUV9MQVNUU0FMRVBSSUNFLjE2LzAyLzIwMjQuVVNEAQAAAOUZKQMCAAAADjIsNTQ2ODY0OTAwOTE2AKAfTqzrR94ITWs2tutH3ggpQ0lRLkFMTUNQLklRX0xBU1RTQUxFUFJJQ0UuMTUvMDIvMjAyNC5VU0QBAAAA5RkpAwIAAAANMiw0Mzc4Njk4MjMxOACgH06s60feCJ/gNrbrR94IKUNJUS5BTE1DUC5JUV9MQVNUU0FMRVBSSUNFLjIwLzAyLzIwMjQuVVNEAQAAAOUZKQMCAAAADjIsMzg2NjcwOTk0MDk2AKAfTqzrR94IXxM3tutH3ggp</t>
  </si>
  <si>
    <t>Q0lRLkFMTUNQLklRX0xBU1RTQUxFUFJJQ0UuMjEvMDIvMjAyNC5VU0QBAAAA5RkpAwIAAAAOMiw0MTM0OTQ4MDk5MjgAoB9OrOtH3ghfEze260feCClDSVEuQUxNQ1AuSVFfTEFTVFNBTEVQUklDRS4yMi8wMi8yMDI0LlVTRAEAAADlGSkDAgAAAA0yLDQxNDI3Nzk4NzQ4AKAfTqzrR94IlLk2tutH3ggpQ0lRLkFMTUNQLklRX0xBU1RTQUxFUFJJQ0UuMjMvMDIvMjAyNC5VU0QBAAAA5RkpAwIAAAAOMiwzMTMxMDE4MDY2MDgAoB9OrOtH3giUuTa260feCClDSVEuQUxNQ1AuSVFfTEFTVFNBTEVQUklDRS4xMi8wMi8yMDI0LlVTRAEAAADlGSkDAgAAAA4yLDUwMzUwMTAyMzY4OACgH06s60feCJS5NrbrR94IKUNJUS5BTE1DUC5JUV9MQVNUU0FMRVBSSUNFLjI2LzAyLzIwMjQuVVNEAQAAAOUZKQMCAAAADTIsMjkxMTY5NDUwMjQAoB9OrOtH3ghfEze260feCCdDSVEuVU5JLklRX0xBU1RTQUxFUFJJQ0UuMTUvMDIvMjAyNC5VU0QBAAAAu2ANAAIAAAANNiwxNzk2NjY0ODkxMgCgH06s60feCF8TN7brR94IJ0NJUS5VTkkuSVFfTEFTVFNBTEVQUklDRS4xNC8wMi8yMDI0LlVTRAEAAAC7YA0AAgAAAA42LDE2MTEwNjk0MTU4NACgH06s60feCF8TN7brR94IJ0NJUS5VTkkuSVFfTEFTVFNBTEVQUklDRS4xMy8wMi8yMDI0LlVTRAEAAAC7YA0AAgAAAA42LDEzMzU2MjAwODIyMgCgH06s60feCF8TN7brR94IJ0NJ</t>
  </si>
  <si>
    <t>US5VTkkuSVFfTEFTVFNBTEVQUklDRS4xMi8wMi8yMDI0LlVTRAEAAAC7YA0AAgAAAA42LDIzOTM2MjI3NTkwNACgH06s60feCFM9N7brR94IJ0NJUS5VTkkuSVFfTEFTVFNBTEVQUklDRS4xNy8wMi8yMDI0LlVTRAEAAAC7YA0AAgAAAA43LDQ4OTc2NTE0MDA4OACgH06s60feCFM9N7brR94IJ0NJUS5VTkkuSVFfTEFTVFNBTEVQUklDRS4xOC8wMi8yMDI0LlVTRAEAAAC7YA0AAgAAAA43LDQ4OTc2NTE0MDA4OACgH06s60feCFM9N7brR94IJ0NJUS5VTkkuSVFfTEFTVFNBTEVQUklDRS4xOS8wMi8yMDI0LlVTRAEAAAC7YA0AAgAAAAs3LDUzNzQxNzg5NQCgH06s60feCF8TN7brR94IJ0NJUS5VTkkuSVFfTEFTVFNBTEVQUklDRS4yMC8wMi8yMDI0LlVTRAEAAAC7YA0AAgAAAA43LDczMzQxOTg4NDc2OACgH06s60feCFM9N7brR94IJ0NJUS5VTkkuSVFfTEFTVFNBTEVQUklDRS4wOS8wMi8yMDI0LlVTRAEAAAC7YA0AAgAAAA42LDIwODc1NTY2MTczNACgH06s60feCFM9N7brR94IJ0NJUS5VTkkuSVFfTEFTVFNBTEVQUklDRS4yMy8wMi8yMDI0LlVTRAEAAAC7YA0AAgAAAA04LDAxNjg3NzYzNjU2AKAfTqzrR94IUz03tutH3ggoQ0lRLlZFTkQuSVFfTEFTVFNBTEVQUklDRS4xNS8wMi8yMDI0LlVTRAEAAABCZg0AAgAAAAwyOSw5MDA5NzQ0MzQAoB9OrOtH3giUZDe260feCChDSVEuVkVORC5JUV9MQVNU</t>
  </si>
  <si>
    <t>U0FMRVBSSUNFLjE0LzAyLzIwMjQuVVNEAQAAAEJmDQACAAAADDI5LDAzODc4NDIxMgCgH06s60feCJRkN7brR94IKENJUS5WRU5ELklRX0xBU1RTQUxFUFJJQ0UuMTMvMDIvMjAyNC5VU0QBAAAAQmYNAAIAAAAMMjgsNTAyNTY5NzEyAKAfTqzrR94IlGQ3tutH3ggoQ0lRLlZFTkQuSVFfTEFTVFNBTEVQUklDRS4xMi8wMi8yMDI0LlVTRAEAAABCZg0AAgAAAAwyOCw3NDU4MzQzNjQAoB9OrOtH3giUZDe260feCChDSVEuVkVORC5JUV9MQVNUU0FMRVBSSUNFLjE3LzAyLzIwMjQuVVNEAQAAAEJmDQACAAAADTI5LDQ0NTcxODA0NzIAoB9OrOtH3giUZDe260feCChDSVEuVkVORC5JUV9MQVNUU0FMRVBSSUNFLjE4LzAyLzIwMjQuVVNEAQAAAEJmDQACAAAADTI5LDQ0NTcxODA0NzIAoB9OrOtH3giUZDe260feCChDSVEuVkVORC5JUV9MQVNUU0FMRVBSSUNFLjE5LzAyLzIwMjQuVVNEAQAAAEJmDQACAAAADTI5LDY1NDg1NTIzODYAoB9OrOtH3giUZDe260feCChDSVEuVkVORC5JUV9MQVNUU0FMRVBSSUNFLjIwLzAyLzIwMjQuVVNEAQAAAEJmDQACAAAADTI5LDU3MDYzMzk4NTQAoB9OrOtH3ghTPTe260feCChDSVEuVkVORC5JUV9MQVNUU0FMRVBSSUNFLjA5LzAyLzIwMjQuVVNEAQAAAEJmDQACAAAACjI4LDQwODk4MzMAoB9OrOtH3giUZDe260feCChDSVEuVkVORC5JUV9MQVNUU0FMRVBSSUNFLjIzLzAy</t>
  </si>
  <si>
    <t>LzIwMjQuVVNEAQAAAEJmDQACAAAADTI4LDMzOTg1MDM5MjIAoB9OrOtH3ghTPTe260feCClDSVEuV1VGMVYuSVFfTEFTVFNBTEVQUklDRS4xNS8wMi8yMDI0LlVTRAEAAADI0HwAAgAAAAsyLDM2Njg2MzkwNgCgH06s60feCLiPN7brR94IKUNJUS5XVUYxVi5JUV9MQVNUU0FMRVBSSUNFLjE0LzAyLzIwMjQuVVNEAQAAAMjQfAACAAAADTIsMjk1Mzk4NDc3NTQAoB9OrOtH3gi4jze260feCClDSVEuV1VGMVYuSVFfTEFTVFNBTEVQUklDRS4xMy8wMi8yMDI0LlVTRAEAAADI0HwAAgAAAA0yLDMzNjc5OTIyNzE4AKAfTqzrR94IlGQ3tutH3ggpQ0lRLldVRjFWLklRX0xBU1RTQUxFUFJJQ0UuMTIvMDIvMjAyNC5VU0QBAAAAyNB8AAIAAAAMMiwyNjIxOTk3MjAyAKAfTqzrR94IM7o3tutH3ggpQ0lRLldVRjFWLklRX0xBU1RTQUxFUFJJQ0UuMTcvMDIvMjAyNC5VU0QBAAAAyNB8AAIAAAANMiwyNzMyMTY5ODAwOQCgH06s60feCDO6N7brR94IKUNJUS5XVUYxVi5JUV9MQVNUU0FMRVBSSUNFLjE4LzAyLzIwMjQuVVNEAQAAAMjQfAACAAAADTIsMjczMjE2OTgwMDkAoB9OrOtH3ggzuje260feCClDSVEuV1VGMVYuSVFfTEFTVFNBTEVQUklDRS4xOS8wMi8yMDI0LlVTRAEAAADI0HwAAgAAAA0yLDUwODg4MzM4NTA1AKAfTqzrR94IuI83tutH3ggpQ0lRLldVRjFWLklRX0xBU1RTQUxFUFJJQ0UuMjAvMDIvMjAy</t>
  </si>
  <si>
    <t>NC5VU0QBAAAAyNB8AAIAAAANMiw2Mzk4MzU1NTEwNACgH06s60feCLiPN7brR94IKUNJUS5XVUYxVi5JUV9MQVNUU0FMRVBSSUNFLjA5LzAyLzIwMjQuVVNEAQAAAMjQfAACAAAADDIsMjY0Mzk1MDgzMwCgH06s60feCLiPN7brR94IKUNJUS5XVUYxVi5JUV9MQVNUU0FMRVBSSUNFLjIzLzAyLzIwMjQuVVNEAQAAAMjQfAACAAAADDIsNjUwNjU0NTQ5MgCgH06s60feCDO6N7brR94IKENJUS5WUlNLLklRX0xBU1RTQUxFUFJJQ0UuMTQvMDIvMjAyNC5VU0QBAAAA76sPAAIAAAAGMjQ2LDE0AKAfTqzrR94IM7o3tutH3ggoQ0lRLlZSU0suSVFfTEFTVFNBTEVQUklDRS4xMy8wMi8yMDI0LlVTRAEAAADvqw8AAgAAAAYyNDQsOTMAoB9OrOtH3ggN5Te260feCChDSVEuVlJTSy5JUV9MQVNUU0FMRVBSSUNFLjEyLzAyLzIwMjQuVVNEAQAAAO+rDwACAAAABjI0NywxMwCgH06s60feCA3lN7brR94IKENJUS5WUlNLLklRX0xBU1RTQUxFUFJJQ0UuMTEvMDIvMjAyNC5VU0QBAAAA76sPAAIAAAAGMjUwLDYxAKAfTqzrR94IDeU3tutH3ggoQ0lRLlZSU0suSVFfTEFTVFNBTEVQUklDRS4xNi8wMi8yMDI0LlVTRAEAAADvqw8AAgAAAAUyNDQsNwCgH06s60feCA3lN7brR94IKENJUS5WUlNLLklRX0xBU1RTQUxFUFJJQ0UuMTcvMDIvMjAyNC5VU0QBAAAA76sPAAIAAAAFMjQ0LDcAoB9OrOtH3ggN5Te260feCChDSVEu</t>
  </si>
  <si>
    <t>VlJTSy5JUV9MQVNUU0FMRVBSSUNFLjE4LzAyLzIwMjQuVVNEAQAAAO+rDwACAAAABTI0NCw3AKAfTqzrR94IM7o3tutH3ggoQ0lRLlZSU0suSVFfTEFTVFNBTEVQUklDRS4xOS8wMi8yMDI0LlVTRAEAAADvqw8AAgAAAAUyNDQsNwCgH06s60feCA3lN7brR94IKENJUS5WUlNLLklRX0xBU1RTQUxFUFJJQ0UuMDgvMDIvMjAyNC5VU0QBAAAA76sPAAIAAAAGMjQ5LDI2AKAfTqzrR94IDeU3tutH3ggoQ0lRLlZSU0suSVFfTEFTVFNBTEVQUklDRS4yMi8wMi8yMDI0LlVTRAEAAADvqw8AAgAAAAYyNDAsMDEAoB9OrOtH3ghNEDi260feCChDSVEuU0VHRy5JUV9MQVNUU0FMRVBSSUNFLjE0LzAyLzIwMjQuVVNEAQAAALFo+RECAAAABDIzLDYAoB9OrOtH3ghNEDi260feCChDSVEuU0VHRy5JUV9MQVNUU0FMRVBSSUNFLjEzLzAyLzIwMjQuVVNEAQAAALFo+RECAAAABjIxLDUyOQCgH06s60feCE0QOLbrR94IKENJUS5TRUdHLklRX0xBU1RTQUxFUFJJQ0UuMTIvMDIvMjAyNC5VU0QBAAAAsWj5EQIAAAACMjQAoB9OrOtH3gjzOTi260feCChDSVEuU0VHRy5JUV9MQVNUU0FMRVBSSUNFLjExLzAyLzIwMjQuVVNEAQAAALFo+RECAAAAAjIzAKAfTqzrR94I8zk4tutH3ggoQ0lRLlNFR0cuSVFfTEFTVFNBTEVQUklDRS4xNi8wMi8yMDI0LlVTRAEAAACxaPkRAgAAAAQyNSw5AKAfTqzrR94I8zk4tutH3ggoQ0lRLlNF</t>
  </si>
  <si>
    <t>R0cuSVFfTEFTVFNBTEVQUklDRS4xNy8wMi8yMDI0LlVTRAEAAACxaPkRAgAAAAQyNSw5AKAfTqzrR94ITRA4tutH3ggoQ0lRLlNFR0cuSVFfTEFTVFNBTEVQUklDRS4xOC8wMi8yMDI0LlVTRAEAAACxaPkRAgAAAAQyNSw5AKAfTqzrR94ITRA4tutH3ggoQ0lRLlNFR0cuSVFfTEFTVFNBTEVQUklDRS4xOS8wMi8yMDI0LlVTRAEAAACxaPkRAgAAAAQyNSw5AKAfTqzrR94I8zk4tutH3ggoQ0lRLlNFR0cuSVFfTEFTVFNBTEVQUklDRS4wOC8wMi8yMDI0LlVTRAEAAACxaPkRAgAAAAQyMCwzAKAfTqzrR94ITRA4tutH3ggoQ0lRLlNFR0cuSVFfTEFTVFNBTEVQUklDRS4yMi8wMi8yMDI0LlVTRAEAAACxaPkRAgAAAAQyMywzAKAfTqzrR94ITRA4tutH3ggnQ0lRLkFDVC5JUV9MQVNUU0FMRVBSSUNFLjE0LzAyLzIwMjQuVVNEAQAAAJ5b8RICAAAABTI3LDU4AKAfTqzrR94IFWk4tutH3ggnQ0lRLkFDVC5JUV9MQVNUU0FMRVBSSUNFLjEzLzAyLzIwMjQuVVNEAQAAAJ5b8RICAAAABTI2LDg3AKAfTqzrR94InJM4tutH3ggnQ0lRLkFDVC5JUV9MQVNUU0FMRVBSSUNFLjEyLzAyLzIwMjQuVVNEAQAAAJ5b8RICAAAABTI3LDI2AKAfTqzrR94I8zk4tutH3ggnQ0lRLkFDVC5JUV9MQVNUU0FMRVBSSUNFLjExLzAyLzIwMjQuVVNEAQAAAJ5b8RICAAAABTI3LDE2AKAfTqzrR94InJM4tutH3ggnQ0lRLkFDVC5JUV9M</t>
  </si>
  <si>
    <t>QVNUU0FMRVBSSUNFLjE2LzAyLzIwMjQuVVNEAQAAAJ5b8RICAAAABTI3LDE5AKAfTqzrR94InJM4tutH3ggnQ0lRLkFDVC5JUV9MQVNUU0FMRVBSSUNFLjE3LzAyLzIwMjQuVVNEAQAAAJ5b8RICAAAABTI3LDE5AKAfTqzrR94InJM4tutH3ggnQ0lRLkFDVC5JUV9MQVNUU0FMRVBSSUNFLjE4LzAyLzIwMjQuVVNEAQAAAJ5b8RICAAAABTI3LDE5AKAfTqzrR94IFWk4tutH3ggnQ0lRLkFDVC5JUV9MQVNUU0FMRVBSSUNFLjE5LzAyLzIwMjQuVVNEAQAAAJ5b8RICAAAABTI3LDE5AKAfTqzrR94IFWk4tutH3ggnQ0lRLkFDVC5JUV9MQVNUU0FMRVBSSUNFLjA4LzAyLzIwMjQuVVNEAQAAAJ5b8RICAAAABTI2LDc5AKAfTqzrR94IFWk4tutH3ggnQ0lRLkFDVC5JUV9MQVNUU0FMRVBSSUNFLjIyLzAyLzIwMjQuVVNEAQAAAJ5b8RICAAAABDI2LDcAoB9OrOtH3ghxvji260feCCdDSVEuTVNJLklRX0xBU1RTQUxFUFJJQ0UuMTMvMDIvMjAyNC5VU0QBAAAAcoMBAAIAAAAGMzE5LDIyAKAfTqzrR94Icb44tutH3ggnQ0lRLk1TSS5JUV9MQVNUU0FMRVBSSUNFLjEyLzAyLzIwMjQuVVNEAQAAAHKDAQACAAAABjMyMCwwOQCgH06s60feCHG+OLbrR94IJ0NJUS5NU0kuSVFfTEFTVFNBTEVQUklDRS4xMS8wMi8yMDI0LlVTRAEAAABygwEAAgAAAAYzMzAsODkAoB9OrOtH3ghxvji260feCCdDSVEuTVNJLklRX0xBU1RT</t>
  </si>
  <si>
    <t>QUxFUFJJQ0UuMTAvMDIvMjAyNC5VU0QBAAAAcoMBAAIAAAAGMzMwLDg5AKAfTqzrR94Icb44tutH3ggnQ0lRLk1TSS5JUV9MQVNUU0FMRVBSSUNFLjE1LzAyLzIwMjQuVVNEAQAAAHKDAQACAAAABTMyMyw5AKAfTqzrR94Icb44tutH3ggnQ0lRLk1TSS5JUV9MQVNUU0FMRVBSSUNFLjE2LzAyLzIwMjQuVVNEAQAAAHKDAQACAAAABjMyMCw0OQCgH06s60feCJyTOLbrR94IJ0NJUS5NU0kuSVFfTEFTVFNBTEVQUklDRS4xNy8wMi8yMDI0LlVTRAEAAABygwEAAgAAAAYzMjAsNDkAoB9OrOtH3ghF8ji260feCCdDSVEuTVNJLklRX0xBU1RTQUxFUFJJQ0UuMTgvMDIvMjAyNC5VU0QBAAAAcoMBAAIAAAAGMzIwLDQ5AKAfTqzrR94IRfI4tutH3ggnQ0lRLk1TSS5JUV9MQVNUU0FMRVBSSUNFLjA3LzAyLzIwMjQuVVNEAQAAAHKDAQACAAAABjMyNyw5MwCgH06s60feCEXyOLbrR94IJ0NJUS5NU0kuSVFfTEFTVFNBTEVQUklDRS4yMS8wMi8yMDI0LlVTRAEAAABygwEAAgAAAAYzMjQsODIAoB9OrOtH3ghF8ji260feCCdDSVEuU1VOLklRX0xBU1RTQUxFUFJJQ0UuMTMvMDIvMjAyNC5VU0QBAAAA3ic5AQIAAAAFNjAsNTEAoB9OrOtH3ghaHTm260feCCdDSVEuU1VOLklRX0xBU1RTQUxFUFJJQ0UuMTIvMDIvMjAyNC5VU0QBAAAA3ic5AQIAAAAFNjEsMTYAoB9OrOtH3ghaHTm260feCCdDSVEuU1VOLklRX0xBU1RT</t>
  </si>
  <si>
    <t>QUxFUFJJQ0UuMTEvMDIvMjAyNC5VU0QBAAAA3ic5AQIAAAAFNjAsNzYAoB9OrOtH3ghcSDm260feCCdDSVEuU1VOLklRX0xBU1RTQUxFUFJJQ0UuMTAvMDIvMjAyNC5VU0QBAAAA3ic5AQIAAAAFNjAsNzYAoB9OrOtH3ghcSDm260feCCdDSVEuU1VOLklRX0xBU1RTQUxFUFJJQ0UuMTUvMDIvMjAyNC5VU0QBAAAA3ic5AQIAAAAFNjIsMTYAoB9OrOtH3ghF8ji260feCCdDSVEuU1VOLklRX0xBU1RTQUxFUFJJQ0UuMTYvMDIvMjAyNC5VU0QBAAAA3ic5AQIAAAAFNjIsNTMAoB9OrOtH3ghaHTm260feCCdDSVEuU1VOLklRX0xBU1RTQUxFUFJJQ0UuMTcvMDIvMjAyNC5VU0QBAAAA3ic5AQIAAAAFNjIsNTMAoB9OrOtH3ghaHTm260feCCdDSVEuU1VOLklRX0xBU1RTQUxFUFJJQ0UuMTgvMDIvMjAyNC5VU0QBAAAA3ic5AQIAAAAFNjIsNTMAoB9OrOtH3ghaHTm260feCCdDSVEuU1VOLklRX0xBU1RTQUxFUFJJQ0UuMDcvMDIvMjAyNC5VU0QBAAAA3ic5AQIAAAAFNjAsMjIAoB9OrOtH3ghcSDm260feCCdDSVEuU1VOLklRX0xBU1RTQUxFUFJJQ0UuMjEvMDIvMjAyNC5VU0QBAAAA3ic5AQIAAAAFNjIsNzgAoB9OrOtH3ghaHTm260feCCdDSVEuVEJTLklRX0xBU1RTQUxFUFJJQ0UuMTMvMDIvMjAyNC5VU0QBAAAA3pjnJQIAAAAMNSwwNjczODI0ODk1AKAfTqzrR94IlXc5tutH3ggnQ0lRLlRCUy5JUV9MQVNU</t>
  </si>
  <si>
    <t>U0FMRVBSSUNFLjEyLzAyLzIwMjQuVVNEAQAAAN6Y5yUCAAAADTUsMDk2NDE4NzI5NzUAoB9OrOtH3ghcSDm260feCCdDSVEuVEJTLklRX0xBU1RTQUxFUFJJQ0UuMTEvMDIvMjAyNC5VU0QBAAAA3pjnJQIAAAAMNSwwOTk3OTA0OTM1AKAfTqzrR94IlXc5tutH3ggnQ0lRLlRCUy5JUV9MQVNUU0FMRVBSSUNFLjEwLzAyLzIwMjQuVVNEAQAAAN6Y5yUCAAAADDUsMDk5NzkwNDkzNQCgH06s60feCPeeObbrR94IJ0NJUS5UQlMuSVFfTEFTVFNBTEVQUklDRS4xNS8wMi8yMDI0LlVTRAEAAADemOclAgAAAAw1LDExNDM4NjI3NDQAoB9OrOtH3gj3njm260feCCdDSVEuVEJTLklRX0xBU1RTQUxFUFJJQ0UuMTYvMDIvMjAyNC5VU0QBAAAA3pjnJQIAAAAMNSwxMjI1NTU3NjY0AKAfTqzrR94I9545tutH3ggnQ0lRLlRCUy5JUV9MQVNUU0FMRVBSSUNFLjE3LzAyLzIwMjQuVVNEAQAAAN6Y5yUCAAAADDUsMTIyNTU1NzY2NACgH06s60feCJV3ObbrR94IJ0NJUS5UQlMuSVFfTEFTVFNBTEVQUklDRS4xOC8wMi8yMDI0LlVTRAEAAADemOclAgAAAAw1LDEyMjU1NTc2NjQAoB9OrOtH3giVdzm260feCCdDSVEuVEJTLklRX0xBU1RTQUxFUFJJQ0UuMDcvMDIvMjAyNC5VU0QBAAAA3pjnJQIAAAANNSwwOTA4MDkwMzAyNQCgH06s60feCJV3ObbrR94IJ0NJUS5UQlMuSVFfTEFTVFNBTEVQUklDRS4yMS8wMi8yMDI0LlVT</t>
  </si>
  <si>
    <t>RAEAAADemOclAgAAAAw1LDE0MjM4MzE4OTcAoB9OrOtH3gg4yjm260feCCdDSVEuRkFCLklRX0xBU1RTQUxFUFJJQ0UuMTMvMDIvMjAyNC5VU0QBAAAAybVMAAIAAAAOMCwwNTM1MzI1MTYyNjUAoB9OrOtH3gg4yjm260feCCdDSVEuRkFCLklRX0xBU1RTQUxFUFJJQ0UuMTIvMDIvMjAyNC5VU0QBAAAAybVMAAIAAAANMCwwNTM2NjkwNzAyMQCgH06s60feCDjKObbrR94IJ0NJUS5GQUIuSVFfTEFTVFNBTEVQUklDRS4xMS8wMi8yMDI0LlVTRAEAAADJtUwAAgAAAA4wLDA1ODExMzgyNzMxMgCgH06s60feCDjKObbrR94IJ0NJUS5GQUIuSVFfTEFTVFNBTEVQUklDRS4xMC8wMi8yMDI0LlVTRAEAAADJtUwAAgAAAA4wLDA1ODExMzgyNzMxMgCgH06s60feCDjKObbrR94IJ0NJUS5GQUIuSVFfTEFTVFNBTEVQUklDRS4xNS8wMi8yMDI0LlVTRAEAAADJtUwAAgAAAA4wLDA1MTU2Mzg5NTIyMQCgH06s60feCO/0ObbrR94IJ0NJUS5GQUIuSVFfTEFTVFNBTEVQUklDRS4xNi8wMi8yMDI0LlVTRAEAAADJtUwAAgAAAA4wLDA1MTYyNDkyNjAxNwCgH06s60feCO/0ObbrR94IJ0NJUS5GQUIuSVFfTEFTVFNBTEVQUklDRS4xNy8wMi8yMDI0LlVTRAEAAADJtUwAAgAAAA4wLDA1MTYyNDkyNjAxNwCgH06s60feCPeeObbrR94IJ0NJUS5GQUIuSVFfTEFTVFNBTEVQUklDRS4xOC8wMi8yMDI0LlVTRAEAAADJtUwAAgAA</t>
  </si>
  <si>
    <t>AA4wLDA1MTYyNDkyNjAxNwCgH06s60feCDwYOrbrR94IJ0NJUS5GQUIuSVFfTEFTVFNBTEVQUklDRS4wNy8wMi8yMDI0LlVTRAEAAADJtUwAAgAAAA8wLDA1ODY5OTUyMTU4OTUAoB9OrOtH3gg8GDq260feCCdDSVEuRkFCLklRX0xBU1RTQUxFUFJJQ0UuMjEvMDIvMjAyNC5VU0QBAAAAybVMAAIAAAAPMCwwNTExMjUzODk3NzE1AKAfTqzrR94IPBg6tutH3ggnQ0lRLkhTTi5JUV9MQVNUU0FMRVBSSUNFLjEyLzAyLzIwMjQuVVNEAQAAAFRrFwACAAAADDMsMzMzNTUxMjE0MwCgH06s60feCI1FOrbrR94IJ0NJUS5IU04uSVFfTEFTVFNBTEVQUklDRS4xMS8wMi8yMDI0LlVTRAEAAABUaxcAAgAAAA0zLDMzMjQ2MzgwNjQ5AKAfTqzrR94IjUU6tutH3ggnQ0lRLkhTTi5JUV9MQVNUU0FMRVBSSUNFLjEwLzAyLzIwMjQuVVNEAQAAAFRrFwACAAAADTMsMzMyNDYzODA2NDkAoB9OrOtH3giNRTq260feCCdDSVEuSFNOLklRX0xBU1RTQUxFUFJJQ0UuMDkvMDIvMjAyNC5VU0QBAAAAVGsXAAIAAAANMywzMzI0NjM4MDY0OQCgH06s60feCEttOrbrR94IJ0NJUS5IU04uSVFfTEFTVFNBTEVQUklDRS4xNC8wMi8yMDI0LlVTRAEAAABUaxcAAgAAAAszLDUyODgwMTI0OACgH06s60feCI1FOrbrR94IJ0NJUS5IU04uSVFfTEFTVFNBTEVQUklDRS4xNS8wMi8yMDI0LlVTRAEAAABUaxcAAgAAAA0zLDUyNzAzODQ1ODI2</t>
  </si>
  <si>
    <t>AKAfTqzrR94IjUU6tutH3ggnQ0lRLkhTTi5JUV9MQVNUU0FMRVBSSUNFLjE2LzAyLzIwMjQuVVNEAQAAAFRrFwACAAAADTMsNTEzODEzNTk3NTIAoB9OrOtH3giNRTq260feCCdDSVEuSFNOLklRX0xBU1RTQUxFUFJJQ0UuMTcvMDIvMjAyNC5VU0QBAAAAVGsXAAIAAAANMyw1MTM4MTM1OTc1MgCgH06s60feCI1FOrbrR94IJ0NJUS5IU04uSVFfTEFTVFNBTEVQUklDRS4wNi8wMi8yMDI0LlVTRAEAAABUaxcAAgAAAAwzLDQ3MjA4NjUwODgAoB9OrOtH3ghLbTq260feCCdDSVEuSFNOLklRX0xBU1RTQUxFUFJJQ0UuMjAvMDIvMjAyNC5VU0QBAAAAVGsXAAIAAAANMyw2Njc0OTc3MDM2MQCgH06s60feCI1FOrbrR94IJ0NJUS5URFkuSVFfTEFTVFNBTEVQUklDRS4xMi8wMi8yMDI0LlVTRAEAAAD+MwYAAgAAAAY0MjcsMDcAoB9OrOtH3ghXljq260feCCdDSVEuVERZLklRX0xBU1RTQUxFUFJJQ0UuMTEvMDIvMjAyNC5VU0QBAAAA/jMGAAIAAAAGNDM0LDAzAKAfTqzrR94IV5Y6tutH3ggnQ0lRLlREWS5JUV9MQVNUU0FMRVBSSUNFLjEwLzAyLzIwMjQuVVNEAQAAAP4zBgACAAAABjQzNCwwMwCgH06s60feCEttOrbrR94IJ0NJUS5URFkuSVFfTEFTVFNBTEVQUklDRS4wOS8wMi8yMDI0LlVTRAEAAAD+MwYAAgAAAAY0MzQsMDMAoB9OrOtH3ghXljq260feCCdDSVEuVERZLklRX0xBU1RTQUxFUFJJQ0UuMTQv</t>
  </si>
  <si>
    <t>MDIvMjAyNC5VU0QBAAAA/jMGAAIAAAAGNDI3LDUzAKAfTqzrR94IrsA6tutH3ggnQ0lRLlREWS5JUV9MQVNUU0FMRVBSSUNFLjE1LzAyLzIwMjQuVVNEAQAAAP4zBgACAAAABjQzMSw0OACgH06s60feCK7AOrbrR94IJ0NJUS5URFkuSVFfTEFTVFNBTEVQUklDRS4xNi8wMi8yMDI0LlVTRAEAAAD+MwYAAgAAAAY0MzIsMjYAoB9OrOtH3ghXljq260feCCdDSVEuVERZLklRX0xBU1RTQUxFUFJJQ0UuMTcvMDIvMjAyNC5VU0QBAAAA/jMGAAIAAAAGNDMyLDI2AKAfTqzrR94IS206tutH3ggnQ0lRLlREWS5JUV9MQVNUU0FMRVBSSUNFLjA2LzAyLzIwMjQuVVNEAQAAAP4zBgACAAAABjQzNCwwNACgH06s60feCEttOrbrR94IJ0NJUS5URFkuSVFfTEFTVFNBTEVQUklDRS4yMC8wMi8yMDI0LlVTRAEAAAD+MwYAAgAAAAY0MzAsNzYAoB9OrOtH3giuwDq260feCChDSVEuWFBSTy5JUV9MQVNUU0FMRVBSSUNFLjExLzAyLzIwMjQuVVNEAQAAAF/yAQACAAAABTE3LDY0AKAfTqzrR94IrsA6tutH3ggoQ0lRLlhQUk8uSVFfTEFTVFNBTEVQUklDRS4xMC8wMi8yMDI0LlVTRAEAAABf8gEAAgAAAAUxNyw2NACgH06s60feCK7AOrbrR94IKENJUS5YUFJPLklRX0xBU1RTQUxFUFJJQ0UuMDkvMDIvMjAyNC5VU0QBAAAAX/IBAAIAAAAFMTcsNjQAoB9OrOtH3giuwDq260feCChDSVEuWFBSTy5JUV9MQVNUU0FMRVBSSUNF</t>
  </si>
  <si>
    <t>LjA4LzAyLzIwMjQuVVNEAQAAAF/yAQACAAAABTE3LDU1AKAfTqzrR94I7ew6tutH3ggoQ0lRLlhQUk8uSVFfTEFTVFNBTEVQUklDRS4xMy8wMi8yMDI0LlVTRAEAAABf8gEAAgAAAAQxNyw3AKAfTqzrR94I7ew6tutH3ggoQ0lRLlhQUk8uSVFfTEFTVFNBTEVQUklDRS4xNC8wMi8yMDI0LlVTRAEAAABf8gEAAgAAAAUxNyw4MQCgH06s60feCO3sOrbrR94IKENJUS5YUFJPLklRX0xBU1RTQUxFUFJJQ0UuMTUvMDIvMjAyNC5VU0QBAAAAX/IBAAIAAAAFMTgsNzQAoB9OrOtH3giuwDq260feCChDSVEuWFBSTy5JUV9MQVNUU0FMRVBSSUNFLjE2LzAyLzIwMjQuVVNEAQAAAF/yAQACAAAABTE5LDA5AKAfTqzrR94I7ew6tutH3ggoQ0lRLlhQUk8uSVFfTEFTVFNBTEVQUklDRS4wNS8wMi8yMDI0LlVTRAEAAABf8gEAAgAAAAUxNywxNACgH06s60feCO3sOrbrR94IKENJUS5YUFJPLklRX0xBU1RTQUxFUFJJQ0UuMTkvMDIvMjAyNC5VU0QBAAAAX/IBAAIAAAAFMTksMDkAoB9OrOtH3gjt7Dq260feCClDSVEuQUJURUMuSVFfTEFTVFNBTEVQUklDRS4wOC8wMi8yMDI0LlVTRAEAAACcBFoCAgAAAA0wLDQ3NDY1MjI1MTM2AKAfTqzrR94I7ew6tutH3ggpQ0lRLkFCVEVDLklRX0xBU1RTQUxFUFJJQ0UuMDcvMDIvMjAyNC5VU0QBAAAAnARaAgIAAAANMCw0Nzg2MzEzODA5MgCgH06s60feCEgXO7brR94IKUNJUS5B</t>
  </si>
  <si>
    <t>QlRFQy5JUV9MQVNUU0FMRVBSSUNFLjA2LzAyLzIwMjQuVVNEAQAAAJwEWgICAAAADTAsNDg1NjgxMzQxNTYAoB9OrOtH3ghIFzu260feCClDSVEuQUJURUMuSVFfTEFTVFNBTEVQUklDRS4wNS8wMi8yMDI0LlVTRAEAAACcBFoCAgAAAA0wLDQ5MjU3MTMxNjE2AKAfTqzrR94ISBc7tutH3ggpQ0lRLkFCVEVDLklRX0xBU1RTQUxFUFJJQ0UuMTAvMDIvMjAyNC5VU0QBAAAAnARaAgIAAAANMCw0NTkyNzg1NjMzNQCgH06s60feCO3sOrbrR94IKUNJUS5BQlRFQy5JUV9MQVNUU0FMRVBSSUNFLjExLzAyLzIwMjQuVVNEAQAAAJwEWgICAAAADTAsNDU5Mjc4NTYzMzUAoB9OrOtH3ghIFzu260feCClDSVEuQUJURUMuSVFfTEFTVFNBTEVQUklDRS4xMi8wMi8yMDI0LlVTRAEAAACcBFoCAgAAAA0wLDQ1NzgzOTI4MjQyAKAfTqzrR94ISBc7tutH3ggpQ0lRLkFCVEVDLklRX0xBU1RTQUxFUFJJQ0UuMTMvMDIvMjAyNC5VU0QBAAAAnARaAgIAAAANMCw0NTE5MTU3NDM0NgCgH06s60feCO3sOrbrR94IKUNJUS5BQlRFQy5JUV9MQVNUU0FMRVBSSUNFLjAyLzAyLzIwMjQuVVNEAQAAAJwEWgICAAAADTAsNTMyNzY0MDQ5ODQAoB9OrOtH3ghIFzu260feCClDSVEuQUJURUMuSVFfTEFTVFNBTEVQUklDRS4xNi8wMi8yMDI0LlVTRAEAAACcBFoCAgAAAA0wLDQzMzk3Njk2OTI4AKAfTqzrR94I7ew6tutH3ggnQ0lRLk5F</t>
  </si>
  <si>
    <t>WC5JUV9MQVNUU0FMRVBSSUNFLjA4LzAyLzIwMjQuVVNEAQAAADuxUgACAAAADjkxLDc2NTMzOTA5MTI1AKAfTqzrR94IqUE7tutH3ggnQ0lRLk5FWC5JUV9MQVNUU0FMRVBSSUNFLjA3LzAyLzIwMjQuVVNEAQAAADuxUgACAAAADjkxLDE4Nzg2MzE0ODI1AKAfTqzrR94IqUE7tutH3ggnQ0lRLk5FWC5JUV9MQVNUU0FMRVBSSUNFLjA2LzAyLzIwMjQuVVNEAQAAADuxUgACAAAADTkwLDQ4ODk4NDM4OTIAoB9OrOtH3ghIFzu260feCCdDSVEuTkVYLklRX0xBU1RTQUxFUFJJQ0UuMDUvMDIvMjAyNC5VU0QBAAAAO7FSAAIAAAAOODgsODY2MjQ0Nzk2MzUAoB9OrOtH3gipQTu260feCCdDSVEuTkVYLklRX0xBU1RTQUxFUFJJQ0UuMTAvMDIvMjAyNC5VU0QBAAAAO7FSAAIAAAAOOTcsMzE1MDc0NDEzMjUAoB9OrOtH3gipQTu260feCCdDSVEuTkVYLklRX0xBU1RTQUxFUFJJQ0UuMTEvMDIvMjAyNC5VU0QBAAAAO7FSAAIAAAAOOTcsMzE1MDc0NDEzMjUAoB9OrOtH3ggUbDu260feCCdDSVEuTkVYLklRX0xBU1RTQUxFUFJJQ0UuMTIvMDIvMjAyNC5VU0QBAAAAO7FSAAIAAAANOTQsNjM1MzU0OTYxNwCgH06s60feCKlBO7brR94IJ0NJUS5ORVguSVFfTEFTVFNBTEVQUklDRS4xMy8wMi8yMDI0LlVTRAEAAAA7sVIAAgAAAA05Myw2ODYzNTQzMzc0AKAfTqzrR94IqUE7tutH3ggnQ0lRLk5FWC5JUV9MQVNUU0FM</t>
  </si>
  <si>
    <t>RVBSSUNFLjAyLzAyLzIwMjQuVVNEAQAAADuxUgACAAAADTkwLDM3NDQ0Njk0NzUAoB9OrOtH3gipQTu260feCCdDSVEuTkVYLklRX0xBU1RTQUxFUFJJQ0UuMTYvMDIvMjAyNC5VU0QBAAAAO7FSAAIAAAAMOTksMTE2NTY5NzQ4AKAfTqzrR94IFGw7tutH3ggpQ0lRLlJBWSBCLklRX0xBU1RTQUxFUFJJQ0UuMDgvMDIvMjAyNC5VU0QBAAAAO/cLAAIAAAAMOCw0MzI2NTkyMjI1AKAfTqzrR94IFGw7tutH3ggpQ0lRLlJBWSBCLklRX0xBU1RTQUxFUFJJQ0UuMDcvMDIvMjAyNC5VU0QBAAAAO/cLAAIAAAALOCwzOTk5MTIyMjQAoB9OrOtH3ggUbDu260feCClDSVEuUkFZIEIuSVFfTEFTVFNBTEVQUklDRS4wNi8wMi8yMDI0LlVTRAEAAAA79wsAAgAAAAs4LDQxMjU2OTExNACgH06s60feCBRsO7brR94IKUNJUS5SQVkgQi5JUV9MQVNUU0FMRVBSSUNFLjA1LzAyLzIwMjQuVVNEAQAAADv3CwACAAAADDgsMzU2MTQ0OTEyOACgH06s60feCBRsO7brR94IKUNJUS5SQVkgQi5JUV9MQVNUU0FMRVBSSUNFLjEwLzAyLzIwMjQuVVNEAQAAADv3CwACAAAADDgsNDk1NjczMjkzMQCgH06s60feCBRsO7brR94IKUNJUS5SQVkgQi5JUV9MQVNUU0FMRVBSSUNFLjExLzAyLzIwMjQuVVNEAQAAADv3CwACAAAADDgsNDk1NjczMjkzMQCgH06s60feCBRsO7brR94IKUNJUS5SQVkgQi5JUV9MQVNUU0FMRVBSSUNFLjEyLzAy</t>
  </si>
  <si>
    <t>LzIwMjQuVVNEAQAAADv3CwACAAAADDgsNTkxMTIyOTg5NQCgH06s60feCBRsO7brR94IKUNJUS5SQVkgQi5JUV9MQVNUU0FMRVBSSUNFLjEzLzAyLzIwMjQuVVNEAQAAADv3CwACAAAADDgsNDY5MDQxMTkwNACgH06s60feCLOXO7brR94IKUNJUS5SQVkgQi5JUV9MQVNUU0FMRVBSSUNFLjAyLzAyLzIwMjQuVVNEAQAAADv3CwACAAAADDgsNDU3ODI0ODQ4NQCgH06s60feCLOXO7brR94IKUNJUS5SQVkgQi5JUV9MQVNUU0FMRVBSSUNFLjE2LzAyLzIwMjQuVVNEAQAAADv3CwACAAAADDgsOTQ0NTYwOTMxOACgH06s60feCLOXO7brR94IJ0NJUS5UTFYuSVFfTEFTVFNBTEVQUklDRS4wOC8wMi8yMDI0LlVTRAEAAACsSnsAAgAAABAzLDk0NDAzMzcyNDgxMjExAKAfTqzrR94IA8Q7tutH3ggnQ0lRLlRMVi5JUV9MQVNUU0FMRVBSSUNFLjA3LzAyLzIwMjQuVVNEAQAAAKxKewACAAAAEDMsOTQxODAzNDMwNTk5ODkAoB9OrOtH3ggDxDu260feCCdDSVEuVExWLklRX0xBU1RTQUxFUFJJQ0UuMDYvMDIvMjAyNC5VU0QBAAAArEp7AAIAAAAQMyw5MzYwOTk0NDMwNTA0NACgH06s60feCAPEO7brR94IJ0NJUS5UTFYuSVFfTEFTVFNBTEVQUklDRS4wNS8wMi8yMDI0LlVTRAEAAACsSnsAAgAAABAzLDkxNjg0NDY5ODUzNzQ4AKAfTqzrR94IA8Q7tutH3ggnQ0lRLlRMVi5JUV9MQVNUU0FMRVBSSUNFLjEwLzAyLzIw</t>
  </si>
  <si>
    <t>MjQuVVNEAQAAAKxKewACAAAAEDMsOTU0NzI3NTU4MDQyNjMAoB9OrOtH3gizlzu260feCCdDSVEuVExWLklRX0xBU1RTQUxFUFJJQ0UuMTEvMDIvMjAyNC5VU0QBAAAArEp7AAIAAAAQMyw5NTQ3Mjc1NTgwNDI2MwCgH06s60feCAPEO7brR94IJ0NJUS5UTFYuSVFfTEFTVFNBTEVQUklDRS4xMi8wMi8yMDI0LlVTRAEAAACsSnsAAgAAABAzLDk1ODkzMDc2MDA1Njg1AKAfTqzrR94IA8Q7tutH3ggnQ0lRLlRMVi5JUV9MQVNUU0FMRVBSSUNFLjEzLzAyLzIwMjQuVVNEAQAAAKxKewACAAAAEDMsOTM0MjA1ODc4NjcyNTQAoB9OrOtH3gizlzu260feCCdDSVEuVExWLklRX0xBU1RTQUxFUFJJQ0UuMDIvMDIvMjAyNC5VU0QBAAAArEp7AAIAAAAQMyw5MTM3MzE4NDI5MTI4MwCgH06s60feCAPEO7brR94IJ0NJUS5UTFYuSVFfTEFTVFNBTEVQUklDRS4xNi8wMi8yMDI0LlVTRAEAAACsSnsAAgAAAA40LDAxMTEyMTM4NTI3OQCgH06s60feCLOXO7brR94IMENJUS5MVUNFLklRX1RPVEFMX0FTU0VUUy4yMDAwLjAxLzAxLzIwMjQuLi5VU0QuSAEAAAAm/xwYAgAAAAkyMjUsMTk5OTgBCAAAAAUAAAABMQEAAAALLTE5NTM2NjY5MDMDAAAAAzE2MAIAAAAEMTAwNwQAAAABMAcAAAAIMS8xLzIwMjQIAAAACjEyLzMxLzIwMjMJAAAAATCgH06s60feCEf5LLbrR94ILkNJUS5MVUNFLklRX0NBU0hfRVFVSVYuMjAwMC4w</t>
  </si>
  <si>
    <t>MS8wMS8yMDI0Li4uVVNELkgBAAAAJv8cGAIAAAAINSw4NTkyNzUBCAAAAAUAAAABMQEAAAALLTE5NTM2NjY5MDMDAAAAAzE2MAIAAAAEMTA5NgQAAAABMAcAAAAIMS8xLzIwMjQIAAAACjEyLzMxLzIwMjMJAAAAATCgH06s60feCEf5LLbrR94ILENJUS5MVUNFLklRX05FVF9ERUJULjIwMDAuMDEvMDEvMjAyNC4uLlVTRC5IAQAAACb/HBgCAAAACTI5LDA0MTYyNgEIAAAABQAAAAExAQAAAAstMTk1MzY2NjkwMwMAAAADMTYwAgAAAAQ0MzY0BAAAAAEwBwAAAAgxLzEvMjAyNAgAAAAKMTIvMzEvMjAyMwkAAAABMKAfTqzrR94IR/kstutH3ggpQ0lRLkFDRi5JUV9FQklUREEuMjAwMC4wMS8wMS8yMDI0Li4uVVNELkgBAAAAA++vAgIAAAAJMjgsODE3ODM5AQgAAAAFAAAAATEBAAAACy0xOTU3NDU4NTU1AwAAAAMxNjACAAAABDQwNTEEAAAAATAHAAAACDEvMS8yMDI0CAAAAAoxMi8zMS8yMDIzCQAAAAEwoB9OrOtH3ghH+Sy260feCDBDSVEuQUNGLklRX0VCSVREQV9NQVJHSU4uMjAwMC4wMS8wMS8yMDI0Li4uVVNELkgBAAAAA++vAgIAAAAHMjUsMDU4NQEIAAAABQAAAAExAQAAAAstMTk1NzQ1ODU1NQMAAAABOQIAAAAENDA0NwQAAAABMAcAAAAIMS8xLzIwMjQIAAAACjEyLzMxLzIwMjMJAAAAATCgH06s60feCPBtLbbrR94IL0NJUS5BQ0YuSVFfVE9UQUxfQVNTRVRTLjIwMDAuMDEvMDEvMjAyNC4uLlVT</t>
  </si>
  <si>
    <t>RC5IAQAAAAPvrwICAAAACjE4OSw5Njk1OTMBCAAAAAUAAAABMQEAAAALLTE5NTc0NTg1NTUDAAAAAzE2MAIAAAAEMTAwNwQAAAABMAcAAAAIMS8xLzIwMjQIAAAACjEyLzMxLzIwMjMJAAAAATCgH06s60feCPBtLbbrR94ILUNJUS5BQ0YuSVFfQ0FTSF9FUVVJVi4yMDAwLjAxLzAxLzIwMjQuLi5VU0QuSAEAAAAD768CAgAAAAg0LDU2NjQ3OQEIAAAABQAAAAExAQAAAAstMTk1NzQ1ODU1NQMAAAADMTYwAgAAAAQxMDk2BAAAAAEwBwAAAAgxLzEvMjAyNAgAAAAKMTIvMzEvMjAyMwkAAAABMKAfTqzrR94IhDcttutH3ggrQ0lRLkFDRi5JUV9ORVRfREVCVC4yMDAwLjAxLzAxLzIwMjQuLi5VU0QuSAEAAAAD768CAgAAAAg2NSwzMzYyNQEIAAAABQAAAAExAQAAAAstMTk1NzQ1ODU1NQMAAAADMTYwAgAAAAQ0MzY0BAAAAAEwBwAAAAgxLzEvMjAyNAgAAAAKMTIvMzEvMjAyMwkAAAABMKAfTqzrR94IhDcttutH3ggpQ0lRLlNHTi5JUV9FQklUREEuMjAwMC4wMS8wMS8yMDI0Li4uVVNELkgBAAAA1KEuaQIAAAAJLTQsNzMyNDI4AQgAAAAFAAAAATEBAAAACy0xOTUxNTY4NzE2AwAAAAMxNjACAAAABDQwNTEEAAAAATAHAAAACDEvMS8yMDI0CAAAAAoxMi8zMS8yMDIzCQAAAAEwoB9OrOtH3ghSqi2260feCDBDSVEuU0dOLklRX0VCSVREQV9NQVJHSU4uMjAwMC4wMS8wMS8yMDI0Li4uVVNELkgBAAAA1KEuaQMA</t>
  </si>
  <si>
    <t>AAACTk0BCAAAAAUAAAABMQEAAAALLTE5NTE1Njg3MTYDAAAAAzE2MAIAAAAENDA0NwQAAAABMAcAAAAIMS8xLzIwMjQIAAAACjEyLzMxLzIwMjMJAAAAATCgH06s60feCFKqLbbrR94IL0NJUS5TR04uSVFfVE9UQUxfQVNTRVRTLjIwMDAuMDEvMDEvMjAyNC4uLlVTRC5IAQAAANShLmkCAAAACDQsNzA0NjExAQgAAAAFAAAAATEBAAAACy0xOTUxNTY4NzE2AwAAAAMxNjACAAAABDEwMDcEAAAAATAHAAAACDEvMS8yMDI0CAAAAAoxMi8zMS8yMDIzCQAAAAEwoB9OrOtH3ghSqi2260feCC1DSVEuU0dOLklRX0NBU0hfRVFVSVYuMjAwMC4wMS8wMS8yMDI0Li4uVVNELkgBAAAA1KEuaQIAAAAIMSwxMjM1MjkBCAAAAAUAAAABMQEAAAALLTE5NTE1Njg3MTYDAAAAAzE2MAIAAAAEMTA5NgQAAAABMAcAAAAIMS8xLzIwMjQIAAAACjEyLzMxLzIwMjMJAAAAATCgH06s60feCFKqLbbrR94IK0NJUS5TR04uSVFfTkVUX0RFQlQuMjAwMC4wMS8wMS8yMDI0Li4uVVNELkgBAAAA1KEuaQIAAAAJLTEsNDYwODI0AQgAAAAFAAAAATEBAAAACy0xOTUxNTY4NzE2AwAAAAMxNjACAAAABDQzNjQEAAAAATAHAAAACDEvMS8yMDI0CAAAAAoxMi8zMS8yMDIzCQAAAAEwoB9OrOtH3gjW6S2260feCCpDSVEuRUNNQi5JUV9FQklUREEuMjAwMC4wMS8wMS8yMDI0Li4uVVNELkgBAAAA4qblDAIAAAAIMSw3Mzk1OTQBCAAAAAUAAAAB</t>
  </si>
  <si>
    <t>MQEAAAALLTE5NTMxNDc2MDcDAAAAAzE2MAIAAAAENDA1MQQAAAABMAcAAAAIMS8xLzIwMjQIAAAACjEyLzMxLzIwMjMJAAAAATCgH06s60feCNbpLbbrR94IMUNJUS5FQ01CLklRX0VCSVREQV9NQVJHSU4uMjAwMC4wMS8wMS8yMDI0Li4uVVNELkgBAAAA4qblDAIAAAAHMTAsMTkwNgEIAAAABQAAAAExAQAAAAstMTk1MzE0NzYwNwMAAAACNTACAAAABDQwNDcEAAAAATAHAAAACDEvMS8yMDI0CAAAAAoxMi8zMS8yMDIzCQAAAAEwoB9OrOtH3gjW6S2260feCDBDSVEuRUNNQi5JUV9UT1RBTF9BU1NFVFMuMjAwMC4wMS8wMS8yMDI0Li4uVVNELkgBAAAA4qblDAIAAAAJMjcsMDExNTA3AQgAAAAFAAAAATEBAAAACy0xOTUzMTQ3NjA3AwAAAAMxNjACAAAABDEwMDcEAAAAATAHAAAACDEvMS8yMDI0CAAAAAoxMi8zMS8yMDIzCQAAAAEwoB9OrOtH3gjW6S2260feCC5DSVEuRUNNQi5JUV9DQVNIX0VRVUlWLjIwMDAuMDEvMDEvMjAyNC4uLlVTRC5IAQAAAOKm5QwCAAAACDgsMjYzNDk3AQgAAAAFAAAAATEBAAAACy0xOTUzMTQ3NjA3AwAAAAMxNjACAAAABDEwOTYEAAAAATAHAAAACDEvMS8yMDI0CAAAAAoxMi8zMS8yMDIzCQAAAAEwoB9OrOtH3ghUKy6260feCCxDSVEuRUNNQi5JUV9ORVRfREVCVC4yMDAwLjAxLzAxLzIwMjQuLi5VU0QuSAEAAADipuUMAgAAAAktNiwzODM5MTEBCAAAAAUAAAABMQEAAAAL</t>
  </si>
  <si>
    <t>LTE5NTMxNDc2MDcDAAAAAzE2MAIAAAAENDM2NAQAAAABMAcAAAAIMS8xLzIwMjQIAAAACjEyLzMxLzIwMjMJAAAAATCgH06s60feCFQrLrbrR94IKkNJUS5OWUFCLklRX0VCSVREQS4yMDAwLjAxLzAxLzIwMjQuLi5VU0QuSAEAAADtIP4CAgAAAAkxOCwzNzQwNDcBCAAAAAUAAAABMQEAAAALLTE5NTUzNjI1MTkDAAAAAzE2MAIAAAAENDA1MQQAAAABMAcAAAAIMS8xLzIwMjQIAAAACjEyLzMxLzIwMjMJAAAAATCgH06s60feCFQrLrbrR94IMUNJUS5OWUFCLklRX0VCSVREQV9NQVJHSU4uMjAwMC4wMS8wMS8yMDI0Li4uVVNELkgBAAAA7SD+AgIAAAAGNSw5Mjc5AQgAAAAFAAAAATEBAAAACy0xOTU1MzYyNTE5AwAAAAI1MAIAAAAENDA0NwQAAAABMAcAAAAIMS8xLzIwMjQIAAAACjEyLzMxLzIwMjMJAAAAATCgH06s60feCNdrLrbrR94IMENJUS5OWUFCLklRX1RPVEFMX0FTU0VUUy4yMDAwLjAxLzAxLzIwMjQuLi5VU0QuSAEAAADtIP4CAgAAAAoyOTQsMTE3Mzg3AQgAAAAFAAAAATEBAAAACy0xOTU1MzYyNTE5AwAAAAMxNjACAAAABDEwMDcEAAAAATAHAAAACDEvMS8yMDI0CAAAAAoxMi8zMS8yMDIzCQAAAAEwoB9OrOtH3gjXay6260feCC5DSVEuTllBQi5JUV9DQVNIX0VRVUlWLjIwMDAuMDEvMDEvMjAyNC4uLlVTRC5IAQAAAO0g/gICAAAACTI1LDAyOTI5MQEIAAAABQAAAAExAQAAAAstMTk1NTM2</t>
  </si>
  <si>
    <t>MjUxOQMAAAADMTYwAgAAAAQxMDk2BAAAAAEwBwAAAAgxLzEvMjAyNAgAAAAKMTIvMzEvMjAyMwkAAAABMKAfTqzrR94IVCsututH3ggsQ0lRLk5ZQUIuSVFfTkVUX0RFQlQuMjAwMC4wMS8wMS8yMDI0Li4uVVNELkgBAAAA7SD+AgIAAAAJLTYsMjIzMDU3AQgAAAAFAAAAATEBAAAACy0xOTU1MzYyNTE5AwAAAAMxNjACAAAABDQzNjQEAAAAATAHAAAACDEvMS8yMDI0CAAAAAoxMi8zMS8yMDIzCQAAAAEwoB9OrOtH3gjXay6260feCClDSVEuRUdZLklRX0VCSVREQS4yMDAwLjAxLzAxLzIwMjQuLi5VU0QuSAEAAAB0WwYAAgAAAAcyNzQsMTkxAQgAAAAFAAAAATEBAAAACy0xOTU1NDYyOTcxAwAAAAMxNjACAAAABDQwNTEEAAAAATAHAAAACDEvMS8yMDI0CAAAAAoxMi8zMS8yMDIzCQAAAAEwoB9OrOtH3gj1qC6260feCDBDSVEuRUdZLklRX0VCSVREQV9NQVJHSU4uMjAwMC4wMS8wMS8yMDI0Li4uVVNELkgBAAAAdFsGAAIAAAAGNjAsMjUzAQgAAAAFAAAAATEBAAAACy0xOTU1NDYyOTcxAwAAAAMxNjACAAAABDQwNDcEAAAAATAHAAAACDEvMS8yMDI0CAAAAAoxMi8zMS8yMDIzCQAAAAEwoB9OrOtH3gj1qC6260feCC9DSVEuRUdZLklRX1RPVEFMX0FTU0VUUy4yMDAwLjAxLzAxLzIwMjQuLi5VU0QuSAEAAAB0WwYAAgAAAAc4MjMsMjE2AQgAAAAFAAAAATEBAAAACy0xOTU1NDYyOTcxAwAAAAMxNjACAAAA</t>
  </si>
  <si>
    <t>BDEwMDcEAAAAATAHAAAACDEvMS8yMDI0CAAAAAoxMi8zMS8yMDIzCQAAAAEwoB9OrOtH3gj1qC6260feCC1DSVEuRUdZLklRX0NBU0hfRVFVSVYuMjAwMC4wMS8wMS8yMDI0Li4uVVNELkgBAAAAdFsGAAIAAAAHMTIxLDAwMQEIAAAABQAAAAExAQAAAAstMTk1NTQ2Mjk3MQMAAAADMTYwAgAAAAQxMDk2BAAAAAEwBwAAAAgxLzEvMjAyNAgAAAAKMTIvMzEvMjAyMwkAAAABMKAfTqzrR94I9agututH3ggrQ0lRLkVHWS5JUV9ORVRfREVCVC4yMDAwLjAxLzAxLzIwMjQuLi5VU0QuSAEAAAB0WwYAAgAAAAUtMzAsMgEIAAAABQAAAAExAQAAAAstMTk1NTQ2Mjk3MQMAAAADMTYwAgAAAAQ0MzY0BAAAAAEwBwAAAAgxLzEvMjAyNAgAAAAKMTIvMzEvMjAyMwkAAAABMKAfTqzrR94I9agututH3ggpQ0lRLkdYTy5JUV9FQklUREEuMjAwMC4wMS8wMS8yMDI0Li4uVVNELkgBAAAAOLSRKQIAAAADNzUzAQgAAAAFAAAAATEBAAAACy0xOTU5MjIyNzExAwAAAAMxNjACAAAABDQwNTEEAAAAATAHAAAACDEvMS8yMDI0CAAAAAoxMi8zMS8yMDIzCQAAAAEwoB9OrOtH3gg87i6260feCDBDSVEuR1hPLklRX0VCSVREQV9NQVJHSU4uMjAwMC4wMS8wMS8yMDI0Li4uVVNELkgBAAAAOLSRKQIAAAAGNyw3MDA5AQgAAAAFAAAAATEBAAAACy0xOTU5MjIyNzExAwAAAAMxNjACAAAABDQwNDcEAAAAATAHAAAACDEvMS8yMDI0CAAA</t>
  </si>
  <si>
    <t>AAoxMi8zMS8yMDIzCQAAAAEwoB9OrOtH3gg87i6260feCC9DSVEuR1hPLklRX1RPVEFMX0FTU0VUUy4yMDAwLjAxLzAxLzIwMjQuLi5VU0QuSAEAAAA4tJEpAgAAAAQ5NTA3AQgAAAAFAAAAATEBAAAACy0xOTU5MjIyNzExAwAAAAMxNjACAAAABDEwMDcEAAAAATAHAAAACDEvMS8yMDI0CAAAAAoxMi8zMS8yMDIzCQAAAAEwoB9OrOtH3gg87i6260feCC1DSVEuR1hPLklRX0NBU0hfRVFVSVYuMjAwMC4wMS8wMS8yMDI0Li4uVVNELkgBAAAAOLSRKQIAAAADNDY4AQgAAAAFAAAAATEBAAAACy0xOTU5MjIyNzExAwAAAAMxNjACAAAABDEwOTYEAAAAATAHAAAACDEvMS8yMDI0CAAAAAoxMi8zMS8yMDIzCQAAAAEwoB9OrOtH3gg87i6260feCCtDSVEuR1hPLklRX05FVF9ERUJULjIwMDAuMDEvMDEvMjAyNC4uLlVTRC5IAQAAADi0kSkCAAAABDM2MTYBCAAAAAUAAAABMQEAAAALLTE5NTkyMjI3MTEDAAAAAzE2MAIAAAAENDM2NAQAAAABMAcAAAAIMS8xLzIwMjQIAAAACjEyLzMxLzIwMjMJAAAAATCgH06s60feCDzuLrbrR94IL0NJUS5UUkVTVEFURVMuSVFfRUJJVERBLjIwMDAuMDEvMDEvMjAyNC4uLlVTRC5IAQAAAE9bC2kCAAAACTE4LDY4Njg1OAEIAAAABQAAAAExAQAAAAstMTk1Mjg0MTY5MgMAAAADMTYwAgAAAAQ0MDUxBAAAAAEwBwAAAAgxLzEvMjAyNAgAAAAKMTIvMzEvMjAyMwkAAAABMKAfTqzr</t>
  </si>
  <si>
    <t>R94IPO4ututH3gg2Q0lRLlRSRVNUQVRFUy5JUV9FQklUREFfTUFSR0lOLjIwMDAuMDEvMDEvMjAyNC4uLlVTRC5IAQAAAE9bC2kCAAAABzYyLDk5NTEBCAAAAAUAAAABMQEAAAALLTE5NTI4NDE2OTIDAAAAAjUwAgAAAAQ0MDQ3BAAAAAEwBwAAAAgxLzEvMjAyNAgAAAAKMTIvMzEvMjAyMwkAAAABMKAfTqzrR94Iiy0vtutH3gg1Q0lRLlRSRVNUQVRFUy5JUV9UT1RBTF9BU1NFVFMuMjAwMC4wMS8wMS8yMDI0Li4uVVNELkgBAAAAT1sLaQIAAAAKNjAxLDExNzQ5NwEIAAAABQAAAAExAQAAAAstMTk1Mjg0MTY5MgMAAAADMTYwAgAAAAQxMDA3BAAAAAEwBwAAAAgxLzEvMjAyNAgAAAAKMTIvMzEvMjAyMwkAAAABMKAfTqzrR94Iiy0vtutH3ggzQ0lRLlRSRVNUQVRFUy5JUV9DQVNIX0VRVUlWLjIwMDAuMDEvMDEvMjAyNC4uLlVTRC5IAQAAAE9bC2kCAAAACTIxLDA4OTg2NAEIAAAABQAAAAExAQAAAAstMTk1Mjg0MTY5MgMAAAADMTYwAgAAAAQxMDk2BAAAAAEwBwAAAAgxLzEvMjAyNAgAAAAKMTIvMzEvMjAyMwkAAAABMK1GTqzrR94Iiy0vtutH3ggxQ0lRLlRSRVNUQVRFUy5JUV9ORVRfREVCVC4yMDAwLjAxLzAxLzIwMjQuLi5VU0QuSAEAAABPWwtpAgAAAAoyMzQsOTE1NDQyAQgAAAAFAAAAATEBAAAACy0xOTUyODQxNjkyAwAAAAMxNjACAAAABDQzNjQEAAAAATAHAAAACDEvMS8yMDI0CAAAAAoxMi8z</t>
  </si>
  <si>
    <t>MS8yMDIzCQAAAAEwrUZOrOtH3giLLS+260feCClDSVEuS1dSLklRX0VCSVREQS4yMDAwLjAxLzAxLzIwMjQuLi5VU0QuSAEAAABbjwQAAgAAAAczMDIsMDM3AQgAAAAFAAAAATEBAAAACy0xOTU4NTUxNDcwAwAAAAMxNjACAAAABDQwNTEEAAAAATAHAAAACDEvMS8yMDI0CAAAAAoxMi8zMS8yMDIzCQAAAAEwrUZOrOtH3ghtbC+260feCDBDSVEuS1dSLklRX0VCSVREQV9NQVJHSU4uMjAwMC4wMS8wMS8yMDI0Li4uVVNELkgBAAAAW48EAAIAAAAHMTUsNDYyOAEIAAAABQAAAAExAQAAAAstMTk1ODU1MTQ3MAMAAAADMTYwAgAAAAQ0MDQ3BAAAAAEwBwAAAAgxLzEvMjAyNAgAAAAKMTIvMzEvMjAyMwkAAAABMK1GTqzrR94IbWwvtutH3ggvQ0lRLktXUi5JUV9UT1RBTF9BU1NFVFMuMjAwMC4wMS8wMS8yMDI0Li4uVVNELkgBAAAAW48EAAIAAAAIMjcxNCwyMTEBCAAAAAUAAAABMQEAAAALLTE5NTg1NTE0NzADAAAAAzE2MAIAAAAEMTAwNwQAAAABMAcAAAAIMS8xLzIwMjQIAAAACjEyLzMxLzIwMjMJAAAAATCtRk6s60feCG1sL7brR94ILUNJUS5LV1IuSVFfQ0FTSF9FUVVJVi4yMDAwLjAxLzAxLzIwMjQuLi5VU0QuSAEAAABbjwQAAgAAAAcxOTQsNTI3AQgAAAAFAAAAATEBAAAACy0xOTU4NTUxNDcwAwAAAAMxNjACAAAABDEwOTYEAAAAATAHAAAACDEvMS8yMDI0CAAAAAoxMi8zMS8yMDIzCQAAAAEwrUZO</t>
  </si>
  <si>
    <t>rOtH3ghtbC+260feCCtDSVEuS1dSLklRX05FVF9ERUJULjIwMDAuMDEvMDEvMjAyNC4uLlVTRC5IAQAAAFuPBAACAAAABzU5NCw2MDEBCAAAAAUAAAABMQEAAAALLTE5NTg1NTE0NzADAAAAAzE2MAIAAAAENDM2NAQAAAABMAcAAAAIMS8xLzIwMjQIAAAACjEyLzMxLzIwMjMJAAAAATCtRk6s60feCG1sL7brR94IKUNJUS5QT1cuSVFfRUJJVERBLjIwMDAuMDEvMDEvMjAyNC4uLlVTRC5IAQAAAPeNfQgCAAAACS00LDY3MzQwOQEIAAAABQAAAAExAQAAAAstMTk4ODYwMTc4OQMAAAADMTYwAgAAAAQ0MDUxBAAAAAEwBwAAAAgxLzEvMjAyNAgAAAAKMTIvMzEvMjAyMwkAAAABMK1GTqzrR94IbWwvtutH3ggwQ0lRLlBPVy5JUV9FQklUREFfTUFSR0lOLjIwMDAuMDEvMDEvMjAyNC4uLlVTRC5IAQAAAPeNfQgDAAAAAk5NAQgAAAAFAAAAATEBAAAACy0xOTg4NjAxNzg5AwAAAAI1NQIAAAAENDA0NwQAAAABMAcAAAAIMS8xLzIwMjQIAAAACjEyLzMxLzIwMjMJAAAAATCtRk6s60feCG1sL7brR94IL0NJUS5QT1cuSVFfVE9UQUxfQVNTRVRTLjIwMDAuMDEvMDEvMjAyNC4uLlVTRC5IAQAAAPeNfQgCAAAACTIwLDY1MjY3MgEIAAAABQAAAAExAQAAAAstMTk4ODYwMTc4OQMAAAADMTYwAgAAAAQxMDA3BAAAAAEwBwAAAAgxLzEvMjAyNAgAAAAKMTIvMzEvMjAyMwkAAAABMK1GTqzrR94IwKsvtutH3ggtQ0lRLlBP</t>
  </si>
  <si>
    <t>Vy5JUV9DQVNIX0VRVUlWLjIwMDAuMDEvMDEvMjAyNC4uLlVTRC5IAQAAAPeNfQgCAAAACDAsNTc5NTU5AQgAAAAFAAAAATEBAAAACy0xOTg4NjAxNzg5AwAAAAMxNjACAAAABDEwOTYEAAAAATAHAAAACDEvMS8yMDI0CAAAAAoxMi8zMS8yMDIzCQAAAAEwrUZOrOtH3gggvi+260feCCtDSVEuUE9XLklRX05FVF9ERUJULjIwMDAuMDEvMDEvMjAyNC4uLlVTRC5IAQAAAPeNfQgCAAAACi0xMCw0MDI3NjIBCAAAAAUAAAABMQEAAAALLTE5ODg2MDE3ODkDAAAAAzE2MAIAAAAENDM2NAQAAAABMAcAAAAIMS8xLzIwMjQIAAAACjEyLzMxLzIwMjMJAAAAATCtRk6s60feCCC+L7brR94ILENJUS5ERVZQIEIuSVFfRUJJVERBLjIwMDAuMDEvMDEvMjAyNC4uLlVTRC5IAQAAAOWgVg0CAAAABjQsNDEwOAEIAAAABQAAAAExAQAAAAstMTk0NjM3Mjg1NAMAAAADMTYwAgAAAAQ0MDUxBAAAAAEwBwAAAAgxLzEvMjAyNAgAAAAKMTIvMzEvMjAyMwkAAAABMK1GTqzrR94IIL4vtutH3ggzQ0lRLkRFVlAgQi5JUV9FQklUREFfTUFSR0lOLjIwMDAuMDEvMDEvMjAyNC4uLlVTRC5IAQAAAOWgVg0CAAAABjgsMDU4OAEIAAAABQAAAAExAQAAAAstMTk0NjM3Mjg1NAMAAAADMTM3AgAAAAQ0MDQ3BAAAAAEwBwAAAAgxLzEvMjAyNAgAAAAKMTIvMzEvMjAyMwkAAAABMK1GTqzrR94IASEwtutH3ggyQ0lRLkRFVlAgQi5JUV9UT1RB</t>
  </si>
  <si>
    <t>TF9BU1NFVFMuMjAwMC4wMS8wMS8yMDI0Li4uVVNELkgBAAAA5aBWDQIAAAAJMjgsMTg0MjUyAQgAAAAFAAAAATEBAAAACy0xOTQ2MzcyODU0AwAAAAMxNjACAAAABDEwMDcEAAAAATAHAAAACDEvMS8yMDI0CAAAAAoxMi8zMS8yMDIzCQAAAAEwrUZOrOtH3ggBITC260feCDBDSVEuREVWUCBCLklRX0NBU0hfRVFVSVYuMjAwMC4wMS8wMS8yMDI0Li4uVVNELkgBAAAA5aBWDQIAAAAINCwxNjI2MDYBCAAAAAUAAAABMQEAAAALLTE5NDYzNzI4NTQDAAAAAzE2MAIAAAAEMTA5NgQAAAABMAcAAAAIMS8xLzIwMjQIAAAACjEyLzMxLzIwMjMJAAAAATCtRk6s60feCGvlL7brR94ILkNJUS5ERVZQIEIuSVFfTkVUX0RFQlQuMjAwMC4wMS8wMS8yMDI0Li4uVVNELkgBAAAA5aBWDQIAAAAJLTIsNzU1MjgzAQgAAAAFAAAAATEBAAAACy0xOTQ2MzcyODU0AwAAAAMxNjACAAAABDQzNjQEAAAAATAHAAAACDEvMS8yMDI0CAAAAAoxMi8zMS8yMDIzCQAAAAEwrUZOrOtH3ghr5S+260feCCpDSVEuQ0lDTi5JUV9FQklUREEuMjAwMC4wMS8wMS8yMDI0Li4uVVNELkgBAAAANUcFAAIAAAAGLTEsMzc0AQgAAAAFAAAAATEBAAAACjIwNTAzNzc0MDQDAAAAAzE2MAIAAAAENDA1MQQAAAABMAcAAAAIMS8xLzIwMjQIAAAACTYvMzAvMjAyMAkAAAABMK7C5azrR94IASEwtutH3ggxQ0lRLkNJQ04uSVFfRUJJVERBX01BUkdJTi4y</t>
  </si>
  <si>
    <t>MDAwLjAxLzAxLzIwMjQuLi5VU0QuSAEAAAA1RwUAAgAAAAktMTA1LDY5MjMBCAAAAAUAAAABMQEAAAAKMjA1MDM3NzQwNAMAAAADMTYwAgAAAAQ0MDQ3BAAAAAEwBwAAAAgxLzEvMjAyNAgAAAAJNi8zMC8yMDIwCQAAAAEwvenlrOtH3ggBITC260feCDBDSVEuQ0lDTi5JUV9UT1RBTF9BU1NFVFMuMjAwMC4wMS8wMS8yMDI0Li4uVVNELkgBAAAANUcFAAIAAAAFMCwzODEBCAAAAAUAAAABMQEAAAAKMjA1MDM3NzQwNAMAAAADMTYwAgAAAAQxMDA3BAAAAAEwBwAAAAgxLzEvMjAyNAgAAAAJNi8zMC8yMDIwCQAAAAEwvenlrOtH3ggnYDC260feCC5DSVEuQ0lDTi5JUV9DQVNIX0VRVUlWLjIwMDAuMDEvMDEvMjAyNC4uLlVTRC5IAQAAADVHBQACAAAABTAsMDQ1AQgAAAAFAAAAATEBAAAACjIwNTAzNzc0MDQDAAAAAzE2MAIAAAAEMTA5NgQAAAABMAcAAAAIMS8xLzIwMjQIAAAACTYvMzAvMjAyMAkAAAABML3p5azrR94IJ2AwtutH3ggsQ0lRLkNJQ04uSVFfTkVUX0RFQlQuMjAwMC4wMS8wMS8yMDI0Li4uVVNELkgBAAAANUcFAAIAAAAFMywyOTQBCAAAAAUAAAABMQEAAAAKMjA1MDM3NzQwNAMAAAADMTYwAgAAAAQ0MzY0BAAAAAEwBwAAAAgxLzEvMjAyNAgAAAAJNi8zMC8yMDIwCQAAAAEwvenlrOtH3ggnYDC260feCCpDSVEuVlJMQS5JUV9FQklUREEuMjAwMC4wMS8wMS8yMDI0Li4uVVNELkgBAAAAKHX/</t>
  </si>
  <si>
    <t>JAIAAAALMTI3OSw3NjEyNDYBCAAAAAUAAAABMQEAAAALLTE5NTg3OTg5NzEDAAAAAzE2MAIAAAAENDA1MQQAAAABMAcAAAAIMS8xLzIwMjQIAAAACjEyLzMxLzIwMjMJAAAAATCtRk6s60feCCdgMLbrR94IMUNJUS5WUkxBLklRX0VCSVREQV9NQVJHSU4uMjAwMC4wMS8wMS8yMDI0Li4uVVNELkgBAAAAKHX/JAIAAAAHMjksNjU4MgEIAAAABQAAAAExAQAAAAstMTk1ODc5ODk3MQMAAAACNTACAAAABDQwNDcEAAAAATAHAAAACDEvMS8yMDI0CAAAAAoxMi8zMS8yMDIzCQAAAAEwrUZOrOtH3gjynjC260feCDBDSVEuVlJMQS5JUV9UT1RBTF9BU1NFVFMuMjAwMC4wMS8wMS8yMDI0Li4uVVNELkgBAAAAKHX/JAIAAAALNDkzMCwxNDI1ODcBCAAAAAUAAAABMQEAAAALLTE5NTg3OTg5NzEDAAAAAzE2MAIAAAAEMTAwNwQAAAABMAcAAAAIMS8xLzIwMjQIAAAACjEyLzMxLzIwMjMJAAAAATCtRk6s60feCPKeMLbrR94ILkNJUS5WUkxBLklRX0NBU0hfRVFVSVYuMjAwMC4wMS8wMS8yMDI0Li4uVVNELkgBAAAAKHX/JAIAAAAKNTI0LDU5Mzc4OAEIAAAABQAAAAExAQAAAAstMTk1ODc5ODk3MQMAAAADMTYwAgAAAAQxMDk2BAAAAAEwBwAAAAgxLzEvMjAyNAgAAAAKMTIvMzEvMjAyMwkAAAABMK1GTqzrR94I8p4wtutH3ggsQ0lRLlZSTEEuSVFfTkVUX0RFQlQuMjAwMC4wMS8wMS8yMDI0Li4uVVNELkgBAAAAKHX/</t>
  </si>
  <si>
    <t>JAIAAAALMTUzMSwwMDQ3NTIBCAAAAAUAAAABMQEAAAALLTE5NTg3OTg5NzEDAAAAAzE2MAIAAAAENDM2NAQAAAABMAcAAAAIMS8xLzIwMjQIAAAACjEyLzMxLzIwMjMJAAAAATCtRk6s60feCPKeMLbrR94IKkNJUS5JUklTLklRX0VCSVREQS4yMDAwLjAxLzAxLzIwMjQuLi5VU0QuSAEAAACjelgCAgAAAAktOSw1NjI2OTkBCAAAAAUAAAABMQEAAAALLTE5Mzg3MDQzNjMDAAAAAzE2MAIAAAAENDA1MQQAAAABMAcAAAAIMS8xLzIwMjQIAAAACjEyLzMxLzIwMjMJAAAAATCtRk6s60feCERcMbbrR94IMUNJUS5JUklTLklRX0VCSVREQV9NQVJHSU4uMjAwMC4wMS8wMS8yMDI0Li4uVVNELkgBAAAAo3pYAgIAAAAILTY1LDk5MjEBCAAAAAUAAAABMQEAAAALLTE5Mzg3MDQzNjMDAAAAAzEzNwIAAAAENDA0NwQAAAABMAcAAAAIMS8xLzIwMjQIAAAACjEyLzMxLzIwMjMJAAAAATCtRk6s60feCERcMbbrR94IMENJUS5JUklTLklRX1RPVEFMX0FTU0VUUy4yMDAwLjAxLzAxLzIwMjQuLi5VU0QuSAEAAACjelgCAgAAAAk3NSw1OTA1NTMBCAAAAAUAAAABMQEAAAALLTE5Mzg3MDQzNjMDAAAAAzE2MAIAAAAEMTAwNwQAAAABMAcAAAAIMS8xLzIwMjQIAAAACjEyLzMxLzIwMjMJAAAAATCtRk6s60feCERcMbbrR94ILkNJUS5JUklTLklRX0NBU0hfRVFVSVYuMjAwMC4wMS8wMS8yMDI0Li4uVVNELkgBAAAAo3pYAgIA</t>
  </si>
  <si>
    <t>AAAIMSwzNTY2MTEBCAAAAAUAAAABMQEAAAALLTE5Mzg3MDQzNjMDAAAAAzE2MAIAAAAEMTA5NgQAAAABMAcAAAAIMS8xLzIwMjQIAAAACjEyLzMxLzIwMjMJAAAAATCtRk6s60feCERcMbbrR94ILENJUS5JUklTLklRX05FVF9ERUJULjIwMDAuMDEvMDEvMjAyNC4uLlVTRC5IAQAAAKN6WAICAAAABzAsOTU4MDcBCAAAAAUAAAABMQEAAAALLTE5Mzg3MDQzNjMDAAAAAzE2MAIAAAAENDM2NAQAAAABMAcAAAAIMS8xLzIwMjQIAAAACjEyLzMxLzIwMjMJAAAAATCtRk6s60feCD6bMbbrR94IKUNJUS5DUFIuSVFfRUJJVERBLjIwMDAuMDEvMDEvMjAyNC4uLlVTRC5IAQAAAGgRAgACAAAACTc1NCwwNjIxMgEIAAAABQAAAAExAQAAAAstMTk1NjczMTQ1NwMAAAADMTYwAgAAAAQ0MDUxBAAAAAEwBwAAAAgxLzEvMjAyNAgAAAAKMTIvMzEvMjAyMwkAAAABMK1GTqzrR94IPpsxtutH3ggwQ0lRLkNQUi5JUV9FQklUREFfTUFSR0lOLjIwMDAuMDEvMDEvMjAyNC4uLlVTRC5IAQAAAGgRAgACAAAABzIzLDM3NDIBCAAAAAUAAAABMQEAAAALLTE5NTY3MzE0NTcDAAAAAjUwAgAAAAQ0MDQ3BAAAAAEwBwAAAAgxLzEvMjAyNAgAAAAKMTIvMzEvMjAyMwkAAAABMK1GTqzrR94IPpsxtutH3ggvQ0lRLkNQUi5JUV9UT1RBTF9BU1NFVFMuMjAwMC4wMS8wMS8yMDI0Li4uVVNELkgBAAAAaBECAAIAAAAJNzM3OCw3OTk2AQgA</t>
  </si>
  <si>
    <t>AAAFAAAAATEBAAAACy0xOTU2NzMxNDU3AwAAAAMxNjACAAAABDEwMDcEAAAAATAHAAAACDEvMS8yMDI0CAAAAAoxMi8zMS8yMDIzCQAAAAEwrUZOrOtH3giq2jG260feCC1DSVEuQ1BSLklRX0NBU0hfRVFVSVYuMjAwMC4wMS8wMS8yMDI0Li4uVVNELkgBAAAAaBECAAIAAAAKNjg1LDY0MTY0OQEIAAAABQAAAAExAQAAAAstMTk1NjczMTQ1NwMAAAADMTYwAgAAAAQxMDk2BAAAAAEwBwAAAAgxLzEvMjAyNAgAAAAKMTIvMzEvMjAyMwkAAAABMK1GTqzrR94IqtoxtutH3ggrQ0lRLkNQUi5JUV9ORVRfREVCVC4yMDAwLjAxLzAxLzIwMjQuLi5VU0QuSAEAAABoEQIAAgAAAAsyMDY3LDg2NzgwMQEIAAAABQAAAAExAQAAAAstMTk1NjczMTQ1NwMAAAADMTYwAgAAAAQ0MzY0BAAAAAEwBwAAAAgxLzEvMjAyNAgAAAAKMTIvMzEvMjAyMwkAAAABMK1GTqzrR94IqtoxtutH3ggpQ0lRLkdUVC5JUV9FQklUREEuMjAwMC4wMS8wMS8yMDI0Li4uVVNELkgBAAAAu5IJAgIAAAAKMjYxLDQ2NDU3NAEIAAAABQAAAAExAQAAAAstMTk0NzIwNjk0MQMAAAADMTYwAgAAAAQ0MDUxBAAAAAEwBwAAAAgxLzEvMjAyNAgAAAAKMTIvMzEvMjAyMwkAAAABMK1GTqzrR94IqtoxtutH3ggwQ0lRLkdUVC5JUV9FQklUREFfTUFSR0lOLjIwMDAuMDEvMDEvMjAyNC4uLlVTRC5IAQAAALuSCQICAAAABzU1LDMwNjIBCAAAAAUAAAABMQEA</t>
  </si>
  <si>
    <t>AAALLTE5NDcyMDY5NDEDAAAAAjUwAgAAAAQ0MDQ3BAAAAAEwBwAAAAgxLzEvMjAyNAgAAAAKMTIvMzEvMjAyMwkAAAABMK1GTqzrR94ITUUytutH3ggvQ0lRLkdUVC5JUV9UT1RBTF9BU1NFVFMuMjAwMC4wMS8wMS8yMDI0Li4uVVNELkgBAAAAu5IJAgIAAAAKNjgxLDMxODY2OQEIAAAABQAAAAExAQAAAAstMTk0NzIwNjk0MQMAAAADMTYwAgAAAAQxMDA3BAAAAAEwBwAAAAgxLzEvMjAyNAgAAAAKMTIvMzEvMjAyMwkAAAABMK1GTqzrR94ITUUytutH3ggtQ0lRLkdUVC5JUV9DQVNIX0VRVUlWLjIwMDAuMDEvMDEvMjAyNC4uLlVTRC5IAQAAALuSCQICAAAACTI5NSw3MTAxOAEIAAAABQAAAAExAQAAAAstMTk0NzIwNjk0MQMAAAADMTYwAgAAAAQxMDk2BAAAAAEwBwAAAAgxLzEvMjAyNAgAAAAKMTIvMzEvMjAyMwkAAAABMK1GTqzrR94IURcytutH3ggrQ0lRLkdUVC5JUV9ORVRfREVCVC4yMDAwLjAxLzAxLzIwMjQuLi5VU0QuSAEAAAC7kgkCAgAAAAstMjg3LDI5NTIzNgEIAAAABQAAAAExAQAAAAstMTk0NzIwNjk0MQMAAAADMTYwAgAAAAQ0MzY0BAAAAAEwBwAAAAgxLzEvMjAyNAgAAAAKMTIvMzEvMjAyMwkAAAABMK1GTqzrR94IURcytutH3ggqQ0lRLkRDVEEuSVFfRUJJVERBLjIwMDAuMDEvMDEvMjAyNC4uLlVTRC5IAQAAAL+KxRMCAAAACS0zLDYzMjI3NQEIAAAABQAAAAExAQAAAAstMTkzODk0</t>
  </si>
  <si>
    <t>OTQ3NQMAAAADMTYwAgAAAAQ0MDUxBAAAAAEwBwAAAAgxLzEvMjAyNAgAAAAKMTIvMzEvMjAyMwkAAAABMK1GTqzrR94IyWwytutH3ggxQ0lRLkRDVEEuSVFfRUJJVERBX01BUkdJTi4yMDAwLjAxLzAxLzIwMjQuLi5VU0QuSAEAAAC/isUTAgAAAActMzEsMjA2AQgAAAAFAAAAATEBAAAACy0xOTM4OTQ5NDc1AwAAAAI1MAIAAAAENDA0NwQAAAABMAcAAAAIMS8xLzIwMjQIAAAACjEyLzMxLzIwMjMJAAAAATCtRk6s60feCMlsMrbrR94IMENJUS5EQ1RBLklRX1RPVEFMX0FTU0VUUy4yMDAwLjAxLzAxLzIwMjQuLi5VU0QuSAEAAAC/isUTAgAAAAkxMyw4ODUxNzQBCAAAAAUAAAABMQEAAAALLTE5Mzg5NDk0NzUDAAAAAzE2MAIAAAAEMTAwNwQAAAABMAcAAAAIMS8xLzIwMjQIAAAACjEyLzMxLzIwMjMJAAAAATCtRk6s60feCMlsMrbrR94ILkNJUS5EQ1RBLklRX0NBU0hfRVFVSVYuMjAwMC4wMS8wMS8yMDI0Li4uVVNELkgBAAAAv4rFEwIAAAAIMiw2NDU0MTEBCAAAAAUAAAABMQEAAAALLTE5Mzg5NDk0NzUDAAAAAzE2MAIAAAAEMTA5NgQAAAABMAcAAAAIMS8xLzIwMjQIAAAACjEyLzMxLzIwMjMJAAAAATCtRk6s60feCMlsMrbrR94ILENJUS5EQ1RBLklRX05FVF9ERUJULjIwMDAuMDEvMDEvMjAyNC4uLlVTRC5IAQAAAL+KxRMCAAAACDAsMjk1NDI4AQgAAAAFAAAAATEBAAAACy0xOTM4OTQ5NDc1AwAA</t>
  </si>
  <si>
    <t>AAMxNjACAAAABDQzNjQEAAAAATAHAAAACDEvMS8yMDI0CAAAAAoxMi8zMS8yMDIzCQAAAAEwrUZOrOtH3ggwlDK260feCCpDSVEuQk5aTC5JUV9FQklUREEuMjAwMC4wMS8wMS8yMDI0Li4uVVNELkgBAAAA7EIGAAIAAAALMTI0NSw2MDU1NDQBCAAAAAUAAAABMQEAAAALLTE5NTQzNDA3MjADAAAAAzE2MAIAAAAENDA1MQQAAAABMAcAAAAIMS8xLzIwMjQIAAAACjEyLzMxLzIwMjMJAAAAATCtRk6s60feCDCUMrbrR94IMUNJUS5CTlpMLklRX0VCSVREQV9NQVJHSU4uMjAwMC4wMS8wMS8yMDI0Li4uVVNELkgBAAAA7EIGAAIAAAAGOCwyODkzAQgAAAAFAAAAATEBAAAACy0xOTU0MzQwNzIwAwAAAAI1NQIAAAAENDA0NwQAAAABMAcAAAAIMS8xLzIwMjQIAAAACjEyLzMxLzIwMjMJAAAAATCtRk6s60feCDCUMrbrR94IMENJUS5CTlpMLklRX1RPVEFMX0FTU0VUUy4yMDAwLjAxLzAxLzIwMjQuLi5VU0QuSAEAAADsQgYAAgAAAAwxMTE0MSw3OTQ0NjgBCAAAAAUAAAABMQEAAAALLTE5NTQzNDA3MjADAAAAAzE2MAIAAAAEMTAwNwQAAAABMAcAAAAIMS8xLzIwMjQIAAAACjEyLzMxLzIwMjMJAAAAATCtRk6s60feCIq7MrbrR94ILkNJUS5CTlpMLklRX0NBU0hfRVFVSVYuMjAwMC4wMS8wMS8yMDI0Li4uVVNELkgBAAAA7EIGAAIAAAALMTgxNiw1MDI3NzcBCAAAAAUAAAABMQEAAAALLTE5NTQzNDA3MjADAAAA</t>
  </si>
  <si>
    <t>AzE2MAIAAAAEMTA5NgQAAAABMAcAAAAIMS8xLzIwMjQIAAAACjEyLzMxLzIwMjMJAAAAATCtRk6s60feCIq7MrbrR94ILENJUS5CTlpMLklRX05FVF9ERUJULjIwMDAuMDEvMDEvMjAyNC4uLlVTRC5IAQAAAOxCBgACAAAACzIyMTQsMjk2NjMyAQgAAAAFAAAAATEBAAAACy0xOTU0MzQwNzIwAwAAAAMxNjACAAAABDQzNjQEAAAAATAHAAAACDEvMS8yMDI0CAAAAAoxMi8zMS8yMDIzCQAAAAEwrUZOrOtH3giKuzK260feCCpDSVEuNjI3OS5JUV9FQklUREEuMjAwMC4wMS8wMS8yMDI0Li4uVVNELkgBAAAAXQxXAAIAAAAJMjIsOTg2NzA1AQgAAAAFAAAAATEBAAAACy0yMDEzNjEzMTUyAwAAAAMxNjACAAAABDQwNTEEAAAAATAHAAAACDEvMS8yMDI0CAAAAAoxMS8yMC8yMDIzCQAAAAEwrUZOrOtH3giKuzK260feCDFDSVEuNjI3OS5JUV9FQklUREFfTUFSR0lOLjIwMDAuMDEvMDEvMjAyNC4uLlVTRC5IAQAAAF0MVwACAAAABzEyLDMyMDMBCAAAAAUAAAABMQEAAAALLTIwMTM2MTMxNTIDAAAAAjc5AgAAAAQ0MDQ3BAAAAAEwBwAAAAgxLzEvMjAyNAgAAAAKMTEvMjAvMjAyMwkAAAABMK1GTqzrR94IshIztutH3ggwQ0lRLjYyNzkuSVFfVE9UQUxfQVNTRVRTLjIwMDAuMDEvMDEvMjAyNC4uLlVTRC5IAQAAAF0MVwACAAAACjM0Miw3NDcwMTMBCAAAAAUAAAABMQEAAAALLTIwMTM2MTMxNTIDAAAAAzE2MAIA</t>
  </si>
  <si>
    <t>AAAEMTAwNwQAAAABMAcAAAAIMS8xLzIwMjQIAAAACjExLzIwLzIwMjMJAAAAATCtRk6s60feCLISM7brR94ILkNJUS42Mjc5LklRX0NBU0hfRVFVSVYuMjAwMC4wMS8wMS8yMDI0Li4uVVNELkgBAAAAXQxXAAIAAAAJODIsMDE0MjcxAQgAAAAFAAAAATEBAAAACy0yMDEzNjEzMTUyAwAAAAMxNjACAAAABDEwOTYEAAAAATAHAAAACDEvMS8yMDI0CAAAAAoxMS8yMC8yMDIzCQAAAAEwrUZOrOtH3ggT5DK260feCCxDSVEuNjI3OS5JUV9ORVRfREVCVC4yMDAwLjAxLzAxLzIwMjQuLi5VU0QuSAEAAABdDFcAAgAAAAktMzEsMjQ2NDIBCAAAAAUAAAABMQEAAAALLTIwMTM2MTMxNTIDAAAAAzE2MAIAAAAENDM2NAQAAAABMAcAAAAIMS8xLzIwMjQIAAAACjExLzIwLzIwMjMJAAAAATCtRk6s60feCBPkMrbrR94IKkNJUS5TSEEwLklRX0VCSVREQS4yMDAwLjAxLzAxLzIwMjQuLi5VU0QuSAEAAABkfoUNAgAAAAsyMDQ3LDA4NzQzMgEIAAAABQAAAAExAQAAAAstMTk1Njg2NzQzMQMAAAADMTYwAgAAAAQ0MDUxBAAAAAEwBwAAAAgxLzEvMjAyNAgAAAAKMTIvMzEvMjAyMwkAAAABMK1GTqzrR94IDzoztutH3ggxQ0lRLlNIQTAuSVFfRUJJVERBX01BUkdJTi4yMDAwLjAxLzAxLzIwMjQuLi5VU0QuSAEAAABkfoUNAgAAAAcxMSwzNTI5AQgAAAAFAAAAATEBAAAACy0xOTU2ODY3NDMxAwAAAAI1MAIAAAAENDA0NwQA</t>
  </si>
  <si>
    <t>AAABMAcAAAAIMS8xLzIwMjQIAAAACjEyLzMxLzIwMjMJAAAAATCtRk6s60feCA86M7brR94IMENJUS5TSEEwLklRX1RPVEFMX0FTU0VUUy4yMDAwLjAxLzAxLzIwMjQuLi5VU0QuSAEAAABkfoUNAgAAAAwxNjU5Nyw3NjcyMTEBCAAAAAUAAAABMQEAAAALLTE5NTY4Njc0MzEDAAAAAzE2MAIAAAAEMTAwNwQAAAABMAcAAAAIMS8xLzIwMjQIAAAACjEyLzMxLzIwMjMJAAAAATCtRk6s60feCA86M7brR94ILkNJUS5TSEEwLklRX0NBU0hfRVFVSVYuMjAwMC4wMS8wMS8yMDI0Li4uVVNELkgBAAAAZH6FDQIAAAAKODUwLDAwNTUyNgEIAAAABQAAAAExAQAAAAstMTk1Njg2NzQzMQMAAAADMTYwAgAAAAQxMDk2BAAAAAEwBwAAAAgxLzEvMjAyNAgAAAAKMTIvMzEvMjAyMwkAAAABMK1GTqzrR94IDzoztutH3ggsQ0lRLlNIQTAuSVFfTkVUX0RFQlQuMjAwMC4wMS8wMS8yMDI0Li4uVVNELkgBAAAAZH6FDQIAAAAKMzc4Nyw5OTYwMgEIAAAABQAAAAExAQAAAAstMTk1Njg2NzQzMQMAAAADMTYwAgAAAAQ0MzY0BAAAAAEwBwAAAAgxLzEvMjAyNAgAAAAKMTIvMzEvMjAyMwkAAAABMK1GTqzrR94IbmEztutH3ggpQ0lRLkJQRi5JUV9FQklUREEuMjAwMC4wMS8wMS8yMDI0Li4uVVNELkgBAAAApvMIIQMAAAAAAK1GTqzrR94IbmEztutH3ggwQ0lRLkJQRi5JUV9FQklUREFfTUFSR0lOLjIwMDAuMDEvMDEvMjAyNC4u</t>
  </si>
  <si>
    <t>LlVTRC5IAQAAAKbzCCEDAAAAAACtRk6s60feCG5hM7brR94IL0NJUS5CUEYuSVFfVE9UQUxfQVNTRVRTLjIwMDAuMDEvMDEvMjAyNC4uLlVTRC5IAQAAAKbzCCECAAAACTM5LDYwMjcxMwEIAAAABQAAAAExAQAAAAstMTk0MTE4NTQzNAMAAAADMTYwAgAAAAQxMDA3BAAAAAEwBwAAAAgxLzEvMjAyNAgAAAAKMTIvMzEvMjAyMwkAAAABMK1GTqzrR94IxogztutH3ggtQ0lRLkJQRi5JUV9DQVNIX0VRVUlWLjIwMDAuMDEvMDEvMjAyNC4uLlVTRC5IAQAAAKbzCCECAAAABzEsNzE5MTMBCAAAAAUAAAABMQEAAAALLTE5NDExODU0MzQDAAAAAzE2MAIAAAAEMTA5NgQAAAABMAcAAAAIMS8xLzIwMjQIAAAACjEyLzMxLzIwMjMJAAAAATCtRk6s60feCMaIM7brR94IK0NJUS5CUEYuSVFfTkVUX0RFQlQuMjAwMC4wMS8wMS8yMDI0Li4uVVNELkgBAAAApvMIIQIAAAAJMTMsMDQzNzk4AQgAAAAFAAAAATEBAAAACy0xOTQxMTg1NDM0AwAAAAMxNjACAAAABDQzNjQEAAAAATAHAAAACDEvMS8yMDI0CAAAAAoxMi8zMS8yMDIzCQAAAAEwrUZOrOtH3gjGiDO260feCClDSVEuQkM4LklRX0VCSVREQS4yMDAwLjAxLzAxLzIwMjQuLi5VU0QuSAEAAABk6ksAAgAAAAo0ODYsMTU1NjMyAQgAAAAFAAAAATEBAAAACy0xOTU1ODIzMDU4AwAAAAMxNjACAAAABDQwNTEEAAAAATAHAAAACDEvMS8yMDI0CAAAAAoxMi8zMS8yMDIz</t>
  </si>
  <si>
    <t>CQAAAAEwBj8trutH3gjGiDO260feCDBDSVEuQkM4LklRX0VCSVREQV9NQVJHSU4uMjAwMC4wMS8wMS8yMDI0Li4uVVNELkgBAAAAZOpLAAIAAAAGNiw4NDc5AQgAAAAFAAAAATEBAAAACy0xOTU1ODIzMDU4AwAAAAI1MAIAAAAENDA0NwQAAAABMAcAAAAIMS8xLzIwMjQIAAAACjEyLzMxLzIwMjMJAAAAATAGPy2u60feCD+wM7brR94IL0NJUS5CQzguSVFfVE9UQUxfQVNTRVRTLjIwMDAuMDEvMDEvMjAyNC4uLlVTRC5IAQAAAGTqSwACAAAACzQyMDMsODEyMzEyAQgAAAAFAAAAATEBAAAACy0xOTU1ODIzMDU4AwAAAAMxNjACAAAABDEwMDcEAAAAATAHAAAACDEvMS8yMDI0CAAAAAoxMi8zMS8yMDIzCQAAAAEwBj8trutH3gg/sDO260feCC1DSVEuQkM4LklRX0NBU0hfRVFVSVYuMjAwMC4wMS8wMS8yMDI0Li4uVVNELkgBAAAAZOpLAAIAAAAKNDgxLDY1ODAwOAEIAAAABQAAAAExAQAAAAstMTk1NTgyMzA1OAMAAAADMTYwAgAAAAQxMDk2BAAAAAEwBwAAAAgxLzEvMjAyNAgAAAAKMTIvMzEvMjAyMwkAAAABMAY/La7rR94IP7AztutH3ggrQ0lRLkJDOC5JUV9ORVRfREVCVC4yMDAwLjAxLzAxLzIwMjQuLi5VU0QuSAEAAABk6ksAAgAAAAoyOTYsNTQ0NzExAQgAAAAFAAAAATEBAAAACy0xOTU1ODIzMDU4AwAAAAMxNjACAAAABDQzNjQEAAAAATAHAAAACDEvMS8yMDI0CAAAAAoxMi8zMS8yMDIzCQAAAAEw</t>
  </si>
  <si>
    <t>Bj8trutH3gg/sDO260feCCpDSVEuTFJORC5JUV9FQklUREEuMjAwMC4wMS8wMS8yMDI0Li4uVVNELkgBAAAAvLoWbAIAAAAJLTksODIxODQxAQgAAAAFAAAAATEBAAAACy0xOTQyNTE1ODc3AwAAAAMxNjACAAAABDQwNTEEAAAAATAHAAAACDEvMS8yMDI0CAAAAAoxMi8zMS8yMDIzCQAAAAEwrUZOrOtH3giT1zO260feCDFDSVEuTFJORC5JUV9FQklUREFfTUFSR0lOLjIwMDAuMDEvMDEvMjAyNC4uLlVTRC5IAQAAALy6FmwCAAAABy0yNCwwMTIBCAAAAAUAAAABMQEAAAALLTE5NDI1MTU4NzcDAAAAAjU1AgAAAAQ0MDQ3BAAAAAEwBwAAAAgxLzEvMjAyNAgAAAAKMTIvMzEvMjAyMwkAAAABMK1GTqzrR94I5v4ztutH3ggwQ0lRLkxSTkQuSVFfVE9UQUxfQVNTRVRTLjIwMDAuMDEvMDEvMjAyNC4uLlVTRC5IAQAAALy6FmwCAAAACTMxLDQ2NDE1NQEIAAAABQAAAAExAQAAAAstMTk0MjUxNTg3NwMAAAADMTYwAgAAAAQxMDA3BAAAAAEwBwAAAAgxLzEvMjAyNAgAAAAKMTIvMzEvMjAyMwkAAAABMK1GTqzrR94I5v4ztutH3gguQ0lRLkxSTkQuSVFfQ0FTSF9FUVVJVi4yMDAwLjAxLzAxLzIwMjQuLi5VU0QuSAEAAAC8uhZsAgAAAAgyLDI1MzMzMgEIAAAABQAAAAExAQAAAAstMTk0MjUxNTg3NwMAAAADMTYwAgAAAAQxMDk2BAAAAAEwBwAAAAgxLzEvMjAyNAgAAAAKMTIvMzEvMjAyMwkAAAABMK1GTqzrR94I</t>
  </si>
  <si>
    <t>5v4ztutH3ggsQ0lRLkxSTkQuSVFfTkVUX0RFQlQuMjAwMC4wMS8wMS8yMDI0Li4uVVNELkgBAAAAvLoWbAIAAAAJMTEsMTY2NTY5AQgAAAAFAAAAATEBAAAACy0xOTQyNTE1ODc3AwAAAAMxNjACAAAABDQzNjQEAAAAATAHAAAACDEvMS8yMDI0CAAAAAoxMi8zMS8yMDIzCQAAAAEwrUZOrOtH3gjm/jO260feCCxDSVEuVU5MR1JQLklRX0VCSVREQS4yMDAwLjAxLzAxLzIwMjQuLi5VU0QuSAEAAABBlggOAgAAAAktMCw4MjM3OTUBCAAAAAUAAAABMQEAAAALLTE5NTMxNTI0NzMDAAAAAzE2MAIAAAAENDA1MQQAAAABMAcAAAAIMS8xLzIwMjQIAAAACjEyLzMxLzIwMjMJAAAAATCtRk6s60feCDUmNLbrR94IM0NJUS5VTkxHUlAuSVFfRUJJVERBX01BUkdJTi4yMDAwLjAxLzAxLzIwMjQuLi5VU0QuSAEAAABBlggOAwAAAAJOTQEIAAAABQAAAAExAQAAAAstMTk1MzE1MjQ3MwMAAAACNDICAAAABDQwNDcEAAAAATAHAAAACDEvMS8yMDI0CAAAAAoxMi8zMS8yMDIzCQAAAAEwrUZOrOtH3gg1JjS260feCDJDSVEuVU5MR1JQLklRX1RPVEFMX0FTU0VUUy4yMDAwLjAxLzAxLzIwMjQuLi5VU0QuSAEAAABBlggOAgAAAAgwLDA3MTIxNAEIAAAABQAAAAExAQAAAAstMTk1MzE1MjQ3MwMAAAADMTYwAgAAAAQxMDA3BAAAAAEwBwAAAAgxLzEvMjAyNAgAAAAKMTIvMzEvMjAyMwkAAAABMK1GTqzrR94INSY0tutH3ggw</t>
  </si>
  <si>
    <t>Q0lRLlVOTEdSUC5JUV9DQVNIX0VRVUlWLjIwMDAuMDEvMDEvMjAyNC4uLlVTRC5IAQAAAEGWCA4CAAAACDAsMDI1NTg1AQgAAAAFAAAAATEBAAAACy0xOTUzMTUyNDczAwAAAAMxNjACAAAABDEwOTYEAAAAATAHAAAACDEvMS8yMDI0CAAAAAoxMi8zMS8yMDIzCQAAAAEwrUZOrOtH3gg1JjS260feCC5DSVEuVU5MR1JQLklRX05FVF9ERUJULjIwMDAuMDEvMDEvMjAyNC4uLlVTRC5IAQAAAEGWCA4CAAAACS0wLDAyNTU4NQEIAAAABQAAAAExAQAAAAstMTk1MzE1MjQ3MwMAAAADMTYwAgAAAAQ0MzY0BAAAAAEwBwAAAAgxLzEvMjAyNAgAAAAKMTIvMzEvMjAyMwkAAAABMK1GTqzrR94IbU00tutH3ggqQ0lRLklOVEEuSVFfRUJJVERBLjIwMDAuMDEvMDEvMjAyNC4uLlVTRC5IAQAAAMczKwICAAAABy00NSw4NDcBCAAAAAUAAAABMQEAAAALLTE5NjExMTEwNDUDAAAAAzE2MAIAAAAENDA1MQQAAAABMAcAAAAIMS8xLzIwMjQIAAAACjEyLzMxLzIwMjMJAAAAATAoE6Wt60feCG1NNLbrR94IMUNJUS5JTlRBLklRX0VCSVREQV9NQVJHSU4uMjAwMC4wMS8wMS8yMDI0Li4uVVNELkgBAAAAxzMrAgIAAAAILTExLDY5MTEBCAAAAAUAAAABMQEAAAALLTE5NjExMTEwNDUDAAAAAzE2MAIAAAAENDA0NwQAAAABMAcAAAAIMS8xLzIwMjQIAAAACjEyLzMxLzIwMjMJAAAAATAoE6Wt60feCHp0NLbrR94IMENJUS5JTlRB</t>
  </si>
  <si>
    <t>LklRX1RPVEFMX0FTU0VUUy4yMDAwLjAxLzAxLzIwMjQuLi5VU0QuSAEAAADHMysCAgAAAAc2NTMsNTI4AQgAAAAFAAAAATEBAAAACy0xOTYxMTExMDQ1AwAAAAMxNjACAAAABDEwMDcEAAAAATAHAAAACDEvMS8yMDI0CAAAAAoxMi8zMS8yMDIzCQAAAAEwKBOlretH3gh6dDS260feCC5DSVEuSU5UQS5JUV9DQVNIX0VRVUlWLjIwMDAuMDEvMDEvMjAyNC4uLlVTRC5IAQAAAMczKwICAAAABzE2NiwzNTcBCAAAAAUAAAABMQEAAAALLTE5NjExMTEwNDUDAAAAAzE2MAIAAAAEMTA5NgQAAAABMAcAAAAIMS8xLzIwMjQIAAAACjEyLzMxLzIwMjMJAAAAATDQPaWt60feCG1NNLbrR94ILENJUS5JTlRBLklRX05FVF9ERUJULjIwMDAuMDEvMDEvMjAyNC4uLlVTRC5IAQAAAMczKwICAAAACC0xNTEsNjk0AQgAAAAFAAAAATEBAAAACy0xOTYxMTExMDQ1AwAAAAMxNjACAAAABDQzNjQEAAAAATAHAAAACDEvMS8yMDI0CAAAAAoxMi8zMS8yMDIzCQAAAAEw0D2lretH3ghtTTS260feCCpDSVEuU0xZRy5JUV9FQklUREEuMjAwMC4wMS8wMS8yMDI0Li4uVVNELkgBAAAAIUSGAAMAAAAAAK1GTqzrR94ImKc0tutH3ggxQ0lRLlNMWUcuSVFfRUJJVERBX01BUkdJTi4yMDAwLjAxLzAxLzIwMjQuLi5VU0QuSAEAAAAhRIYAAwAAAAAArUZOrOtH3giYpzS260feCDBDSVEuU0xZRy5JUV9UT1RBTF9BU1NFVFMuMjAwMC4wMS8w</t>
  </si>
  <si>
    <t>MS8yMDI0Li4uVVNELkgBAAAAIUSGAAIAAAAKMjMwMCwxNDU4MgEIAAAABQAAAAExAQAAAAstMjA1NjkzNDU4NQMAAAADMTYwAgAAAAQxMDA3BAAAAAEwBwAAAAgxLzEvMjAyNAgAAAAKMTIvMzEvMjAyMgkAAAABMK1GTqzrR94ImKc0tutH3gguQ0lRLlNMWUcuSVFfQ0FTSF9FUVVJVi4yMDAwLjAxLzAxLzIwMjQuLi5VU0QuSAEAAAAhRIYAAgAAAAgwLDAwMjkxOAEIAAAABQAAAAExAQAAAAstMjA1NjkzNDU4NQMAAAADMTYwAgAAAAQxMDk2BAAAAAEwBwAAAAgxLzEvMjAyNAgAAAAKMTIvMzEvMjAyMgkAAAABMK1GTqzrR94ImKc0tutH3ggsQ0lRLlNMWUcuSVFfTkVUX0RFQlQuMjAwMC4wMS8wMS8yMDI0Li4uVVNELkgBAAAAIUSGAAIAAAAJLTMsNzIzNTMzAQgAAAAFAAAAATEBAAAACy0yMDU2OTM0NTg1AwAAAAMxNjACAAAABDQzNjQEAAAAATAHAAAACDEvMS8yMDI0CAAAAAoxMi8zMS8yMDIyCQAAAAEwrUZOrOtH3gjA0jS260feCClDSVEuU0ZULklRX0VCSVREQS4yMDAwLjAxLzAxLzIwMjQuLi5VU0QuSAEAAACRNacAAgAAAAgxLDM4MzkzNQEIAAAABQAAAAExAQAAAAstMTkzMjUzOTE2NQMAAAADMTYwAgAAAAQ0MDUxBAAAAAEwBwAAAAgxLzEvMjAyNAgAAAAKMTIvMzEvMjAyMwkAAAABMCaHi63rR94IwNI0tutH3ggwQ0lRLlNGVC5JUV9FQklUREFfTUFSR0lOLjIwMDAuMDEvMDEvMjAyNC4uLlVT</t>
  </si>
  <si>
    <t>RC5IAQAAAJE1pwACAAAABjYsOTgyNgEIAAAABQAAAAExAQAAAAstMTkzMjUzOTE2NQMAAAACNTUCAAAABDQwNDcEAAAAATAHAAAACDEvMS8yMDI0CAAAAAoxMi8zMS8yMDIzCQAAAAEwJoeLretH3gjA0jS260feCC9DSVEuU0ZULklRX1RPVEFMX0FTU0VUUy4yMDAwLjAxLzAxLzIwMjQuLi5VU0QuSAEAAACRNacAAgAAAAk0Myw3OTkzNTgBCAAAAAUAAAABMQEAAAALLTE5MzI1MzkxNjUDAAAAAzE2MAIAAAAEMTAwNwQAAAABMAcAAAAIMS8xLzIwMjQIAAAACjEyLzMxLzIwMjMJAAAAATAmh4ut60feCOz8NLbrR94ILUNJUS5TRlQuSVFfQ0FTSF9FUVVJVi4yMDAwLjAxLzAxLzIwMjQuLi5VU0QuSAEAAACRNacAAgAAAAkxOSw2MDQzNzIBCAAAAAUAAAABMQEAAAALLTE5MzI1MzkxNjUDAAAAAzE2MAIAAAAEMTA5NgQAAAABMAcAAAAIMS8xLzIwMjQIAAAACjEyLzMxLzIwMjMJAAAAATAmh4ut60feCOz8NLbrR94IK0NJUS5TRlQuSVFfTkVUX0RFQlQuMjAwMC4wMS8wMS8yMDI0Li4uVVNELkgBAAAAkTWnAAIAAAAJLTcsOTc4ODA1AQgAAAAFAAAAATEBAAAACy0xOTMyNTM5MTY1AwAAAAMxNjACAAAABDQzNjQEAAAAATAHAAAACDEvMS8yMDI0CAAAAAoxMi8zMS8yMDIzCQAAAAEwJoeLretH3gjs/DS260feCClDSVEuSUVHLklRX0VCSVREQS4yMDAwLjAxLzAxLzIwMjQuLi5VU0QuSAEAAACBarwNAgAAAAg0</t>
  </si>
  <si>
    <t>NywyMTEyMwEIAAAABQAAAAExAQAAAAstMTk1MjE4ODA5NwMAAAADMTYwAgAAAAQ0MDUxBAAAAAEwBwAAAAgxLzEvMjAyNAgAAAAKMTIvMzEvMjAyMwkAAAABMK1GTqzrR94I7Pw0tutH3ggwQ0lRLklFRy5JUV9FQklUREFfTUFSR0lOLjIwMDAuMDEvMDEvMjAyNC4uLlVTRC5IAQAAAIFqvA0CAAAABzIwLDEyNDUBCAAAAAUAAAABMQEAAAALLTE5NTIxODgwOTcDAAAAAjUwAgAAAAQ0MDQ3BAAAAAEwBwAAAAgxLzEvMjAyNAgAAAAKMTIvMzEvMjAyMwkAAAABMK1GTqzrR94I2ic1tutH3ggvQ0lRLklFRy5JUV9UT1RBTF9BU1NFVFMuMjAwMC4wMS8wMS8yMDI0Li4uVVNELkgBAAAAgWq8DQIAAAAKNDA1LDY4MTQ0MQEIAAAABQAAAAExAQAAAAstMTk1MjE4ODA5NwMAAAADMTYwAgAAAAQxMDA3BAAAAAEwBwAAAAgxLzEvMjAyNAgAAAAKMTIvMzEvMjAyMwkAAAABMK1GTqzrR94Ii081tutH3ggtQ0lRLklFRy5JUV9DQVNIX0VRVUlWLjIwMDAuMDEvMDEvMjAyNC4uLlVTRC5IAQAAAIFqvA0CAAAACTcyLDgyNTI0NgEIAAAABQAAAAExAQAAAAstMTk1MjE4ODA5NwMAAAADMTYwAgAAAAQxMDk2BAAAAAEwBwAAAAgxLzEvMjAyNAgAAAAKMTIvMzEvMjAyMwkAAAABMK1GTqzrR94I2ic1tutH3ggrQ0lRLklFRy5JUV9ORVRfREVCVC4yMDAwLjAxLzAxLzIwMjQuLi5VU0QuSAEAAACBarwNAgAAAAk3OCwxMzg2MDkB</t>
  </si>
  <si>
    <t>CAAAAAUAAAABMQEAAAALLTE5NTIxODgwOTcDAAAAAzE2MAIAAAAENDM2NAQAAAABMAcAAAAIMS8xLzIwMjQIAAAACjEyLzMxLzIwMjMJAAAAATCtRk6s60feCNonNbbrR94IKkNJUS5LSVNULklRX0VCSVREQS4yMDAwLjAxLzAxLzIwMjQuLi5VU0QuSAEAAACm9FkpAgAAAAcxMjYsMDM0AQgAAAAFAAAAATEBAAAACy0xOTUxNjAxODM3AwAAAAMxNjACAAAABDQwNTEEAAAAATAHAAAACDEvMS8yMDI0CAAAAAoxMi8zMS8yMDIzCQAAAAEwrUZOrOtH3giLTzW260feCDFDSVEuS0lTVC5JUV9FQklUREFfTUFSR0lOLjIwMDAuMDEvMDEvMjAyNC4uLlVTRC5IAQAAAKb0WSkCAAAABzU2LDUwOTMBCAAAAAUAAAABMQEAAAALLTE5NTE2MDE4MzcDAAAAAzE2MAIAAAAENDA0NwQAAAABMAcAAAAIMS8xLzIwMjQIAAAACjEyLzMxLzIwMjMJAAAAATCtRk6s60feCItPNbbrR94IMENJUS5LSVNULklRX1RPVEFMX0FTU0VUUy4yMDAwLjAxLzAxLzIwMjQuLi5VU0QuSAEAAACm9FkpAgAAAAc5MDEsOTAyAQgAAAAFAAAAATEBAAAACy0xOTUxNjAxODM3AwAAAAMxNjACAAAABDEwMDcEAAAAATAHAAAACDEvMS8yMDI0CAAAAAoxMi8zMS8yMDIzCQAAAAEwrUZOrOtH3gindjW260feCC5DSVEuS0lTVC5JUV9DQVNIX0VRVUlWLjIwMDAuMDEvMDEvMjAyNC4uLlVTRC5IAQAAAKb0WSkCAAAABzIxNCw3ODkBCAAAAAUAAAABMQEA</t>
  </si>
  <si>
    <t>AAALLTE5NTE2MDE4MzcDAAAAAzE2MAIAAAAEMTA5NgQAAAABMAcAAAAIMS8xLzIwMjQIAAAACjEyLzMxLzIwMjMJAAAAATCtRk6s60feCKd2NbbrR94ILENJUS5LSVNULklRX05FVF9ERUJULjIwMDAuMDEvMDEvMjAyNC4uLlVTRC5IAQAAAKb0WSkCAAAABjI0LDE1MQEIAAAABQAAAAExAQAAAAstMTk1MTYwMTgzNwMAAAADMTYwAgAAAAQ0MzY0BAAAAAEwBwAAAAgxLzEvMjAyNAgAAAAKMTIvMzEvMjAyMwkAAAABMK1GTqzrR94Ip3Y1tutH3ggsQ0lRLldQVEcgQi5JUV9FQklUREEuMjAwMC4wMS8wMS8yMDI0Li4uVVNELkgBAAAATrs2JwIAAAAIMywzMTMxOTEBCAAAAAUAAAABMQEAAAALLTE5NDYyOTkyNzQDAAAAAzE2MAIAAAAENDA1MQQAAAABMAcAAAAIMS8xLzIwMjQIAAAACjEyLzMxLzIwMjMJAAAAATCtRk6s60feCKqdNbbrR94IM0NJUS5XUFRHIEIuSVFfRUJJVERBX01BUkdJTi4yMDAwLjAxLzAxLzIwMjQuLi5VU0QuSAEAAABOuzYnAgAAAAcxMyw5MDc0AQgAAAAFAAAAATEBAAAACy0xOTQ2Mjk5Mjc0AwAAAAMxMzcCAAAABDQwNDcEAAAAATAHAAAACDEvMS8yMDI0CAAAAAoxMi8zMS8yMDIzCQAAAAEwrUZOrOtH3giqnTW260feCDJDSVEuV1BURyBCLklRX1RPVEFMX0FTU0VUUy4yMDAwLjAxLzAxLzIwMjQuLi5VU0QuSAEAAABOuzYnAgAAAAkxNSw4OTM5NTQBCAAAAAUAAAABMQEAAAALLTE5</t>
  </si>
  <si>
    <t>NDYyOTkyNzQDAAAAAzE2MAIAAAAEMTAwNwQAAAABMAcAAAAIMS8xLzIwMjQIAAAACjEyLzMxLzIwMjMJAAAAATCtRk6s60feCMHENbbrR94IMENJUS5XUFRHIEIuSVFfQ0FTSF9FUVVJVi4yMDAwLjAxLzAxLzIwMjQuLi5VU0QuSAEAAABOuzYnAgAAAAgxLDExNTk4OQEIAAAABQAAAAExAQAAAAstMTk0NjI5OTI3NAMAAAADMTYwAgAAAAQxMDk2BAAAAAEwBwAAAAgxLzEvMjAyNAgAAAAKMTIvMzEvMjAyMwkAAAABMK1GTqzrR94IwcQ1tutH3gguQ0lRLldQVEcgQi5JUV9ORVRfREVCVC4yMDAwLjAxLzAxLzIwMjQuLi5VU0QuSAEAAABOuzYnAgAAAAgzLDU2MDU0MgEIAAAABQAAAAExAQAAAAstMTk0NjI5OTI3NAMAAAADMTYwAgAAAAQ0MzY0BAAAAAEwBwAAAAgxLzEvMjAyNAgAAAAKMTIvMzEvMjAyMwkAAAABMK1GTqzrR94IwcQ1tutH3ggqQ0lRLjc0MjAuSVFfRUJJVERBLjIwMDAuMDEvMDEvMjAyNC4uLlVTRC5IAQAAAPR6DQACAAAACTMwLDI4MTcxMQEIAAAABQAAAAExAQAAAAstMjAxMzA1NDk2MQMAAAADMTYwAgAAAAQ0MDUxBAAAAAEwBwAAAAgxLzEvMjAyNAgAAAAKMTEvMzAvMjAyMwkAAAABMK1GTqzrR94I1Os1tutH3ggxQ0lRLjc0MjAuSVFfRUJJVERBX01BUkdJTi4yMDAwLjAxLzAxLzIwMjQuLi5VU0QuSAEAAAD0eg0AAgAAAAYzLDA4MjYBCAAAAAUAAAABMQEAAAALLTIwMTMwNTQ5NjED</t>
  </si>
  <si>
    <t>AAAAAjc5AgAAAAQ0MDQ3BAAAAAEwBwAAAAgxLzEvMjAyNAgAAAAKMTEvMzAvMjAyMwkAAAABMK1GTqzrR94I+zk2tutH3ggwQ0lRLjc0MjAuSVFfVE9UQUxfQVNTRVRTLjIwMDAuMDEvMDEvMjAyNC4uLlVTRC5IAQAAAPR6DQACAAAACjUzNSwwNDQ1NDkBCAAAAAUAAAABMQEAAAALLTIwMTMwNTQ5NjEDAAAAAzE2MAIAAAAEMTAwNwQAAAABMAcAAAAIMS8xLzIwMjQIAAAACjExLzMwLzIwMjMJAAAAATCtRk6s60feCE1rNrbrR94ILkNJUS43NDIwLklRX0NBU0hfRVFVSVYuMjAwMC4wMS8wMS8yMDI0Li4uVVNELkgBAAAA9HoNAAIAAAAJNTYsMzgyNDM1AQgAAAAFAAAAATEBAAAACy0yMDEzMDU0OTYxAwAAAAMxNjACAAAABDEwOTYEAAAAATAHAAAACDEvMS8yMDI0CAAAAAoxMS8zMC8yMDIzCQAAAAEwrUZOrOtH3gjpEja260feCCxDSVEuNzQyMC5JUV9ORVRfREVCVC4yMDAwLjAxLzAxLzIwMjQuLi5VU0QuSAEAAAD0eg0AAgAAAAk3NSwwNDEyNzMBCAAAAAUAAAABMQEAAAALLTIwMTMwNTQ5NjEDAAAAAzE2MAIAAAAENDM2NAQAAAABMAcAAAAIMS8xLzIwMjQIAAAACjExLzMwLzIwMjMJAAAAATCtRk6s60feCOkSNrbrR94IK0NJUS5BTE1DUC5JUV9FQklUREEuMjAwMC4wMS8wMS8yMDI0Li4uVVNELkgBAAAA5RkpAwIAAAAKLTU0LDMwMzA4NAEIAAAABQAAAAExAQAAAAstMTkzODcwNDM2MAMAAAADMTYw</t>
  </si>
  <si>
    <t>AgAAAAQ0MDUxBAAAAAEwBwAAAAgxLzEvMjAyNAgAAAAKMTIvMzEvMjAyMwkAAAABMK1GTqzrR94IgZI2tutH3ggyQ0lRLkFMTUNQLklRX0VCSVREQV9NQVJHSU4uMjAwMC4wMS8wMS8yMDI0Li4uVVNELkgBAAAA5RkpAwIAAAAILTI2MSw2ODEBCAAAAAUAAAABMQEAAAALLTE5Mzg3MDQzNjADAAAAAjUwAgAAAAQ0MDQ3BAAAAAEwBwAAAAgxLzEvMjAyNAgAAAAKMTIvMzEvMjAyMwkAAAABMK1GTqzrR94IgZI2tutH3ggxQ0lRLkFMTUNQLklRX1RPVEFMX0FTU0VUUy4yMDAwLjAxLzAxLzIwMjQuLi5VU0QuSAEAAADlGSkDAgAAAAoxODEsNzM1MzgyAQgAAAAFAAAAATEBAAAACy0xOTM4NzA0MzYwAwAAAAMxNjACAAAABDEwMDcEAAAAATAHAAAACDEvMS8yMDI0CAAAAAoxMi8zMS8yMDIzCQAAAAEwrUZOrOtH3giBkja260feCC9DSVEuQUxNQ1AuSVFfQ0FTSF9FUVVJVi4yMDAwLjAxLzAxLzIwMjQuLi5VU0QuSAEAAADlGSkDAgAAAAk2OSw2NTk1NTYBCAAAAAUAAAABMQEAAAALLTE5Mzg3MDQzNjADAAAAAzE2MAIAAAAEMTA5NgQAAAABMAcAAAAIMS8xLzIwMjQIAAAACjEyLzMxLzIwMjMJAAAAATCtRk6s60feCJS5NrbrR94ILUNJUS5BTE1DUC5JUV9ORVRfREVCVC4yMDAwLjAxLzAxLzIwMjQuLi5VU0QuSAEAAADlGSkDAgAAAAotNjQsMTY0OTE3AQgAAAAFAAAAATEBAAAACy0xOTM4NzA0MzYwAwAAAAMx</t>
  </si>
  <si>
    <t>NjACAAAABDQzNjQEAAAAATAHAAAACDEvMS8yMDI0CAAAAAoxMi8zMS8yMDIzCQAAAAEwrUZOrOtH3giUuTa260feCClDSVEuVU5JLklRX0VCSVREQS4yMDAwLjAxLzAxLzIwMjQuLi5VU0QuSAEAAAC7YA0AAgAAAAoyNTU4LDg1OTI5AQgAAAAFAAAAATEBAAAACy0xOTUzNTk2NzcwAwAAAAMxNjACAAAABDQwNTEEAAAAATAHAAAACDEvMS8yMDI0CAAAAAoxMi8zMS8yMDIzCQAAAAEwrUZOrOtH3gif4Da260feCDBDSVEuVU5JLklRX0VCSVREQV9NQVJHSU4uMjAwMC4wMS8wMS8yMDI0Li4uVVNELkgBAAAAu2ANAAIAAAAGMjIsMTg3AQgAAAAFAAAAATEBAAAACy0xOTUzNTk2NzcwAwAAAAI1MAIAAAAENDA0NwQAAAABMAcAAAAIMS8xLzIwMjQIAAAACjEyLzMxLzIwMjMJAAAAATCtRk6s60feCJ/gNrbrR94IL0NJUS5VTkkuSVFfVE9UQUxfQVNTRVRTLjIwMDAuMDEvMDEvMjAyNC4uLlVTRC5IAQAAALtgDQACAAAADDg3ODI4LDAwOTI1OAEIAAAABQAAAAExAQAAAAstMTk1MzU5Njc3MAMAAAADMTYwAgAAAAQxMDA3BAAAAAEwBwAAAAgxLzEvMjAyNAgAAAAKMTIvMzEvMjAyMwkAAAABMK1GTqzrR94IXxM3tutH3ggtQ0lRLlVOSS5JUV9DQVNIX0VRVUlWLjIwMDAuMDEvMDEvMjAyNC4uLlVTRC5IAQAAALtgDQACAAAACzIwMDksNTA1OTEzAQgAAAAFAAAAATEBAAAACy0xOTUzNTk2NzcwAwAAAAMxNjACAAAA</t>
  </si>
  <si>
    <t>BDEwOTYEAAAAATAHAAAACDEvMS8yMDI0CAAAAAoxMi8zMS8yMDIzCQAAAAEwrUZOrOtH3ghfEze260feCCtDSVEuVU5JLklRX05FVF9ERUJULjIwMDAuMDEvMDEvMjAyNC4uLlVTRC5IAQAAALtgDQACAAAACzM1MzQsODczNDM4AQgAAAAFAAAAATEBAAAACy0xOTUzNTk2NzcwAwAAAAMxNjACAAAABDQzNjQEAAAAATAHAAAACDEvMS8yMDI0CAAAAAoxMi8zMS8yMDIzCQAAAAEwrUZOrOtH3ghfEze260feCCpDSVEuVkVORC5JUV9FQklUREEuMjAwMC4wMS8wMS8yMDI0Li4uVVNELkgBAAAAQmYNAAIAAAAKMTExLDIzOTIwMgEIAAAABQAAAAExAQAAAAstMTkzODEwNzMxNgMAAAADMTYwAgAAAAQ0MDUxBAAAAAEwBwAAAAgxLzEvMjAyNAgAAAAKMTIvMzEvMjAyMwkAAAABMPuM+KzrR94IXxM3tutH3ggxQ0lRLlZFTkQuSVFfRUJJVERBX01BUkdJTi4yMDAwLjAxLzAxLzIwMjQuLi5VU0QuSAEAAABCZg0AAgAAAAcxNCw4MDg5AQgAAAAFAAAAATEBAAAACy0xOTM4MTA3MzE2AwAAAAMxMTcCAAAABDQwNDcEAAAAATAHAAAACDEvMS8yMDI0CAAAAAoxMi8zMS8yMDIzCQAAAAEw+4z4rOtH3giUZDe260feCDBDSVEuVkVORC5JUV9UT1RBTF9BU1NFVFMuMjAwMC4wMS8wMS8yMDI0Li4uVVNELkgBAAAAQmYNAAIAAAAKNTU0NSw4ODU2NQEIAAAABQAAAAExAQAAAAstMTkzODEwNzMxNgMAAAADMTYwAgAAAAQxMDA3</t>
  </si>
  <si>
    <t>BAAAAAEwBwAAAAgxLzEvMjAyNAgAAAAKMTIvMzEvMjAyMwkAAAABMPuM+KzrR94IlGQ3tutH3gguQ0lRLlZFTkQuSVFfQ0FTSF9FUVVJVi4yMDAwLjAxLzAxLzIwMjQuLi5VU0QuSAEAAABCZg0AAgAAAAoxMjYsMTMwMjY2AQgAAAAFAAAAATEBAAAACy0xOTM4MTA3MzE2AwAAAAMxNjACAAAABDEwOTYEAAAAATAHAAAACDEvMS8yMDI0CAAAAAoxMi8zMS8yMDIzCQAAAAEw+4z4rOtH3ghTPTe260feCCxDSVEuVkVORC5JUV9ORVRfREVCVC4yMDAwLjAxLzAxLzIwMjQuLi5VU0QuSAEAAABCZg0AAgAAAAo2NTEsNzU1MjE5AQgAAAAFAAAAATEBAAAACy0xOTM4MTA3MzE2AwAAAAMxNjACAAAABDQzNjQEAAAAATAHAAAACDEvMS8yMDI0CAAAAAoxMi8zMS8yMDIzCQAAAAEw+4z4rOtH3ghTPTe260feCCtDSVEuV1VGMVYuSVFfRUJJVERBLjIwMDAuMDEvMDEvMjAyNC4uLlVTRC5IAQAAAMjQfAACAAAACDQsODcyMzMzAQgAAAAFAAAAATEBAAAACy0xOTU2NDgyNjQyAwAAAAMxNjACAAAABDQwNTEEAAAAATAHAAAACDEvMS8yMDI0CAAAAAoxMi8zMS8yMDIzCQAAAAEw0MOKretH3gi4jze260feCDJDSVEuV1VGMVYuSVFfRUJJVERBX01BUkdJTi4yMDAwLjAxLzAxLzIwMjQuLi5VU0QuSAEAAADI0HwAAgAAAAY0LDcwMDIBCAAAAAUAAAABMQEAAAALLTE5NTY0ODI2NDIDAAAAAjUwAgAAAAQ0MDQ3BAAAAAEwBwAA</t>
  </si>
  <si>
    <t>AAgxLzEvMjAyNAgAAAAKMTIvMzEvMjAyMwkAAAABMNDDiq3rR94IuI83tutH3ggxQ0lRLldVRjFWLklRX1RPVEFMX0FTU0VUUy4yMDAwLjAxLzAxLzIwMjQuLi5VU0QuSAEAAADI0HwAAgAAAAk1NCw3Njk1MzcBCAAAAAUAAAABMQEAAAALLTE5NTY0ODI2NDIDAAAAAzE2MAIAAAAEMTAwNwQAAAABMAcAAAAIMS8xLzIwMjQIAAAACjEyLzMxLzIwMjMJAAAAATDQw4qt60feCLiPN7brR94IL0NJUS5XVUYxVi5JUV9DQVNIX0VRVUlWLjIwMDAuMDEvMDEvMjAyNC4uLlVTRC5IAQAAAMjQfAACAAAACDAsMTY2OTA2AQgAAAAFAAAAATEBAAAACy0xOTU2NDgyNjQyAwAAAAMxNjACAAAABDEwOTYEAAAAATAHAAAACDEvMS8yMDI0CAAAAAoxMi8zMS8yMDIzCQAAAAEw0MOKretH3gi4jze260feCC1DSVEuV1VGMVYuSVFfTkVUX0RFQlQuMjAwMC4wMS8wMS8yMDI0Li4uVVNELkgBAAAAyNB8AAIAAAAJMTIsODczODgxAQgAAAAFAAAAATEBAAAACy0xOTU2NDgyNjQyAwAAAAMxNjACAAAABDQzNjQEAAAAATAHAAAACDEvMS8yMDI0CAAAAAoxMi8zMS8yMDIzCQAAAAEw0MOKretH3gi4jze260feCCpDSVEuU0VHRy5JUV9FQklUREEuMjAwMC4wMS8wMS8yMDI0Li4uVVNELkgBAAAAsWj5EQIAAAAKLTEyLDc1OTMyMQEIAAAABQAAAAExAQAAAAstMTk1MDIyNDcyOQMAAAADMTYwAgAAAAQ0MDUxBAAAAAEwBwAAAAgxLzEv</t>
  </si>
  <si>
    <t>MjAyNAgAAAAKMTIvMzEvMjAyMwkAAAABMK1GTqzrR94IM7o3tutH3ggxQ0lRLlNFR0cuSVFfRUJJVERBX01BUkdJTi4yMDAwLjAxLzAxLzIwMjQuLi5VU0QuSAEAAACxaPkRAgAAAAktMTgxLDc4NzIBCAAAAAUAAAABMQEAAAALLTE5NTAyMjQ3MjkDAAAAAzE2MAIAAAAENDA0NwQAAAABMAcAAAAIMS8xLzIwMjQIAAAACjEyLzMxLzIwMjMJAAAAATCtRk6s60feCE0QOLbrR94IMENJUS5TRUdHLklRX1RPVEFMX0FTU0VUUy4yMDAwLjAxLzAxLzIwMjQuLi5VU0QuSAEAAACxaPkRAgAAAAk2NCw0MDg1NjMBCAAAAAUAAAABMQEAAAALLTE5NTAyMjQ3MjkDAAAAAzE2MAIAAAAEMTAwNwQAAAABMAcAAAAIMS8xLzIwMjQIAAAACjEyLzMxLzIwMjMJAAAAATCtRk6s60feCE0QOLbrR94ILkNJUS5TRUdHLklRX0NBU0hfRVFVSVYuMjAwMC4wMS8wMS8yMDI0Li4uVVNELkgBAAAAsWj5EQIAAAAIMCwzNTk4MjYBCAAAAAUAAAABMQEAAAALLTE5NTAyMjQ3MjkDAAAAAzE2MAIAAAAEMTA5NgQAAAABMAcAAAAIMS8xLzIwMjQIAAAACjEyLzMxLzIwMjMJAAAAATCtRk6s60feCA3lN7brR94ILENJUS5TRUdHLklRX05FVF9ERUJULjIwMDAuMDEvMDEvMjAyNC4uLlVTRC5IAQAAALFo+RECAAAACDUsNjY2ODQzAQgAAAAFAAAAATEBAAAACy0xOTUwMjI0NzI5AwAAAAMxNjACAAAABDQzNjQEAAAAATAHAAAACDEvMS8yMDI0</t>
  </si>
  <si>
    <t>CAAAAAoxMi8zMS8yMDIzCQAAAAEwrUZOrOtH3ggN5Te260feCClDSVEuQUNULklRX0VCSVREQS4yMDAwLjAxLzAxLzIwMjQuLi5VU0QuSAEAAACeW/ESAwAAAAAArUZOrOtH3gjzOTi260feCDBDSVEuQUNULklRX0VCSVREQV9NQVJHSU4uMjAwMC4wMS8wMS8yMDI0Li4uVVNELkgBAAAAnlvxEgMAAAAAAK1GTqzrR94I8zk4tutH3ggvQ0lRLkFDVC5JUV9UT1RBTF9BU1NFVFMuMjAwMC4wMS8wMS8yMDI0Li4uVVNELkgBAAAAnlvxEgIAAAAINjE5MCw0NzMBCAAAAAUAAAABMQEAAAALLTE5NTczMTQxMjQDAAAAAzE2MAIAAAAEMTAwNwQAAAABMAcAAAAIMS8xLzIwMjQIAAAACjEyLzMxLzIwMjMJAAAAATCtRk6s60feCPM5OLbrR94ILUNJUS5BQ1QuSVFfQ0FTSF9FUVVJVi4yMDAwLjAxLzAxLzIwMjQuLi5VU0QuSAEAAACeW/ESAgAAAAc2MTUsNjgzAQgAAAAFAAAAATEBAAAACy0xOTU3MzE0MTI0AwAAAAMxNjACAAAABDEwOTYEAAAAATAHAAAACDEvMS8yMDI0CAAAAAoxMi8zMS8yMDIzCQAAAAEwrUZOrOtH3ggVaTi260feCCtDSVEuQUNULklRX05FVF9ERUJULjIwMDAuMDEvMDEvMjAyNC4uLlVTRC5IAQAAAJ5b8RICAAAABzE0MywyMzMBCAAAAAUAAAABMQEAAAALLTE5NTczMTQxMjQDAAAAAzE2MAIAAAAENDM2NAQAAAABMAcAAAAIMS8xLzIwMjQIAAAACjEyLzMxLzIwMjMJAAAAATCtRk6s60feCBVp</t>
  </si>
  <si>
    <t>OLbrR94IKUNJUS5NU0kuSVFfRUJJVERBLjIwMDAuMDEvMDEvMjAyNC4uLlVTRC5IAQAAAHKDAQACAAAABDI4MjIBCAAAAAUAAAABMQEAAAALLTE5NTk0NzMxMzADAAAAAzE2MAIAAAAENDA1MQQAAAABMAcAAAAIMS8xLzIwMjQIAAAACjEyLzMxLzIwMjMJAAAAATCtRk6s60feCJyTOLbrR94IMENJUS5NU0kuSVFfRUJJVERBX01BUkdJTi4yMDAwLjAxLzAxLzIwMjQuLi5VU0QuSAEAAABygwEAAgAAAAcyOCwyODIyAQgAAAAFAAAAATEBAAAACy0xOTU5NDczMTMwAwAAAAMxNjACAAAABDQwNDcEAAAAATAHAAAACDEvMS8yMDI0CAAAAAoxMi8zMS8yMDIzCQAAAAEwrUZOrOtH3gickzi260feCC9DSVEuTVNJLklRX1RPVEFMX0FTU0VUUy4yMDAwLjAxLzAxLzIwMjQuLi5VU0QuSAEAAABygwEAAgAAAAUxMzMzNgEIAAAABQAAAAExAQAAAAstMTk1OTQ3MzEzMAMAAAADMTYwAgAAAAQxMDA3BAAAAAEwBwAAAAgxLzEvMjAyNAgAAAAKMTIvMzEvMjAyMwkAAAABMK1GTqzrR94Icb44tutH3ggtQ0lRLk1TSS5JUV9DQVNIX0VRVUlWLjIwMDAuMDEvMDEvMjAyNC4uLlVTRC5IAQAAAHKDAQACAAAABDE3MDUBCAAAAAUAAAABMQEAAAALLTE5NTk0NzMxMzADAAAAAzE2MAIAAAAEMTA5NgQAAAABMAcAAAAIMS8xLzIwMjQIAAAACjEyLzMxLzIwMjMJAAAAATCtRk6s60feCHG+OLbrR94IK0NJUS5NU0kuSVFfTkVUX0RF</t>
  </si>
  <si>
    <t>QlQuMjAwMC4wMS8wMS8yMDI0Li4uVVNELkgBAAAAcoMBAAIAAAAENDg0NQEIAAAABQAAAAExAQAAAAstMTk1OTQ3MzEzMAMAAAADMTYwAgAAAAQ0MzY0BAAAAAEwBwAAAAgxLzEvMjAyNAgAAAAKMTIvMzEvMjAyMwkAAAABMK1GTqzrR94Icb44tutH3ggpQ0lRLlNVTi5JUV9FQklUREEuMjAwMC4wMS8wMS8yMDI0Li4uVVNELkgBAAAA3ic5AQIAAAADODE1AQgAAAAFAAAAATEBAAAACy0xOTU5NTczNjc0AwAAAAMxNjACAAAABDQwNTEEAAAAATAHAAAACDEvMS8yMDI0CAAAAAoxMi8zMS8yMDIzCQAAAAEw8/+JretH3ghxvji260feCDBDSVEuU1VOLklRX0VCSVREQV9NQVJHSU4uMjAwMC4wMS8wMS8yMDI0Li4uVVNELkgBAAAA3ic5AQIAAAAFMyw1MzMBCAAAAAUAAAABMQEAAAALLTE5NTk1NzM2NzQDAAAAAzE2MAIAAAAENDA0NwQAAAABMAcAAAAIMS8xLzIwMjQIAAAACjEyLzMxLzIwMjMJAAAAATDz/4mt60feCFodObbrR94IL0NJUS5TVU4uSVFfVE9UQUxfQVNTRVRTLjIwMDAuMDEvMDEvMjAyNC4uLlVTRC5IAQAAAN4nOQECAAAABDY4MjYBCAAAAAUAAAABMQEAAAALLTE5NTk1NzM2NzQDAAAAAzE2MAIAAAAEMTAwNwQAAAABMAcAAAAIMS8xLzIwMjQIAAAACjEyLzMxLzIwMjMJAAAAATDz/4mt60feCFodObbrR94ILUNJUS5TVU4uSVFfQ0FTSF9FUVVJVi4yMDAwLjAxLzAxLzIwMjQuLi5VU0QuSAEA</t>
  </si>
  <si>
    <t>AADeJzkBAgAAAAIyOQEIAAAABQAAAAExAQAAAAstMTk1OTU3MzY3NAMAAAADMTYwAgAAAAQxMDk2BAAAAAEwBwAAAAgxLzEvMjAyNAgAAAAKMTIvMzEvMjAyMwkAAAABMPP/ia3rR94IRfI4tutH3ggrQ0lRLlNVTi5JUV9ORVRfREVCVC4yMDAwLjAxLzAxLzIwMjQuLi5VU0QuSAEAAADeJzkBAgAAAAQ0MDg0AQgAAAAFAAAAATEBAAAACy0xOTU5NTczNjc0AwAAAAMxNjACAAAABDQzNjQEAAAAATAHAAAACDEvMS8yMDI0CAAAAAoxMi8zMS8yMDIzCQAAAAEw8/+JretH3ghF8ji260feCClDSVEuVEJTLklRX0VCSVREQS4yMDAwLjAxLzAxLzIwMjQuLi5VU0QuSAEAAADemOclAgAAAAg3LDk0MDA5NgEIAAAABQAAAAExAQAAAAstMTk0MjExMjU1MgMAAAADMTYwAgAAAAQ0MDUxBAAAAAEwBwAAAAgxLzEvMjAyNAgAAAAKMTIvMzEvMjAyMwkAAAABMK1GTqzrR94IXEg5tutH3ggwQ0lRLlRCUy5JUV9FQklUREFfTUFSR0lOLjIwMDAuMDEvMDEvMjAyNC4uLlVTRC5IAQAAAN6Y5yUCAAAABjcsNjI1MwEIAAAABQAAAAExAQAAAAstMTk0MjExMjU1MgMAAAACMTUCAAAABDQwNDcEAAAAATAHAAAACDEvMS8yMDI0CAAAAAoxMi8zMS8yMDIzCQAAAAEwrUZOrOtH3ghcSDm260feCC9DSVEuVEJTLklRX1RPVEFMX0FTU0VUUy4yMDAwLjAxLzAxLzIwMjQuLi5VU0QuSAEAAADemOclAgAAAAk3NywxMzA4MjgBCAAAAAUA</t>
  </si>
  <si>
    <t>AAABMQEAAAALLTE5NDIxMTI1NTIDAAAAAzE2MAIAAAAEMTAwNwQAAAABMAcAAAAIMS8xLzIwMjQIAAAACjEyLzMxLzIwMjMJAAAAATCtRk6s60feCFxIObbrR94ILUNJUS5UQlMuSVFfQ0FTSF9FUVVJVi4yMDAwLjAxLzAxLzIwMjQuLi5VU0QuSAEAAADemOclAgAAAAg3LDk2MzI2NgEIAAAABQAAAAExAQAAAAstMTk0MjExMjU1MgMAAAADMTYwAgAAAAQxMDk2BAAAAAEwBwAAAAgxLzEvMjAyNAgAAAAKMTIvMzEvMjAyMwkAAAABMK1GTqzrR94IXEg5tutH3ggrQ0lRLlRCUy5JUV9ORVRfREVCVC4yMDAwLjAxLzAxLzIwMjQuLi5VU0QuSAEAAADemOclAgAAAAktMywzMDQ4ODgBCAAAAAUAAAABMQEAAAALLTE5NDIxMTI1NTIDAAAAAzE2MAIAAAAENDM2NAQAAAABMAcAAAAIMS8xLzIwMjQIAAAACjEyLzMxLzIwMjMJAAAAATCtRk6s60feCJV3ObbrR94IKUNJUS5GQUIuSVFfRUJJVERBLjIwMDAuMDEvMDEvMjAyNC4uLlVTRC5IAQAAAMm1TAACAAAACS0zLDExMjQyMgEIAAAABQAAAAExAQAAAAstMTkyNDMzNzAzNwMAAAADMTYwAgAAAAQ0MDUxBAAAAAEwBwAAAAgxLzEvMjAyNAgAAAAKMTIvMzEvMjAyMwkAAAABMK1GTqzrR94I9545tutH3ggwQ0lRLkZBQi5JUV9FQklUREFfTUFSR0lOLjIwMDAuMDEvMDEvMjAyNC4uLlVTRC5IAQAAAMm1TAACAAAABC0xODABCAAAAAUAAAABMQEAAAALLTE5MjQzMzcw</t>
  </si>
  <si>
    <t>MzcDAAAAAjU1AgAAAAQ0MDQ3BAAAAAEwBwAAAAgxLzEvMjAyNAgAAAAKMTIvMzEvMjAyMwkAAAABMK1GTqzrR94I9545tutH3ggvQ0lRLkZBQi5JUV9UT1RBTF9BU1NFVFMuMjAwMC4wMS8wMS8yMDI0Li4uVVNELkgBAAAAybVMAAIAAAAIMywwODI0ODgBCAAAAAUAAAABMQEAAAALLTE5MjQzMzcwMzcDAAAAAzE2MAIAAAAEMTAwNwQAAAABMAcAAAAIMS8xLzIwMjQIAAAACjEyLzMxLzIwMjMJAAAAATCtRk6s60feCPeeObbrR94ILUNJUS5GQUIuSVFfQ0FTSF9FUVVJVi4yMDAwLjAxLzAxLzIwMjQuLi5VU0QuSAEAAADJtUwAAgAAAAgxLDUyNzIzMwEIAAAABQAAAAExAQAAAAstMTkyNDMzNzAzNwMAAAADMTYwAgAAAAQxMDk2BAAAAAEwBwAAAAgxLzEvMjAyNAgAAAAKMTIvMzEvMjAyMwkAAAABMK1GTqzrR94IOMo5tutH3ggrQ0lRLkZBQi5JUV9ORVRfREVCVC4yMDAwLjAxLzAxLzIwMjQuLi5VU0QuSAEAAADJtUwAAgAAAAktMSw0NzI0NjEBCAAAAAUAAAABMQEAAAALLTE5MjQzMzcwMzcDAAAAAzE2MAIAAAAENDM2NAQAAAABMAcAAAAIMS8xLzIwMjQIAAAACjEyLzMxLzIwMjMJAAAAATCtRk6s60feCDjKObbrR94IKUNJUS5IU04uSVFfRUJJVERBLjIwMDAuMDEvMDEvMjAyNC4uLlVTRC5IAQAAAFRrFwACAAAACTQ1LDY4NjQzNQEIAAAABQAAAAExAQAAAAstMTk1OTIzNjUzMgMAAAADMTYwAgAAAAQ0</t>
  </si>
  <si>
    <t>MDUxBAAAAAEwBwAAAAgxLzEvMjAyNAgAAAAKMTIvMzEvMjAyMwkAAAABMK1GTqzrR94IOMo5tutH3ggwQ0lRLkhTTi5JUV9FQklUREFfTUFSR0lOLjIwMDAuMDEvMDEvMjAyNC4uLlVTRC5IAQAAAFRrFwACAAAABzIwLDI3NzcBCAAAAAUAAAABMQEAAAALLTE5NTkyMzY1MzIDAAAAATkCAAAABDQwNDcEAAAAATAHAAAACDEvMS8yMDI0CAAAAAoxMi8zMS8yMDIzCQAAAAEwrUZOrOtH3giNRTq260feCC9DSVEuSFNOLklRX1RPVEFMX0FTU0VUUy4yMDAwLjAxLzAxLzIwMjQuLi5VU0QuSAEAAABUaxcAAgAAAAozMzgsNjQ0MTcyAQgAAAAFAAAAATEBAAAACy0xOTU5MjM2NTMyAwAAAAMxNjACAAAABDEwMDcEAAAAATAHAAAACDEvMS8yMDI0CAAAAAoxMi8zMS8yMDIzCQAAAAEwrUZOrOtH3giNRTq260feCC1DSVEuSFNOLklRX0NBU0hfRVFVSVYuMjAwMC4wMS8wMS8yMDI0Li4uVVNELkgBAAAAVGsXAAIAAAAIMzAsNzQ5ODMBCAAAAAUAAAABMQEAAAALLTE5NTkyMzY1MzIDAAAAAzE2MAIAAAAEMTA5NgQAAAABMAcAAAAIMS8xLzIwMjQIAAAACjEyLzMxLzIwMjMJAAAAATCtRk6s60feCDwYOrbrR94IK0NJUS5IU04uSVFfTkVUX0RFQlQuMjAwMC4wMS8wMS8yMDI0Li4uVVNELkgBAAAAVGsXAAIAAAAIMyw0NDMwODEBCAAAAAUAAAABMQEAAAALLTE5NTkyMzY1MzIDAAAAAzE2MAIAAAAENDM2NAQAAAABMAcA</t>
  </si>
  <si>
    <t>AAAIMS8xLzIwMjQIAAAACjEyLzMxLzIwMjMJAAAAATCtRk6s60feCDwYOrbrR94IKUNJUS5URFkuSVFfRUJJVERBLjIwMDAuMDEvMDEvMjAyNC4uLlVTRC5IAQAAAP4zBgACAAAABjEzNjMsMgEIAAAABQAAAAExAQAAAAstMTk1ODc1Nzk4OQMAAAADMTYwAgAAAAQ0MDUxBAAAAAEwBwAAAAgxLzEvMjAyNAgAAAAKMTIvMzEvMjAyMwkAAAABMJ6b5azrR94IS206tutH3ggwQ0lRLlREWS5JUV9FQklUREFfTUFSR0lOLjIwMDAuMDEvMDEvMjAyNC4uLlVTRC5IAQAAAP4zBgACAAAABzI0LDE4OTUBCAAAAAUAAAABMQEAAAALLTE5NTg3NTc5ODkDAAAAAzE2MAIAAAAENDA0NwQAAAABMAcAAAAIMS8xLzIwMjQIAAAACjEyLzMxLzIwMjMJAAAAATCem+Ws60feCEttOrbrR94IL0NJUS5URFkuSVFfVE9UQUxfQVNTRVRTLjIwMDAuMDEvMDEvMjAyNC4uLlVTRC5IAQAAAP4zBgACAAAABzE0NTI3LDkBCAAAAAUAAAABMQEAAAALLTE5NTg3NTc5ODkDAAAAAzE2MAIAAAAEMTAwNwQAAAABMAcAAAAIMS8xLzIwMjQIAAAACjEyLzMxLzIwMjMJAAAAATCem+Ws60feCEttOrbrR94ILUNJUS5URFkuSVFfQ0FTSF9FUVVJVi4yMDAwLjAxLzAxLzIwMjQuLi5VU0QuSAEAAAD+MwYAAgAAAAU2NDgsMwEIAAAABQAAAAExAQAAAAstMTk1ODc1Nzk4OQMAAAADMTYwAgAAAAQxMDk2BAAAAAEwBwAAAAgxLzEvMjAyNAgAAAAKMTIv</t>
  </si>
  <si>
    <t>MzEvMjAyMwkAAAABMJ6b5azrR94IS206tutH3ggrQ0lRLlREWS5JUV9ORVRfREVCVC4yMDAwLjAxLzAxLzIwMjQuLi5VU0QuSAEAAAD+MwYAAgAAAAYyNzUwLDEBCAAAAAUAAAABMQEAAAALLTE5NTg3NTc5ODkDAAAAAzE2MAIAAAAENDM2NAQAAAABMAcAAAAIMS8xLzIwMjQIAAAACjEyLzMxLzIwMjMJAAAAATCem+Ws60feCFeWOrbrR94IKkNJUS5YUFJPLklRX0VCSVREQS4yMDAwLjAxLzAxLzIwMjQuLi5VU0QuSAEAAABf8gEAAgAAAAcyMDgsNzE3AQgAAAAFAAAAATEBAAAACy0xOTU4MjEyMDQzAwAAAAMxNjACAAAABDQwNTEEAAAAATAHAAAACDEvMS8yMDI0CAAAAAoxMi8zMS8yMDIzCQAAAAEwrUZOrOtH3ghXljq260feCDFDSVEuWFBSTy5JUV9FQklUREFfTUFSR0lOLjIwMDAuMDEvMDEvMjAyNC4uLlVTRC5IAQAAAF/yAQACAAAABjEzLDc5NwEIAAAABQAAAAExAQAAAAstMTk1ODIxMjA0MwMAAAADMTYwAgAAAAQ0MDQ3BAAAAAEwBwAAAAgxLzEvMjAyNAgAAAAKMTIvMzEvMjAyMwkAAAABMK1GTqzrR94IV5Y6tutH3ggwQ0lRLlhQUk8uSVFfVE9UQUxfQVNTRVRTLjIwMDAuMDEvMDEvMjAyNC4uLlVTRC5IAQAAAF/yAQACAAAACDIwMTMsMDA3AQgAAAAFAAAAATEBAAAACy0xOTU4MjEyMDQzAwAAAAMxNjACAAAABDEwMDcEAAAAATAHAAAACDEvMS8yMDI0CAAAAAoxMi8zMS8yMDIzCQAAAAEwrUZO</t>
  </si>
  <si>
    <t>rOtH3giuwDq260feCC5DSVEuWFBSTy5JUV9DQVNIX0VRVUlWLjIwMDAuMDEvMDEvMjAyNC4uLlVTRC5IAQAAAF/yAQACAAAABzE1MSw3NDEBCAAAAAUAAAABMQEAAAALLTE5NTgyMTIwNDMDAAAAAzE2MAIAAAAEMTA5NgQAAAABMAcAAAAIMS8xLzIwMjQIAAAACjEyLzMxLzIwMjMJAAAAATCtRk6s60feCK7AOrbrR94ILENJUS5YUFJPLklRX05FVF9ERUJULjIwMDAuMDEvMDEvMjAyNC4uLlVTRC5IAQAAAF/yAQACAAAABy00MCw4NTcBCAAAAAUAAAABMQEAAAALLTE5NTgyMTIwNDMDAAAAAzE2MAIAAAAENDM2NAQAAAABMAcAAAAIMS8xLzIwMjQIAAAACjEyLzMxLzIwMjMJAAAAATCtRk6s60feCK7AOrbrR94IK0NJUS5BQlRFQy5JUV9FQklUREEuMjAwMC4wMS8wMS8yMDI0Li4uVVNELkgBAAAAnARaAgIAAAAJLTIsNjg5NjM4AQgAAAAFAAAAATEBAAAACy0xOTQyMDcyMjM0AwAAAAMxNjACAAAABDQwNTEEAAAAATAHAAAACDEvMS8yMDI0CAAAAAoxMi8zMS8yMDIzCQAAAAEwwJyKretH3giuwDq260feCDJDSVEuQUJURUMuSVFfRUJJVERBX01BUkdJTi4yMDAwLjAxLzAxLzIwMjQuLi5VU0QuSAEAAACcBFoCAgAAAAgtMTQ1LDU2NgEIAAAABQAAAAExAQAAAAstMTk0MjA3MjIzNAMAAAADMTE3AgAAAAQ0MDQ3BAAAAAEwBwAAAAgxLzEvMjAyNAgAAAAKMTIvMzEvMjAyMwkAAAABMMCciq3rR94ISBc7tutH</t>
  </si>
  <si>
    <t>3ggxQ0lRLkFCVEVDLklRX1RPVEFMX0FTU0VUUy4yMDAwLjAxLzAxLzIwMjQuLi5VU0QuSAEAAACcBFoCAgAAAAkyMyw0NDU0NjUBCAAAAAUAAAABMQEAAAALLTE5NDIwNzIyMzQDAAAAAzE2MAIAAAAEMTAwNwQAAAABMAcAAAAIMS8xLzIwMjQIAAAACjEyLzMxLzIwMjMJAAAAATDAnIqt60feCEgXO7brR94IL0NJUS5BQlRFQy5JUV9DQVNIX0VRVUlWLjIwMDAuMDEvMDEvMjAyNC4uLlVTRC5IAQAAAJwEWgICAAAACDAsNDc3MzE3AQgAAAAFAAAAATEBAAAACy0xOTQyMDcyMjM0AwAAAAMxNjACAAAABDEwOTYEAAAAATAHAAAACDEvMS8yMDI0CAAAAAoxMi8zMS8yMDIzCQAAAAEwwJyKretH3gjt7Dq260feCC1DSVEuQUJURUMuSVFfTkVUX0RFQlQuMjAwMC4wMS8wMS8yMDI0Li4uVVNELkgBAAAAnARaAgIAAAAINCw3MDM0MzcBCAAAAAUAAAABMQEAAAALLTE5NDIwNzIyMzQDAAAAAzE2MAIAAAAENDM2NAQAAAABMAcAAAAIMS8xLzIwMjQIAAAACjEyLzMxLzIwMjMJAAAAATDAnIqt60feCO3sOrbrR94IKUNJUS5ORVguSVFfRUJJVERBLjIwMDAuMDEvMDEvMjAyNC4uLlVTRC5IAQAAADuxUgACAAAACjYzMCwwNDMxMDgBCAAAAAUAAAABMQEAAAALLTE5NTM2MjEzNTcDAAAAAzE2MAIAAAAENDA1MQQAAAABMAcAAAAIMS8xLzIwMjQIAAAACjEyLzMxLzIwMjMJAAAAATCtRk6s60feCEgXO7brR94IMENJUS5O</t>
  </si>
  <si>
    <t>RVguSVFfRUJJVERBX01BUkdJTi4yMDAwLjAxLzAxLzIwMjQuLi5VU0QuSAEAAAA7sVIAAgAAAAU3LDMxNwEIAAAABQAAAAExAQAAAAstMTk1MzYyMTM1NwMAAAACNTACAAAABDQwNDcEAAAAATAHAAAACDEvMS8yMDI0CAAAAAoxMi8zMS8yMDIzCQAAAAEwrUZOrOtH3ghIFzu260feCC9DSVEuTkVYLklRX1RPVEFMX0FTU0VUUy4yMDAwLjAxLzAxLzIwMjQuLi5VU0QuSAEAAAA7sVIAAgAAAAs3MjI0LDQ5NDMwNQEIAAAABQAAAAExAQAAAAstMTk1MzYyMTM1NwMAAAADMTYwAgAAAAQxMDA3BAAAAAEwBwAAAAgxLzEvMjAyNAgAAAAKMTIvMzEvMjAyMwkAAAABMK1GTqzrR94ISBc7tutH3ggtQ0lRLk5FWC5JUV9DQVNIX0VRVUlWLjIwMDAuMDEvMDEvMjAyNC4uLlVTRC5IAQAAADuxUgACAAAACzEyNTAsMTM4MTY3AQgAAAAFAAAAATEBAAAACy0xOTUzNjIxMzU3AwAAAAMxNjACAAAABDEwOTYEAAAAATAHAAAACDEvMS8yMDI0CAAAAAoxMi8zMS8yMDIzCQAAAAEwrUZOrOtH3gipQTu260feCCtDSVEuTkVYLklRX05FVF9ERUJULjIwMDAuMDEvMDEvMjAyNC4uLlVTRC5IAQAAADuxUgACAAAACDIzNiw1NDI1AQgAAAAFAAAAATEBAAAACy0xOTUzNjIxMzU3AwAAAAMxNjACAAAABDQzNjQEAAAAATAHAAAACDEvMS8yMDI0CAAAAAoxMi8zMS8yMDIzCQAAAAEwrUZOrOtH3gipQTu260feCCtDSVEuUkFZIEIuSVFf</t>
  </si>
  <si>
    <t>RUJJVERBLjIwMDAuMDEvMDEvMjAyNC4uLlVTRC5IAQAAADv3CwACAAAACTIxLDMzMTQ5MwEIAAAABQAAAAExAQAAAAstMTk0ODIxOTg1OAMAAAADMTYwAgAAAAQ0MDUxBAAAAAEwBwAAAAgxLzEvMjAyNAgAAAAKMTIvMzEvMjAyMwkAAAABMK1GTqzrR94IqUE7tutH3ggyQ0lRLlJBWSBCLklRX0VCSVREQV9NQVJHSU4uMjAwMC4wMS8wMS8yMDI0Li4uVVNELkgBAAAAO/cLAAIAAAAHMjAsOTg3MwEIAAAABQAAAAExAQAAAAstMTk0ODIxOTg1OAMAAAADMTM3AgAAAAQ0MDQ3BAAAAAEwBwAAAAgxLzEvMjAyNAgAAAAKMTIvMzEvMjAyMwkAAAABMK1GTqzrR94IqUE7tutH3ggxQ0lRLlJBWSBCLklRX1RPVEFMX0FTU0VUUy4yMDAwLjAxLzAxLzIwMjQuLi5VU0QuSAEAAAA79wsAAgAAAAoxOTQsMTY2MDY4AQgAAAAFAAAAATEBAAAACy0xOTQ4MjE5ODU4AwAAAAMxNjACAAAABDEwMDcEAAAAATAHAAAACDEvMS8yMDI0CAAAAAoxMi8zMS8yMDIzCQAAAAEwrUZOrOtH3ggUbDu260feCC9DSVEuUkFZIEIuSVFfQ0FTSF9FUVVJVi4yMDAwLjAxLzAxLzIwMjQuLi5VU0QuSAEAAAA79wsAAgAAAAczNCwxNzQ0AQgAAAAFAAAAATEBAAAACy0xOTQ4MjE5ODU4AwAAAAMxNjACAAAABDEwOTYEAAAAATAHAAAACDEvMS8yMDI0CAAAAAoxMi8zMS8yMDIzCQAAAAEwrUZOrOtH3ggUbDu260feCC1DSVEuUkFZIEIuSVFfTkVU</t>
  </si>
  <si>
    <t>X0RFQlQuMjAwMC4wMS8wMS8yMDI0Li4uVVNELkgBAAAAO/cLAAIAAAAJMTgsNDYzMDUyAQgAAAAFAAAAATEBAAAACy0xOTQ4MjE5ODU4AwAAAAMxNjACAAAABDQzNjQEAAAAATAHAAAACDEvMS8yMDI0CAAAAAoxMi8zMS8yMDIzCQAAAAEwrUZOrOtH3ggUbDu260feCClDSVEuVExWLklRX0VCSVREQS4yMDAwLjAxLzAxLzIwMjQuLi5VU0QuSAEAAACsSnsAAwAAAAJOQQCtRk6s60feCBRsO7brR94IMENJUS5UTFYuSVFfRUJJVERBX01BUkdJTi4yMDAwLjAxLzAxLzIwMjQuLi5VU0QuSAEAAACsSnsAAwAAAAJOQQCtRk6s60feCAPEO7brR94IL0NJUS5UTFYuSVFfVE9UQUxfQVNTRVRTLjIwMDAuMDEvMDEvMjAyNC4uLlVTRC5IAQAAAKxKewACAAAADDM3NTkxLDQ5MDM1OAEIAAAABQAAAAExAQAAAAstMTk1NDIyMjMxMAMAAAADMTYwAgAAAAQxMDA3BAAAAAEwBwAAAAgxLzEvMjAyNAgAAAAKMTIvMzEvMjAyMwkAAAABMK1GTqzrR94IA8Q7tutH3ggtQ0lRLlRMVi5JUV9DQVNIX0VRVUlWLjIwMDAuMDEvMDEvMjAyNC4uLlVTRC5IAQAAAKxKewACAAAACzM1ODcsNzY2OTg2AQgAAAAFAAAAATEBAAAACy0xOTU0MjIyMzEwAwAAAAMxNjACAAAABDEwOTYEAAAAATAHAAAACDEvMS8yMDI0CAAAAAoxMi8zMS8yMDIzCQAAAAEwrUZOrOtH3gizlzu260feCCtDSVEuVExWLklRX05FVF9ERUJULjIwMDAuMDEvMDEv</t>
  </si>
  <si>
    <t>MjAyNC4uLlVTRC5IAQAAAKxKewACAAAADC0xMzgyLDg1NDUzOQEIAAAABQAAAAExAQAAAAstMTk1NDIyMjMxMAMAAAADMTYwAgAAAAQ0MzY0BAAAAAEwBwAAAAgxLzEvMjAyNAgAAAAKMTIvMzEvMjAyMwkAAAABMK1GTqzrR94Is5c7tutH3ggqQ0lRLkFDQUQuSVFfRUJJVERBLjIwMDAuMDEvMDEvMjAyNC4uLlVTRC5IAQAAAMFuCgACAAAABy02Nyw4MjcBCAAAAAUAAAABMQEAAAALLTE5NTc1MDAxNTADAAAAAzE2MAIAAAAENDA1MQQAAAABMAcAAAAIMS8xLzIwMjQIAAAACjEyLzMxLzIwMjMJAAAAATCtRk6s60feCAPEO7brR94IMUNJUS5BQ0FELklRX0VCSVREQV9NQVJHSU4uMjAwMC4wMS8wMS8yMDI0Li4uVVNELkgBAAAAwW4KAAIAAAAHLTksMzM2OQEIAAAABQAAAAExAQAAAAstMTk1NzUwMDE1MAMAAAADMTYwAgAAAAQ0MDQ3BAAAAAEwBwAAAAgxLzEvMjAyNAgAAAAKMTIvMzEvMjAyMwkAAAABMK1GTqzrR94IRu87tutH3ggoQ0lRLk1BTkcuSVFfTEFTVFNBTEVQUklDRS4yMS8wMy8yMDI0LlVTRAEAAAA5V5MBAgAAAAwyNDIsODg3NDE2MTgAS7HkrOtH3ggqvyC260feCChDSVEuTUFORy5JUV9MQVNUU0FMRVBSSUNFLjIwLzAzLzIwMjQuVVNEAQAAADlXkwECAAAADDIzNiw3NzI0ODQ0OABLseSs60feCDnmILbrR94IKENJUS5NQU5HLklRX0xBU1RTQUxFUFJJQ0UuMTkvMDMvMjAyNC5VU0QBAAAA</t>
  </si>
  <si>
    <t>OVeTAQIAAAAJMjM5LDYxMDAzAEux5KzrR94IOeYgtutH3ggoQ0lRLk1BTkcuSVFfTEFTVFNBTEVQUklDRS4xOC8wMy8yMDI0LlVTRAEAAAA5V5MBAgAAAAsyMzksNDEzODM3NQBLseSs60feCDnmILbrR94IKENJUS5NQU5HLklRX0xBU1RTQUxFUFJJQ0UuMjMvMDMvMjAyNC5VU0QBAAAAOVeTAQIAAAAMMjQwLDQ5MjQ5ODQ0AEux5KzrR94IKr8gtutH3ggoQ0lRLk1BTkcuSVFfTEFTVFNBTEVQUklDRS4yNC8wMy8yMDI0LlVTRAEAAAA5V5MBAgAAAAwyNDAsNDkyNDk4NDQAS7HkrOtH3gg55iC260feCChDSVEuTUFORy5JUV9MQVNUU0FMRVBSSUNFLjI1LzAzLzIwMjQuVVNEAQAAADlXkwECAAAADDI0MCwzMTgyMDM2NABLseSs60feCDnmILbrR94IKENJUS5NQU5HLklRX0xBU1RTQUxFUFJJQ0UuMjYvMDMvMjAyNC5VU0QBAAAAOVeTAQIAAAAMMjQwLDExMTQ3MzA0AEux5KzrR94IKr8gtutH3ggoQ0lRLk1BTkcuSVFfTEFTVFNBTEVQUklDRS4xNS8wMy8yMDI0LlVTRAEAAAA5V5MBAgAAAAkyNDEsMzE1MDcAS7HkrOtH3gg55iC260feCChDSVEuTUFORy5JUV9MQVNUU0FMRVBSSUNFLjI5LzAzLzIwMjQuVVNEAQAAADlXkwECAAAADDIzNyw1NTY1NzA4NgBLseSs60feCCq/ILbrR94IJ0NJUS5FUFIuSVFfTEFTVFNBTEVQUklDRS4yMC8wMy8yMDI0LlVTRAEAAABinAIAAgAAAAU0MSw2OABLseSs60feCEoN</t>
  </si>
  <si>
    <t>IbbrR94IJ0NJUS5FUFIuSVFfTEFTVFNBTEVQUklDRS4xOS8wMy8yMDI0LlVTRAEAAABinAIAAgAAAAU0MiwwOQBLseSs60feCEoNIbbrR94IJ0NJUS5FUFIuSVFfTEFTVFNBTEVQUklDRS4xOC8wMy8yMDI0LlVTRAEAAABinAIAAgAAAAU0MSw0NQBLseSs60feCDnmILbrR94IJ0NJUS5FUFIuSVFfTEFTVFNBTEVQUklDRS4xNy8wMy8yMDI0LlVTRAEAAABinAIAAgAAAAU0MSwzNQBLseSs60feCEoNIbbrR94IJ0NJUS5FUFIuSVFfTEFTVFNBTEVQUklDRS4yMi8wMy8yMDI0LlVTRAEAAABinAIAAgAAAAU0MSw0MQBLseSs60feCF00IbbrR94IJ0NJUS5FUFIuSVFfTEFTVFNBTEVQUklDRS4yMy8wMy8yMDI0LlVTRAEAAABinAIAAgAAAAU0MSw0MQBLseSs60feCF00IbbrR94IJ0NJUS5FUFIuSVFfTEFTVFNBTEVQUklDRS4yNC8wMy8yMDI0LlVTRAEAAABinAIAAgAAAAU0MSw0MQBLseSs60feCEoNIbbrR94IJ0NJUS5FUFIuSVFfTEFTVFNBTEVQUklDRS4yNS8wMy8yMDI0LlVTRAEAAABinAIAAgAAAAU0MSwzNABLseSs60feCEoNIbbrR94IJ0NJUS5FUFIuSVFfTEFTVFNBTEVQUklDRS4xNC8wMy8yMDI0LlVTRAEAAABinAIAAgAAAAU0MSw1OQBLseSs60feCEoNIbbrR94IJ0NJUS5FUFIuSVFfTEFTVFNBTEVQUklDRS4yOC8wMy8yMDI0LlVTRAEAAABinAIAAgAAAAU0Miw0NQBLseSs60feCF00IbbrR94I</t>
  </si>
  <si>
    <t>JUNJUS42LklRX0xBU1RTQUxFUFJJQ0UuMjAvMDMvMjAyNC5VU0QBAAAAG1YNAAIAAAAMNSw4NTQxODcyODE0AEux5KzrR94IXTQhtutH3gglQ0lRLjYuSVFfTEFTVFNBTEVQUklDRS4xOS8wMy8yMDI0LlVTRAEAAAAbVg0AAgAAAA01LDg3MzgwMzM0MTg1AEux5KzrR94IXTQhtutH3gglQ0lRLjYuSVFfTEFTVFNBTEVQUklDRS4xOC8wMy8yMDI0LlVTRAEAAAAbVg0AAgAAAAw1LDg5NTI2ODgyOTgAS7HkrOtH3ghdNCG260feCCVDSVEuNi5JUV9MQVNUU0FMRVBSSUNFLjE3LzAzLzIwMjQuVVNEAQAAABtWDQACAAAADTUsODk5OTEyNDA3MzUAS7HkrOtH3ghrWyG260feCCVDSVEuNi5JUV9MQVNUU0FMRVBSSUNFLjIyLzAzLzIwMjQuVVNEAQAAABtWDQACAAAADDUsOTcwODIwOTgxMwBLseSs60feCGtbIbbrR94IJUNJUS42LklRX0xBU1RTQUxFUFJJQ0UuMjMvMDMvMjAyNC5VU0QBAAAAG1YNAAIAAAAMNSw5NzA4MjA5ODEzAEux5KzrR94Ia1shtutH3gglQ0lRLjYuSVFfTEFTVFNBTEVQUklDRS4yNC8wMy8yMDI0LlVTRAEAAAAbVg0AAgAAAAw1LDk3MDgyMDk4MTMAS7HkrOtH3ghdNCG260feCCVDSVEuNi5JUV9MQVNUU0FMRVBSSUNFLjI1LzAzLzIwMjQuVVNEAQAAABtWDQACAAAADTUsOTg5ODUzNjkxMDUAS7HkrOtH3ghrWyG260feCCVDSVEuNi5JUV9MQVNUU0FMRVBSSUNFLjE0LzAzLzIwMjQuVVNE</t>
  </si>
  <si>
    <t>AQAAABtWDQACAAAADDUsOTI1NDQyOTU3MgBLseSs60feCGtbIbbrR94IJUNJUS42LklRX0xBU1RTQUxFUFJJQ0UuMjgvMDMvMjAyNC5VU0QBAAAAG1YNAAIAAAAMNSw4NTIyMDUwMTE2AEux5KzrR94Ia1shtutH3ggnQ0lRLlNITC5JUV9MQVNUU0FMRVBSSUNFLjE5LzAzLzIwMjQuVVNEAQAAAJUA/CACAAAADDYwLDgxNjY4MTEyOABLseSs60feCHmCIbbrR94IJ0NJUS5TSEwuSVFfTEFTVFNBTEVQUklDRS4xOC8wMy8yMDI0LlVTRAEAAACVAPwgAgAAAAw2MCwzMzkyMDQxNzQAS7HkrOtH3gh5giG260feCCdDSVEuU0hMLklRX0xBU1RTQUxFUFJJQ0UuMTcvMDMvMjAyNC5VU0QBAAAAlQD8IAIAAAAONjAsODIzMTcwNzE5NjQAS7HkrOtH3gh5giG260feCCdDSVEuU0hMLklRX0xBU1RTQUxFUFJJQ0UuMTYvMDMvMjAyNC5VU0QBAAAAlQD8IAIAAAAONjAsODIzMTcwNzE5NjQAS7HkrOtH3gh5giG260feCCdDSVEuU0hMLklRX0xBU1RTQUxFUFJJQ0UuMjEvMDMvMjAyNC5VU0QBAAAAlQD8IAIAAAAONjAsMDA2NTE1MzcwODQAS7HkrOtH3gh5giG260feCCdDSVEuU0hMLklRX0xBU1RTQUxFUFJJQ0UuMjIvMDMvMjAyNC5VU0QBAAAAlQD8IAIAAAANNTksODQyMTc5MjE5MgBLseSs60feCHmCIbbrR94IJ0NJUS5TSEwuSVFfTEFTVFNBTEVQUklDRS4yMy8wMy8yMDI0LlVTRAEAAACVAPwgAgAAAA01OSw4NDIx</t>
  </si>
  <si>
    <t>NzkyMTkyAEux5KzrR94Ia1shtutH3ggnQ0lRLlNITC5JUV9MQVNUU0FMRVBSSUNFLjI0LzAzLzIwMjQuVVNEAQAAAJUA/CACAAAADTU5LDg0MjE3OTIxOTIAS7HkrOtH3ghrWyG260feCCdDSVEuU0hMLklRX0xBU1RTQUxFUFJJQ0UuMTMvMDMvMjAyNC5VU0QBAAAAlQD8IAIAAAAONjEsMzc2ODE5NTM4NjQAS7HkrOtH3gh5giG260feCCdDSVEuU0hMLklRX0xBU1RTQUxFUFJJQ0UuMjcvMDMvMjAyNC5VU0QBAAAAlQD8IAIAAAAONjEsMDA0MTExNjM4MDIAS7HkrOtH3gh5giG260feCCdDSVEuQ0VaLklRX0xBU1RTQUxFUFJJQ0UuMTkvMDMvMjAyNC5VU0QBAAAAO2p/AAIAAAAMMzgsMjA5MTE0MjA5AEux5KzrR94IiakhtutH3ggnQ0lRLkNFWi5JUV9MQVNUU0FMRVBSSUNFLjE4LzAzLzIwMjQuVVNEAQAAADtqfwACAAAADDM4LDUzNzI2NDA0OABLseSs60feCHmCIbbrR94IJ0NJUS5DRVouSVFfTEFTVFNBTEVQUklDRS4xNy8wMy8yMDI0LlVTRAEAAAA7an8AAgAAAAwzNyw3NDUwMDcxMDUAS7HkrOtH3giJqSG260feCCdDSVEuQ0VaLklRX0xBU1RTQUxFUFJJQ0UuMTYvMDMvMjAyNC5VU0QBAAAAO2p/AAIAAAAMMzcsNzQ1MDA3MTA1AEux5KzrR94ImtAhtutH3ggnQ0lRLkNFWi5JUV9MQVNUU0FMRVBSSUNFLjIxLzAzLzIwMjQuVVNEAQAAADtqfwACAAAADDM1LDg3NTMwNTU3MwBLseSs60feCJrQIbbr</t>
  </si>
  <si>
    <t>R94IJ0NJUS5DRVouSVFfTEFTVFNBTEVQUklDRS4yMi8wMy8yMDI0LlVTRAEAAAA7an8AAgAAAAwzNSw2MTY2MzY5MjUAS7HkrOtH3giJqSG260feCCdDSVEuQ0VaLklRX0xBU1RTQUxFUFJJQ0UuMjMvMDMvMjAyNC5VU0QBAAAAO2p/AAIAAAAMMzUsNjE2NjM2OTI1AEux5KzrR94ImtAhtutH3ggnQ0lRLkNFWi5JUV9MQVNUU0FMRVBSSUNFLjI0LzAzLzIwMjQuVVNEAQAAADtqfwACAAAADDM1LDYxNjYzNjkyNQBLseSs60feCImpIbbrR94IJ0NJUS5DRVouSVFfTEFTVFNBTEVQUklDRS4xMy8wMy8yMDI0LlVTRAEAAAA7an8AAgAAAAszOCwxMzk2NTE0NABLseSs60feCImpIbbrR94IJ0NJUS5DRVouSVFfTEFTVFNBTEVQUklDRS4yNy8wMy8yMDI0LlVTRAEAAAA7an8AAgAAAAszNiw0ODQ5NjgwMwBLseSs60feCJrQIbbrR94IKENJUS5DUFJJLklRX0xBU1RTQUxFUFJJQ0UuMTkvMDMvMjAyNC5VU0QBAAAALtOUCAIAAAAFNDYsMDUAS7HkrOtH3gia0CG260feCChDSVEuQ1BSSS5JUV9MQVNUU0FMRVBSSUNFLjE4LzAzLzIwMjQuVVNEAQAAAC7TlAgCAAAABTQ1LDg5AEux5KzrR94IqfchtutH3ggoQ0lRLkNQUkkuSVFfTEFTVFNBTEVQUklDRS4xNy8wMy8yMDI0LlVTRAEAAAAu05QIAgAAAAU0Niw4MgBLseSs60feCKn3IbbrR94IKENJUS5DUFJJLklRX0xBU1RTQUxFUFJJQ0UuMTYvMDMvMjAyNC5VU0QB</t>
  </si>
  <si>
    <t>AAAALtOUCAIAAAAFNDYsODIAS7HkrOtH3gip9yG260feCChDSVEuQ1BSSS5JUV9MQVNUU0FMRVBSSUNFLjIxLzAzLzIwMjQuVVNEAQAAAC7TlAgCAAAABTQ1LDU1AEux5KzrR94IqfchtutH3ggoQ0lRLkNQUkkuSVFfTEFTVFNBTEVQUklDRS4yMi8wMy8yMDI0LlVTRAEAAAAu05QIAgAAAAU0NSwyOQBLseSs60feCKn3IbbrR94IKENJUS5DUFJJLklRX0xBU1RTQUxFUFJJQ0UuMjMvMDMvMjAyNC5VU0QBAAAALtOUCAIAAAAFNDUsMjkAS7HkrOtH3gia0CG260feCChDSVEuQ1BSSS5JUV9MQVNUU0FMRVBSSUNFLjI0LzAzLzIwMjQuVVNEAQAAAC7TlAgCAAAABTQ1LDI5AEux5KzrR94IqfchtutH3ggoQ0lRLkNQUkkuSVFfTEFTVFNBTEVQUklDRS4xMy8wMy8yMDI0LlVTRAEAAAAu05QIAgAAAAQ0Niw3AEux5KzrR94IqfchtutH3ggoQ0lRLkNQUkkuSVFfTEFTVFNBTEVQUklDRS4yNy8wMy8yMDI0LlVTRAEAAAAu05QIAgAAAAU0NSwyNgBLseSs60feCKn3IbbrR94IJ0NJUS5XSVguSVFfTEFTVFNBTEVQUklDRS4xOC8wMy8yMDI0LlVTRAEAAACnDPQCAgAAAAYxMzgsNTIAS7HkrOtH3gi5HiK260feCCdDSVEuV0lYLklRX0xBU1RTQUxFUFJJQ0UuMTcvMDMvMjAyNC5VU0QBAAAApwz0AgIAAAAGMTM1LDU3AEux5KzrR94IuR4itutH3ggnQ0lRLldJWC5JUV9MQVNUU0FMRVBSSUNFLjE2LzAzLzIwMjQuVVNE</t>
  </si>
  <si>
    <t>AQAAAKcM9AICAAAABjEzNSw1NwBLseSs60feCLkeIrbrR94IJ0NJUS5XSVguSVFfTEFTVFNBTEVQUklDRS4xNS8wMy8yMDI0LlVTRAEAAACnDPQCAgAAAAYxMzUsNTcAS7HkrOtH3gi5HiK260feCCdDSVEuV0lYLklRX0xBU1RTQUxFUFJJQ0UuMjAvMDMvMjAyNC5VU0QBAAAApwz0AgIAAAAGMTQxLDc5AEux5KzrR94IuR4itutH3ggnQ0lRLldJWC5JUV9MQVNUU0FMRVBSSUNFLjIxLzAzLzIwMjQuVVNEAQAAAKcM9AICAAAABjEzOSw4OQBLseSs60feCLkeIrbrR94IJ0NJUS5XSVguSVFfTEFTVFNBTEVQUklDRS4yMi8wMy8yMDI0LlVTRAEAAACnDPQCAgAAAAYxMzksMzQAS7HkrOtH3gi5HiK260feCCdDSVEuV0lYLklRX0xBU1RTQUxFUFJJQ0UuMjMvMDMvMjAyNC5VU0QBAAAApwz0AgIAAAAGMTM5LDM0AEux5KzrR94IuR4itutH3ggnQ0lRLldJWC5JUV9MQVNUU0FMRVBSSUNFLjEyLzAzLzIwMjQuVVNEAQAAAKcM9AICAAAABjE0MSwyNwBLseSs60feCLkeIrbrR94IJ0NJUS5XSVguSVFfTEFTVFNBTEVQUklDRS4yNi8wMy8yMDI0LlVTRAEAAACnDPQCAgAAAAYxMzgsMDUAS7HkrOtH3gi5HiK260feCCdDSVEuVENGLklRX0xBU1RTQUxFUFJJQ0UuMTgvMDMvMjAyNC5VU0QBAAAAeoPmBAIAAAAPMCwwMTIwODU0Mzc2ODI1AGbY5KzrR94IyUUitutH3ggnQ0lRLlRDRi5JUV9MQVNUU0FMRVBSSUNFLjE3</t>
  </si>
  <si>
    <t>LzAzLzIwMjQuVVNEAQAAAHqD5gQCAAAADjAsMDEyNDE3Mzc2Njg2AGbY5KzrR94IyUUitutH3ggnQ0lRLlRDRi5JUV9MQVNUU0FMRVBSSUNFLjE2LzAzLzIwMjQuVVNEAQAAAHqD5gQCAAAADjAsMDEyNDE3Mzc2Njg2AGbY5KzrR94IyUUitutH3ggnQ0lRLlRDRi5JUV9MQVNUU0FMRVBSSUNFLjE1LzAzLzIwMjQuVVNEAQAAAHqD5gQCAAAADjAsMDEyNDE3Mzc2Njg2AGbY5KzrR94I2WwitutH3ggnQ0lRLlRDRi5JUV9MQVNUU0FMRVBSSUNFLjIwLzAzLzIwMjQuVVNEAQAAAHqD5gQCAAAADjAsMDEyMzk4MTEyOTQ4AGbY5KzrR94I2WwitutH3ggnQ0lRLlRDRi5JUV9MQVNUU0FMRVBSSUNFLjIxLzAzLzIwMjQuVVNEAQAAAHqD5gQCAAAADzAsMDEyMzUyMjQ4MTA5NQBm2OSs60feCNlsIrbrR94IJ0NJUS5UQ0YuSVFfTEFTVFNBTEVQUklDRS4yMi8wMy8yMDI0LlVTRAEAAAB6g+YEAgAAAA0wLDAxMTk3MDAxMTk3AGbY5KzrR94IyUUitutH3ggnQ0lRLlRDRi5JUV9MQVNUU0FMRVBSSUNFLjIzLzAzLzIwMjQuVVNEAQAAAHqD5gQCAAAADTAsMDExOTcwMDExOTcAZtjkrOtH3gjJRSK260feCCdDSVEuVENGLklRX0xBU1RTQUxFUFJJQ0UuMTIvMDMvMjAyNC5VU0QBAAAAeoPmBAIAAAAOMCwwMTM0MTgwMTU5MTkAZtjkrOtH3gjJRSK260feCCdDSVEuVENGLklRX0xBU1RTQUxFUFJJQ0UuMjYvMDMvMjAyNC5V</t>
  </si>
  <si>
    <t>U0QBAAAAeoPmBAIAAAAQMCwwMTEwNDk2NTM5OTEyNQBm2OSs60feCNlsIrbrR94IKENJUS5NVFJTLklRX0xBU1RTQUxFUFJJQ0UuMTgvMDMvMjAyNC5VU0QBAAAA1LObGQIAAAANMTgsNjA3MjQzNDUwNQBm2OSs60feCOiTIrbrR94IKENJUS5NVFJTLklRX0xBU1RTQUxFUFJJQ0UuMTcvMDMvMjAyNC5VU0QBAAAA1LObGQIAAAAMMTgsNjc3Nzg2NDE4AGbY5KzrR94I6JMitutH3ggoQ0lRLk1UUlMuSVFfTEFTVFNBTEVQUklDRS4xNi8wMy8yMDI0LlVTRAEAAADUs5sZAgAAAAwxOCw2Nzc3ODY0MTgAZtjkrOtH3gjokyK260feCChDSVEuTVRSUy5JUV9MQVNUU0FMRVBSSUNFLjE1LzAzLzIwMjQuVVNEAQAAANSzmxkCAAAADDE4LDY3Nzc4NjQxOABm2OSs60feCOiTIrbrR94IKENJUS5NVFJTLklRX0xBU1RTQUxFUFJJQ0UuMjAvMDMvMjAyNC5VU0QBAAAA1LObGQIAAAANMTgsNzUwODUzMjA2NABm2OSs60feCOiTIrbrR94IKENJUS5NVFJTLklRX0xBU1RTQUxFUFJJQ0UuMjEvMDMvMjAyNC5VU0QBAAAA1LObGQIAAAANMTgsNzgwNzQzNTE4OABm2OSs60feCNlsIrbrR94IKENJUS5NVFJTLklRX0xBU1RTQUxFUFJJQ0UuMjIvMDMvMjAyNC5VU0QBAAAA1LObGQIAAAALMTgsNDYzMDA2NzcAZtjkrOtH3gjokyK260feCChDSVEuTVRSUy5JUV9MQVNUU0FMRVBSSUNFLjIzLzAzLzIwMjQuVVNEAQAAANSzmxkC</t>
  </si>
  <si>
    <t>AAAACzE4LDQ2MzAwNjc3AGbY5KzrR94I6JMitutH3ggoQ0lRLk1UUlMuSVFfTEFTVFNBTEVQUklDRS4xMi8wMy8yMDI0LlVTRAEAAADUs5sZAgAAAA0xOCwyNjE2NDAyOTU2AGbY5KzrR94I+roitutH3ggoQ0lRLk1UUlMuSVFfTEFTVFNBTEVQUklDRS4yNi8wMy8yMDI0LlVTRAEAAADUs5sZAgAAAA0xOCw2NTExNzg1OTQ4AGbY5KzrR94I6JMitutH3ggnQ0lRLk1FUi5JUV9MQVNUU0FMRVBSSUNFLjE3LzAzLzIwMjQuVVNEAQAAANNXDQACAAAACzYsMzg2MDQwNjg1AGbY5KzrR94I+roitutH3ggnQ0lRLk1FUi5JUV9MQVNUU0FMRVBSSUNFLjE2LzAzLzIwMjQuVVNEAQAAANNXDQACAAAACzYsMzg2MDQwNjg1AGbY5KzrR94I+roitutH3ggnQ0lRLk1FUi5JUV9MQVNUU0FMRVBSSUNFLjE1LzAzLzIwMjQuVVNEAQAAANNXDQACAAAACzYsMzg2MDQwNjg1AGbY5KzrR94I+roitutH3ggnQ0lRLk1FUi5JUV9MQVNUU0FMRVBSSUNFLjE0LzAzLzIwMjQuVVNEAQAAANNXDQACAAAACzYsNTU4NTU4NTUyAGbY5KzrR94ICOIitutH3ggnQ0lRLk1FUi5JUV9MQVNUU0FMRVBSSUNFLjE5LzAzLzIwMjQuVVNEAQAAANNXDQACAAAACzYsMzEzNzE4NDY0AGbY5KzrR94I+roitutH3ggnQ0lRLk1FUi5JUV9MQVNUU0FMRVBSSUNFLjIwLzAzLzIwMjQuVVNEAQAAANNXDQACAAAACzYsMzMzMzkyNzI0AGbY5KzrR94I+roi</t>
  </si>
  <si>
    <t>tutH3ggnQ0lRLk1FUi5JUV9MQVNUU0FMRVBSSUNFLjIxLzAzLzIwMjQuVVNEAQAAANNXDQACAAAADDYsMzk4MDAyODM3MgBm2OSs60feCPq6IrbrR94IJ0NJUS5NRVIuSVFfTEFTVFNBTEVQUklDRS4yMi8wMy8yMDI0LlVTRAEAAADTVw0AAgAAAAo2LDQ2MTkyMDkyAGbY5KzrR94ICOIitutH3ggnQ0lRLk1FUi5JUV9MQVNUU0FMRVBSSUNFLjExLzAzLzIwMjQuVVNEAQAAANNXDQACAAAACjYsNTM2NjU1NzIAZtjkrOtH3gj6uiK260feCCdDSVEuTUVSLklRX0xBU1RTQUxFUFJJQ0UuMjUvMDMvMjAyNC5VU0QBAAAA01cNAAIAAAAMNiw0MDI0MTc0MDM2AGbY5KzrR94I+roitutH3ggoQ0lRLlZDSUcuSVFfTEFTVFNBTEVQUklDRS4xNy8wMy8yMDI0LlVTRAEAAABFHU5rAgAAAAwzMzgxMCwwMDU0MDkAZtjkrOtH3ggI4iK260feCChDSVEuVkNJRy5JUV9MQVNUU0FMRVBSSUNFLjE2LzAzLzIwMjQuVVNEAQAAAEUdTmsCAAAADDMzODEwLDAwNTQwOQBm2OSs60feCBkJI7brR94IKENJUS5WQ0lHLklRX0xBU1RTQUxFUFJJQ0UuMTUvMDMvMjAyNC5VU0QBAAAARR1OawIAAAAMMzM4MTAsMDA1NDA5AGbY5KzrR94IGQkjtutH3ggoQ0lRLlZDSUcuSVFfTEFTVFNBTEVQUklDRS4xNC8wMy8yMDI0LlVTRAEAAABFHU5rAgAAAAwzMjkyOCwwMDUyNjgAZtjkrOtH3ggZCSO260feCChDSVEuVkNJRy5JUV9MQVNUU0FM</t>
  </si>
  <si>
    <t>RVBSSUNFLjE5LzAzLzIwMjQuVVNEAQAAAEUdTmsCAAAADDMyNjM0LDAwNTIyMQBm2OSs60feCBkJI7brR94IKENJUS5WQ0lHLklRX0xBU1RTQUxFUFJJQ0UuMjAvMDMvMjAyNC5VU0QBAAAARR1OawIAAAAMMzMyMjIsMDA1MzE1AGbY5KzrR94IGQkjtutH3ggoQ0lRLlZDSUcuSVFfTEFTVFNBTEVQUklDRS4yMS8wMy8yMDI0LlVTRAEAAABFHU5rAgAAAAwzMDU3NiwwMDQ4OTIAZtjkrOtH3ggI4iK260feCChDSVEuVkNJRy5JUV9MQVNUU0FMRVBSSUNFLjIyLzAzLzIwMjQuVVNEAQAAAEUdTmsCAAAADDMzMjIyLDAwNTMxNQBm2OSs60feCAjiIrbrR94IKENJUS5WQ0lHLklRX0xBU1RTQUxFUFJJQ0UuMTEvMDMvMjAyNC5VU0QBAAAARR1OawIAAAAMMzIzNDAsMDA1MTc0AGbY5KzrR94ICOIitutH3ggoQ0lRLlZDSUcuSVFfTEFTVFNBTEVQUklDRS4yNS8wMy8yMDI0LlVTRAEAAABFHU5rAgAAAAszNDY5MiwwMDU1NQBm2OSs60feCCkwI7brR94IKENJUS5JTE0xLklRX0xBU1RTQUxFUFJJQ0UuMTcvMDMvMjAyNC5VU0QBAAAAN7y7FQIAAAANMTUsMTM1MDE3NDE4NgBm2OSs60feCCkwI7brR94IKENJUS5JTE0xLklRX0xBU1RTQUxFUFJJQ0UuMTYvMDMvMjAyNC5VU0QBAAAAN7y7FQIAAAANMTUsMTM1MDE3NDE4NgBm2OSs60feCCkwI7brR94IKENJUS5JTE0xLklRX0xBU1RTQUxFUFJJQ0UuMTUvMDMvMjAy</t>
  </si>
  <si>
    <t>NC5VU0QBAAAAN7y7FQIAAAANMTUsMTM1MDE3NDE4NgBm2OSs60feCCkwI7brR94IKENJUS5JTE0xLklRX0xBU1RTQUxFUFJJQ0UuMTQvMDMvMjAyNC5VU0QBAAAAN7y7FQIAAAAOMTUsMjkyNDUxODA0NzYAZtjkrOtH3ggpMCO260feCChDSVEuSUxNMS5JUV9MQVNUU0FMRVBSSUNFLjE5LzAzLzIwMjQuVVNEAQAAADe8uxUCAAAADjE5LDA0ODY1MzMzOTAyAGbY5KzrR94IKTAjtutH3ggoQ0lRLklMTTEuSVFfTEFTVFNBTEVQUklDRS4yMC8wMy8yMDI0LlVTRAEAAAA3vLsVAgAAAA0xNyw2OTYyMzI3Njc2AGbY5KzrR94IKTAjtutH3ggoQ0lRLklMTTEuSVFfTEFTVFNBTEVQUklDRS4yMS8wMy8yMDI0LlVTRAEAAAA3vLsVAgAAAA4xOCwxNzc4Njk0NzcxNgBm2OSs60feCBkJI7brR94IKENJUS5JTE0xLklRX0xBU1RTQUxFUFJJQ0UuMjIvMDMvMjAyNC5VU0QBAAAAN7y7FQIAAAALMTcsODM1OTA5NjMAZtjkrOtH3gg8VyO260feCChDSVEuSUxNMS5JUV9MQVNUU0FMRVBSSUNFLjExLzAzLzIwMjQuVVNEAQAAADe8uxUCAAAADjE1LDk3NjM5NjAyNjUyAGbY5KzrR94IPFcjtutH3ggoQ0lRLklMTTEuSVFfTEFTVFNBTEVQUklDRS4yNS8wMy8yMDI0LlVTRAEAAAA3vLsVAgAAAA4xNyw4MTM0MTQyMzcyOABm2OSs60feCDxXI7brR94IJkNJUS5HTS5JUV9MQVNUU0FMRVBSSUNFLjE3LzAzLzIwMjQuVVNEAQAA</t>
  </si>
  <si>
    <t>AFTupQMCAAAABTQwLDY5AGbY5KzrR94IPFcjtutH3ggmQ0lRLkdNLklRX0xBU1RTQUxFUFJJQ0UuMTYvMDMvMjAyNC5VU0QBAAAAVO6lAwIAAAAFNDAsNjkAZtjkrOtH3ghKfiO260feCCZDSVEuR00uSVFfTEFTVFNBTEVQUklDRS4xNS8wMy8yMDI0LlVTRAEAAABU7qUDAgAAAAU0MCw2OQBm2OSs60feCEp+I7brR94IJkNJUS5HTS5JUV9MQVNUU0FMRVBSSUNFLjE0LzAzLzIwMjQuVVNEAQAAAFTupQMCAAAABTM5LDM4AGbY5KzrR94IPFcjtutH3ggmQ0lRLkdNLklRX0xBU1RTQUxFUFJJQ0UuMTkvMDMvMjAyNC5VU0QBAAAAVO6lAwIAAAAFNDEsNTEAZtjkrOtH3gg8VyO260feCCZDSVEuR00uSVFfTEFTVFNBTEVQUklDRS4yMC8wMy8yMDI0LlVTRAEAAABU7qUDAgAAAAU0Miw4NQBm2OSs60feCEp+I7brR94IJkNJUS5HTS5JUV9MQVNUU0FMRVBSSUNFLjIxLzAzLzIwMjQuVVNEAQAAAFTupQMCAAAABTQzLDQyAGbY5KzrR94IPFcjtutH3ggmQ0lRLkdNLklRX0xBU1RTQUxFUFJJQ0UuMjIvMDMvMjAyNC5VU0QBAAAAVO6lAwIAAAAFNDMsMDYAZtjkrOtH3ghcpSO260feCCZDSVEuR00uSVFfTEFTVFNBTEVQUklDRS4xMS8wMy8yMDI0LlVTRAEAAABU7qUDAgAAAAUzOSw1MwBm2OSs60feCFylI7brR94IJkNJUS5HTS5JUV9MQVNUU0FMRVBSSUNFLjI1LzAzLzIwMjQuVVNEAQAAAFTupQMCAAAABTQzLDU1</t>
  </si>
  <si>
    <t>AGbY5KzrR94IXKUjtutH3ggoQ0lRLlFUUkguSVFfTEFTVFNBTEVQUklDRS4xNC8wMy8yMDI0LlVTRAEAAAD+xAoAAgAAAA0xLDM5ODI3MDI4NzYxAGbY5KzrR94IXKUjtutH3ggoQ0lRLlFUUkguSVFfTEFTVFNBTEVQUklDRS4xMy8wMy8yMDI0LlVTRAEAAAD+xAoAAgAAAA0xLDQwMjk4MjYzNzg0AGbY5KzrR94IDtkjtutH3ggoQ0lRLlFUUkguSVFfTEFTVFNBTEVQUklDRS4xMi8wMy8yMDI0LlVTRAEAAAD+xAoAAgAAAA0xLDQxNDY1NzYyOTk1AGbY5KzrR94IDtkjtutH3ggoQ0lRLlFUUkguSVFfTEFTVFNBTEVQUklDRS4xMS8wMy8yMDI0LlVTRAEAAAD+xAoAAgAAAA0xLDM1NzM4NTUxMjExAGbY5KzrR94IDtkjtutH3ggoQ0lRLlFUUkguSVFfTEFTVFNBTEVQUklDRS4xNi8wMy8yMDI0LlVTRAEAAAD+xAoAAgAAAAwxLDQ0MTA3MTI3MDYAZtjkrOtH3ggO2SO260feCChDSVEuUVRSSC5JUV9MQVNUU0FMRVBSSUNFLjE3LzAzLzIwMjQuVVNEAQAAAP7ECgACAAAADDEsNDQxMDcxMjcwNgBm2OSs60feCA7ZI7brR94IKENJUS5RVFJILklRX0xBU1RTQUxFUFJJQ0UuMTgvMDMvMjAyNC5VU0QBAAAA/sQKAAIAAAANMSwzOTUzNjk0NDAwMQBm2OSs60feCFylI7brR94IKENJUS5RVFJILklRX0xBU1RTQUxFUFJJQ0UuMTkvMDMvMjAyNC5VU0QBAAAA/sQKAAIAAAAMMSwzNjM1MjI0NTcxAGbY5KzrR94IXKUj</t>
  </si>
  <si>
    <t>tutH3ggoQ0lRLlFUUkguSVFfTEFTVFNBTEVQUklDRS4wOC8wMy8yMDI0LlVTRAEAAAD+xAoAAgAAAA0xLDM1ODI0MTg1Njk1AGbY5KzrR94IXKUjtutH3ggoQ0lRLlFUUkguSVFfTEFTVFNBTEVQUklDRS4yMi8wMy8yMDI0LlVTRAEAAAD+xAoAAgAAAA0xLDMzNzk0MDE1OTkyAGbY5KzrR94IawAktutH3ggoQ0lRLkFSQ0guSVFfTEFTVFNBTEVQUklDRS4xNC8wMy8yMDI0LlVTRAEAAAAj6z0CAgAAAAoyLDcyNDcyMDc2AGbY5KzrR94IawAktutH3ggoQ0lRLkFSQ0guSVFfTEFTVFNBTEVQUklDRS4xMy8wMy8yMDI0LlVTRAEAAAAj6z0CAgAAAA0yLDc0NDYxNDM1MTI1AGbY5KzrR94IawAktutH3ggoQ0lRLkFSQ0guSVFfTEFTVFNBTEVQUklDRS4xMi8wMy8yMDI0LlVTRAEAAAAj6z0CAgAAAA0yLDc2MjMzOTI0NzI1AGbY5KzrR94IawAktutH3ggoQ0lRLkFSQ0guSVFfTEFTVFNBTEVQUklDRS4xMS8wMy8yMDI0LlVTRAEAAAAj6z0CAgAAAAwyLDY2NTYxNDc3ODUAZtjkrOtH3ghrACS260feCChDSVEuQVJDSC5JUV9MQVNUU0FMRVBSSUNFLjE2LzAzLzIwMjQuVVNEAQAAACPrPQICAAAADjIsNTU3ODU5NDc5ODc1AGbY5KzrR94IDtkjtutH3ggoQ0lRLkFSQ0guSVFfTEFTVFNBTEVQUklDRS4xNy8wMy8yMDI0LlVTRAEAAAAj6z0CAgAAAA4yLDU1Nzg1OTQ3OTg3NQBm2OSs60feCGsAJLbrR94IKENJUS5B</t>
  </si>
  <si>
    <t>UkNILklRX0xBU1RTQUxFUFJJQ0UuMTgvMDMvMjAyNC5VU0QBAAAAI+s9AgIAAAAMMiw1MDk4MzUyODE1AGbY5KzrR94IawAktutH3ggoQ0lRLkFSQ0guSVFfTEFTVFNBTEVQUklDRS4xOS8wMy8yMDI0LlVTRAEAAAAj6z0CAgAAAA0yLDQ2NTY1NjkwODc1AGbY5KzrR94IwicktutH3ggoQ0lRLkFSQ0guSVFfTEFTVFNBTEVQUklDRS4wOC8wMy8yMDI0LlVTRAEAAAAj6z0CAgAAAA0yLDUzMzE5ODExMDc1AGbY5KzrR94IwicktutH3ggoQ0lRLkFSQ0guSVFfTEFTVFNBTEVQUklDRS4yMi8wMy8yMDI0LlVTRAEAAAAj6z0CAgAAAA0yLDM5NTA5OTI5ODc1AGbY5KzrR94IwicktutH3ggpQ0lRLkFLTzFMLklRX0xBU1RTQUxFUFJJQ0UuMTQvMDMvMjAyNC5VU0QBAAAABbsEBQIAAAAOMSwwNzE3Nzg2NzM0OTYAZtjkrOtH3gjCJyS260feCClDSVEuQUtPMUwuSVFfTEFTVFNBTEVQUklDRS4xMy8wMy8yMDI0LlVTRAEAAAAFuwQFAgAAAA0xLDA3MjU2MjExMDM0AGbY5KzrR94IwicktutH3ggpQ0lRLkFLTzFMLklRX0xBU1RTQUxFUFJJQ0UuMTIvMDMvMjAyNC5VU0QBAAAABbsEBQIAAAAOMSwwNzIxNjk0NTA0ODIAZtjkrOtH3gjCJyS260feCClDSVEuQUtPMUwuSVFfTEFTVFNBTEVQUklDRS4xMS8wMy8yMDI0LlVTRAEAAAAFuwQFAgAAAA4xLDA3NTI5MjMxODA2NABm2OSs60feCMInJLbrR94IKUNJUS5BS08x</t>
  </si>
  <si>
    <t>TC5JUV9MQVNUU0FMRVBSSUNFLjE2LzAzLzIwMjQuVVNEAQAAAAW7BAUCAAAADjEsMDcxNDI4NTcxMjE2AGbY5KzrR94IwicktutH3ggpQ0lRLkFLTzFMLklRX0xBU1RTQUxFUFJJQ0UuMTcvMDMvMjAyNC5VU0QBAAAABbsEBQIAAAAOMSwwNzE0Mjg1NzEyMTYAZtjkrOtH3gjCJyS260feCClDSVEuQUtPMUwuSVFfTEFTVFNBTEVQUklDRS4xOC8wMy8yMDI0LlVTRAEAAAAFuwQFAgAAAA4xLDA2OTc5Nzc4MjExMgBm2OSs60feCMInJLbrR94IKUNJUS5BS08xTC5JUV9MQVNUU0FMRVBSSUNFLjE5LzAzLzIwMjQuVVNEAQAAAAW7BAUCAAAADjEsMDgxNjY4MTE0MzQ4AGbY5KzrR94I1VEktutH3ggpQ0lRLkFLTzFMLklRX0xBU1RTQUxFUFJJQ0UuMDgvMDMvMjAyNC5VU0QBAAAABbsEBQIAAAAOMSwwNzcwNTc3OTMxNTIAZtjkrOtH3gjVUSS260feCClDSVEuQUtPMUwuSVFfTEFTVFNBTEVQUklDRS4yMi8wMy8yMDI0LlVTRAEAAAAFuwQFAgAAAAwxLDA3MDE1NDU3NzgAZtjkrOtH3gjVUSS260feCChDSVEuQUtTTy5JUV9MQVNUU0FMRVBSSUNFLjE0LzAzLzIwMjQuVVNEAQAAAOhlqw8CAAAADTMsNDkzMzI4OTQ2NTYAZtjkrOtH3ggteSS260feCChDSVEuQUtTTy5JUV9MQVNUU0FMRVBSSUNFLjEzLzAzLzIwMjQuVVNEAQAAAOhlqw8CAAAADDMsNDk0MDEzNDAwMgBm2OSs60feCNVRJLbrR94IKENJUS5BS1NP</t>
  </si>
  <si>
    <t>LklRX0xBU1RTQUxFUFJJQ0UuMTIvMDMvMjAyNC5VU0QBAAAA6GWrDwIAAAANMyw0MzcxNTYxOTk4NABm2OSs60feCC15JLbrR94IKENJUS5BS1NPLklRX0xBU1RTQUxFUFJJQ0UuMTEvMDMvMjAyNC5VU0QBAAAA6GWrDwIAAAAMMyw0MDQzMzY3MjE2AGbY5KzrR94ILXkktutH3ggoQ0lRLkFLU08uSVFfTEFTVFNBTEVQUklDRS4xNi8wMy8yMDI0LlVTRAEAAADoZasPAgAAAA0zLDUwNjAzNTU5MzA2AGbY5KzrR94ILXkktutH3ggoQ0lRLkFLU08uSVFfTEFTVFNBTEVQUklDRS4xNy8wMy8yMDI0LlVTRAEAAADoZasPAgAAAA0zLDUwNjAzNTU5MzA2AGbY5KzrR94ILXkktutH3ggoQ0lRLkFLU08uSVFfTEFTVFNBTEVQUklDRS4xOC8wMy8yMDI0LlVTRAEAAADoZasPAgAAAA0zLDUxNjU4NDE2MjY0AGbY5KzrR94I1VEktutH3ggoQ0lRLkFLU08uSVFfTEFTVFNBTEVQUklDRS4xOS8wMy8yMDI0LlVTRAEAAADoZasPAgAAAAwzLDUzMTc1OTk5MTIAZtjkrOtH3gjVUSS260feCChDSVEuQUtTTy5JUV9MQVNUU0FMRVBSSUNFLjA4LzAzLzIwMjQuVVNEAQAAAOhlqw8CAAAADTMsNDY1MzE4OTcwMDgAZtjkrOtH3gjVUSS260feCChDSVEuQUtTTy5JUV9MQVNUU0FMRVBSSUNFLjIyLzAzLzIwMjQuVVNEAQAAAOhlqw8CAAAADDMsNTIxNDkzNTcwOQBm2OSs60feCIWgJLbrR94IJ0NJUS5WTVQuSVFfTEFTVFNBTEVQ</t>
  </si>
  <si>
    <t>UklDRS4xMy8wMy8yMDI0LlVTRAEAAAAKjmMAAgAAAA0wLDA5OTM1MDkwNzQ1AGbY5KzrR94IhaAktutH3ggnQ0lRLlZNVC5JUV9MQVNUU0FMRVBSSUNFLjEyLzAzLzIwMjQuVVNEAQAAAAqOYwACAAAADTAsMDkyMzU0Mzc2OTQAZtjkrOtH3giFoCS260feCCdDSVEuVk1ULklRX0xBU1RTQUxFUFJJQ0UuMTEvMDMvMjAyNC5VU0QBAAAACo5jAAIAAAAOMCwwOTU4NTUwOTM1OTUAZtjkrOtH3giFoCS260feCCdDSVEuVk1ULklRX0xBU1RTQUxFUFJJQ0UuMTAvMDMvMjAyNC5VU0QBAAAACo5jAAIAAAANMCwwOTkzNjQwNjk5NQBm2OSs60feCIWgJLbrR94IJ0NJUS5WTVQuSVFfTEFTVFNBTEVQUklDRS4xNS8wMy8yMDI0LlVTRAEAAAAKjmMAAgAAAAwwLDA5ODUxNTY5NjgAXf/krOtH3giFoCS260feCCdDSVEuVk1ULklRX0xBU1RTQUxFUFJJQ0UuMTYvMDMvMjAyNC5VU0QBAAAACo5jAAIAAAAMMCwwOTg1MTU2OTY4AF3/5KzrR94IhaAktutH3ggnQ0lRLlZNVC5JUV9MQVNUU0FMRVBSSUNFLjE3LzAzLzIwMjQuVVNEAQAAAAqOYwACAAAADDAsMDk4NTE1Njk2OABd/+Ss60feCC15JLbrR94IJ0NJUS5WTVQuSVFfTEFTVFNBTEVQUklDRS4xOC8wMy8yMDI0LlVTRAEAAAAKjmMAAgAAAA0wLDA5MTc3MzE4OTA2AF3/5KzrR94I3scktutH3ggnQ0lRLlZNVC5JUV9MQVNUU0FMRVBSSUNFLjA3LzAzLzIwMjQuVVNE</t>
  </si>
  <si>
    <t>AQAAAAqOYwACAAAADTAsMDk5MzUwOTA3NDUAXf/krOtH3gjexyS260feCCdDSVEuVk1ULklRX0xBU1RTQUxFUFJJQ0UuMjEvMDMvMjAyNC5VU0QBAAAACo5jAAIAAAANMCwwOTIwMDg0MTIxNgBd/+Ss60feCN7HJLbrR94IJ0NJUS5BWk4uSVFfTEFTVFNBTEVQUklDRS4xMy8wMy8yMDI0LlVTRAEAAACGIwUAAgAAAA8xMzMsODQxODQxODcyNzYAXf/krOtH3gjexyS260feCCdDSVEuQVpOLklRX0xBU1RTQUxFUFJJQ0UuMTIvMDMvMjAyNC5VU0QBAAAAhiMFAAIAAAAPMTMzLDM2MjI5OTE3MjA4AF3/5KzrR94IXO8ktutH3ggnQ0lRLkFaTi5JUV9MQVNUU0FMRVBSSUNFLjExLzAzLzIwMjQuVVNEAQAAAIYjBQACAAAADjEzMyw4NzEzODEwMTE1AF3/5KzrR94IXO8ktutH3ggnQ0lRLkFaTi5JUV9MQVNUU0FMRVBSSUNFLjEwLzAzLzIwMjQuVVNEAQAAAIYjBQACAAAADjEzMSwwNzU4ODY3MzU4AF3/5KzrR94I3scktutH3ggnQ0lRLkFaTi5JUV9MQVNUU0FMRVBSSUNFLjE1LzAzLzIwMjQuVVNEAQAAAIYjBQACAAAADzEzMSwxMDIwMjYyNjIyNABd/+Ss60feCN7HJLbrR94IJ0NJUS5BWk4uSVFfTEFTVFNBTEVQUklDRS4xNi8wMy8yMDI0LlVTRAEAAACGIwUAAgAAAA8xMzEsMTAyMDI2MjYyMjQAXf/krOtH3ghc7yS260feCCdDSVEuQVpOLklRX0xBU1RTQUxFUFJJQ0UuMTcvMDMvMjAyNC5VU0QBAAAAhiMF</t>
  </si>
  <si>
    <t>AAIAAAAPMTMxLDEwMjAyNjI2MjI0AF3/5KzrR94I3scktutH3ggnQ0lRLkFaTi5JUV9MQVNUU0FMRVBSSUNFLjE4LzAzLzIwMjQuVVNEAQAAAIYjBQACAAAADjEzMCw5MDQzNzIzNzE1AF3/5KzrR94IXO8ktutH3ggnQ0lRLkFaTi5JUV9MQVNUU0FMRVBSSUNFLjA3LzAzLzIwMjQuVVNEAQAAAIYjBQACAAAADzEzMCw5NDgyNjgxMDQwOABd/+Ss60feCFzvJLbrR94IJ0NJUS5BWk4uSVFfTEFTVFNBTEVQUklDRS4yMS8wMy8yMDI0LlVTRAEAAACGIwUAAgAAAA8xMzIsMTEyMDQ0Mzk1NzYAXf/krOtH3ghc7yS260feCCdDSVEuQU1TLklRX0xBU1RTQUxFUFJJQ0UuMTMvMDMvMjAyNC5VU0QBAAAAgNMDAAIAAAAEMiw2NABtJuWs60feCPnVJ7brR94IJ0NJUS5BTVMuSVFfTEFTVFNBTEVQUklDRS4xMi8wMy8yMDI0LlVTRAEAAACA0wMAAgAAAAQyLDYxAG0m5azrR94I+dUntutH3ggnQ0lRLkFNUy5JUV9MQVNUU0FMRVBSSUNFLjExLzAzLzIwMjQuVVNEAQAAAIDTAwACAAAABDIsNjkAbSblrOtH3ghc7yS260feCCdDSVEuQU1TLklRX0xBU1RTQUxFUFJJQ0UuMTAvMDMvMjAyNC5VU0QBAAAAgNMDAAIAAAAGMiw3Mzc1AG0m5azrR94I6a4ntutH3ggnQ0lRLkFNUy5JUV9MQVNUU0FMRVBSSUNFLjA5LzAzLzIwMjQuVVNEAQAAAIDTAwACAAAABjIsNzM3NQBtJuWs60feCNuHJ7brR94IJ0NJUS5BTVMuSVFfTEFT</t>
  </si>
  <si>
    <t>VFNBTEVQUklDRS4xNC8wMy8yMDI0LlVTRAEAAACA0wMAAgAAAAUyLDY1NQBtJuWs60feCOmuJ7brR94IJ0NJUS5BTVMuSVFfTEFTVFNBTEVQUklDRS4xNS8wMy8yMDI0LlVTRAEAAACA0wMAAgAAAAQyLDU3AG0m5azrR94I6a4ntutH3ggnQ0lRLkFNUy5JUV9MQVNUU0FMRVBSSUNFLjE2LzAzLzIwMjQuVVNEAQAAAIDTAwACAAAABDIsNTcAXf/krOtH3giVTiW260feCCdDSVEuQU1TLklRX0xBU1RTQUxFUFJJQ0UuMTcvMDMvMjAyNC5VU0QBAAAAgNMDAAIAAAAEMiw1NwBd/+Ss60feCDYeJbbrR94IJ0NJUS5BTVMuSVFfTEFTVFNBTEVQUklDRS4wNi8wMy8yMDI0LlVTRAEAAACA0wMAAgAAAAMyLDcAXf/krOtH3gg2HiW260feCCdDSVEuQU1TLklRX0xBU1RTQUxFUFJJQ0UuMjAvMDMvMjAyNC5VU0QBAAAAgNMDAAIAAAAEMiw2NgBd/+Ss60feCNx1JbbrR94IJ0NJUS5SUlIuSVFfTEFTVFNBTEVQUklDRS4xMi8wMy8yMDI0LlVTRAEAAABXt+gHAgAAAAU1Nyw0NwBd/+Ss60feCNx1JbbrR94IJ0NJUS5SUlIuSVFfTEFTVFNBTEVQUklDRS4xMS8wMy8yMDI0LlVTRAEAAABXt+gHAgAAAAQ1Niw3AF3/5KzrR94I3HUltutH3ggnQ0lRLlJSUi5JUV9MQVNUU0FMRVBSSUNFLjEwLzAzLzIwMjQuVVNEAQAAAFe36AcCAAAABTU3LDI2AF3/5KzrR94I3HUltutH3ggnQ0lRLlJSUi5JUV9MQVNUU0FMRVBSSUNFLjA5</t>
  </si>
  <si>
    <t>LzAzLzIwMjQuVVNEAQAAAFe36AcCAAAABTU3LDI2AF3/5KzrR94I3HUltutH3ggnQ0lRLlJSUi5JUV9MQVNUU0FMRVBSSUNFLjE0LzAzLzIwMjQuVVNEAQAAAFe36AcCAAAABTU1LDczAF3/5KzrR94I55wltutH3ggnQ0lRLlJSUi5JUV9MQVNUU0FMRVBSSUNFLjE1LzAzLzIwMjQuVVNEAQAAAFe36AcCAAAABTU1LDAyAF3/5KzrR94I55wltutH3ggnQ0lRLlJSUi5JUV9MQVNUU0FMRVBSSUNFLjE2LzAzLzIwMjQuVVNEAQAAAFe36AcCAAAABTU1LDAyAF3/5KzrR94I55wltutH3ggnQ0lRLlJSUi5JUV9MQVNUU0FMRVBSSUNFLjE3LzAzLzIwMjQuVVNEAQAAAFe36AcCAAAABTU1LDAyAF3/5KzrR94I55wltutH3ggnQ0lRLlJSUi5JUV9MQVNUU0FMRVBSSUNFLjA2LzAzLzIwMjQuVVNEAQAAAFe36AcCAAAABTU2LDg1AF3/5KzrR94I55wltutH3ggnQ0lRLlJSUi5JUV9MQVNUU0FMRVBSSUNFLjIwLzAzLzIwMjQuVVNEAQAAAFe36AcCAAAABTU2LDQ3AF3/5KzrR94I55wltutH3ggnQ0lRLkNEQS5JUV9MQVNUU0FMRVBSSUNFLjEyLzAzLzIwMjQuVVNEAQAAAMCYlwACAAAADTYsODQ3NDE3Mzc1OTgAXf/krOtH3gjnnCW260feCCdDSVEuQ0RBLklRX0xBU1RTQUxFUFJJQ0UuMTEvMDMvMjAyNC5VU0QBAAAAwJiXAAIAAAANNiw4Mjg4NDkwODE2MwBd/+Ss60feCPfDJbbrR94IJ0NJUS5DREEuSVFfTEFTVFNB</t>
  </si>
  <si>
    <t>TEVQUklDRS4xMC8wMy8yMDI0LlVTRAEAAADAmJcAAgAAAA02LDkwMjQ5MDcyNTg2AF3/5KzrR94I98MltutH3ggnQ0lRLkNEQS5JUV9MQVNUU0FMRVBSSUNFLjA5LzAzLzIwMjQuVVNEAQAAAMCYlwACAAAADTYsOTAyNDkwNzI1ODYAXf/krOtH3gj3wyW260feCCdDSVEuQ0RBLklRX0xBU1RTQUxFUFJJQ0UuMTQvMDMvMjAyNC5VU0QBAAAAwJiXAAIAAAANNiw5MzEwODQ0NjMxNgBd/+Ss60feCPfDJbbrR94IJ0NJUS5DREEuSVFfTEFTVFNBTEVQUklDRS4xNS8wMy8yMDI0LlVTRAEAAADAmJcAAgAAAA02LDkzNTUwNTA1NDcyAF3/5KzrR94I98MltutH3ggnQ0lRLkNEQS5JUV9MQVNUU0FMRVBSSUNFLjE2LzAzLzIwMjQuVVNEAQAAAMCYlwACAAAADTYsOTM1NTA1MDU0NzIAXf/krOtH3gjnnCW260feCCdDSVEuQ0RBLklRX0xBU1RTQUxFUFJJQ0UuMTcvMDMvMjAyNC5VU0QBAAAAwJiXAAIAAAANNiw5MzU1MDUwNTQ3MgBd/+Ss60feCPfDJbbrR94IJ0NJUS5DREEuSVFfTEFTVFNBTEVQUklDRS4wNi8wMy8yMDI0LlVTRAEAAADAmJcAAgAAAA03LDA2NTM5NTk5NDI1AF3/5KzrR94I55wltutH3ggnQ0lRLkNEQS5JUV9MQVNUU0FMRVBSSUNFLjIwLzAzLzIwMjQuVVNEAQAAAMCYlwACAAAADTYsNzg1OTcwODY5NTYAXf/krOtH3gj3wyW260feCCdDSVEuRE9NLklRX0xBU1RTQUxFUFJJQ0UuMTEvMDMvMjAy</t>
  </si>
  <si>
    <t>NC5VU0QBAAAAHFFTAAIAAAAONCw3MTY4ODQ0NDg2NTQAXf/krOtH3ghIOSa260feCCdDSVEuRE9NLklRX0xBU1RTQUxFUFJJQ0UuMTAvMDMvMjAyNC5VU0QBAAAAHFFTAAIAAAALNCw2MjgwMjI2NzgAXf/krOtH3gj3wyW260feCCdDSVEuRE9NLklRX0xBU1RTQUxFUFJJQ0UuMDkvMDMvMjAyNC5VU0QBAAAAHFFTAAIAAAALNCw2MjgwMjI2NzgAXf/krOtH3ghIOSa260feCCdDSVEuRE9NLklRX0xBU1RTQUxFUFJJQ0UuMDgvMDMvMjAyNC5VU0QBAAAAHFFTAAIAAAALNCw2MjgwMjI2NzgAXf/krOtH3ghIOSa260feCCdDSVEuRE9NLklRX0xBU1RTQUxFUFJJQ0UuMTMvMDMvMjAyNC5VU0QBAAAAHFFTAAIAAAAONCw2NDMxMjY4MTUwMTYAXf/krOtH3ghIOSa260feCCdDSVEuRE9NLklRX0xBU1RTQUxFUFJJQ0UuMTQvMDMvMjAyNC5VU0QBAAAAHFFTAAIAAAAONCw3NjI1NzI4NjAxMzIAXf/krOtH3ghIOSa260feCCdDSVEuRE9NLklRX0xBU1RTQUxFUFJJQ0UuMTUvMDMvMjAyNC5VU0QBAAAAHFFTAAIAAAAONCw3MTQ3ODI0MDkzOTIAXf/krOtH3ggZEia260feCCdDSVEuRE9NLklRX0xBU1RTQUxFUFJJQ0UuMTYvMDMvMjAyNC5VU0QBAAAAHFFTAAIAAAAONCw3MTQ3ODI0MDkzOTIAXf/krOtH3ggZEia260feCCdDSVEuRE9NLklRX0xBU1RTQUxFUFJJQ0UuMDUvMDMvMjAyNC5VU0QBAAAAHFFTAAIAAAAN</t>
  </si>
  <si>
    <t>NCw0MTk0NTM3Mzc3OQBd/+Ss60feCBkSJrbrR94IJ0NJUS5ET00uSVFfTEFTVFNBTEVQUklDRS4xOS8wMy8yMDI0LlVTRAEAAAAcUVMAAgAAAA00LDUyNjMxNDQ0OTkzAF3/5KzrR94I+2EmtutH3ggnQ0lRLlREWS5JUV9MQVNUU0FMRVBSSUNFLjExLzAzLzIwMjQuVVNEAQAAAP4zBgACAAAABTQyNCw5AF3/5KzrR94I+2EmtutH3ggnQ0lRLlREWS5JUV9MQVNUU0FMRVBSSUNFLjEwLzAzLzIwMjQuVVNEAQAAAP4zBgACAAAABjQyNSw5OABd/+Ss60feCPthJrbrR94IJ0NJUS5URFkuSVFfTEFTVFNBTEVQUklDRS4wOS8wMy8yMDI0LlVTRAEAAAD+MwYAAgAAAAY0MjUsOTgAXf/krOtH3gj7YSa260feCCdDSVEuVERZLklRX0xBU1RTQUxFUFJJQ0UuMDgvMDMvMjAyNC5VU0QBAAAA/jMGAAIAAAAGNDI1LDk4AF3/5KzrR94I+2EmtutH3ggnQ0lRLlREWS5JUV9MQVNUU0FMRVBSSUNFLjEzLzAzLzIwMjQuVVNEAQAAAP4zBgACAAAABjQyMSwyNABd/+Ss60feCPthJrbrR94IJ0NJUS5URFkuSVFfTEFTVFNBTEVQUklDRS4xNC8wMy8yMDI0LlVTRAEAAAD+MwYAAgAAAAY0MTUsNTYAXf/krOtH3gj7YSa260feCCdDSVEuVERZLklRX0xBU1RTQUxFUFJJQ0UuMTUvMDMvMjAyNC5VU0QBAAAA/jMGAAIAAAAGNDE1LDEyAF3/5KzrR94I+2EmtutH3ggnQ0lRLlREWS5JUV9MQVNUU0FMRVBSSUNFLjE2LzAzLzIwMjQu</t>
  </si>
  <si>
    <t>VVNEAQAAAP4zBgACAAAABjQxNSwxMgBd/+Ss60feCAiPJrbrR94IJ0NJUS5URFkuSVFfTEFTVFNBTEVQUklDRS4wNS8wMy8yMDI0LlVTRAEAAAD+MwYAAgAAAAY0MjMsMjEAXf/krOtH3ggIjya260feCCdDSVEuVERZLklRX0xBU1RTQUxFUFJJQ0UuMTkvMDMvMjAyNC5VU0QBAAAA/jMGAAIAAAAFNDIxLDUAXf/krOtH3ggIjya260feCCZDSVEuTVQuSVFfTEFTVFNBTEVQUklDRS4xMS8wMy8yMDI0LlVTRAEAAAAIjgUAAgAAAA4yNiwxMDA5NzI1NzgyMQBd/+Ss60feCAiPJrbrR94IJkNJUS5NVC5JUV9MQVNUU0FMRVBSSUNFLjEwLzAzLzIwMjQuVVNEAQAAAAiOBQACAAAADDI2LDEzMjg4MDkwNgBd/+Ss60feCGS2JrbrR94IJkNJUS5NVC5JUV9MQVNUU0FMRVBSSUNFLjA5LzAzLzIwMjQuVVNEAQAAAAiOBQACAAAADDI2LDEzMjg4MDkwNgBd/+Ss60feCGS2JrbrR94IJkNJUS5NVC5JUV9MQVNUU0FMRVBSSUNFLjA4LzAzLzIwMjQuVVNEAQAAAAiOBQACAAAADDI2LDEzMjg4MDkwNgBd/+Ss60feCGS2JrbrR94IJkNJUS5NVC5JUV9MQVNUU0FMRVBSSUNFLjEzLzAzLzIwMjQuVVNEAQAAAAiOBQACAAAADjI3LDA3NjcyMTAzMDQyAF3/5KzrR94ICI8mtutH3ggmQ0lRLk1ULklRX0xBU1RTQUxFUFJJQ0UuMTQvMDMvMjAyNC5VU0QBAAAACI4FAAIAAAAPMjYsNjI1NjM5OTEyMjA1AF3/5KzrR94IZLYmtutH</t>
  </si>
  <si>
    <t>3ggmQ0lRLk1ULklRX0xBU1RTQUxFUFJJQ0UuMTUvMDMvMjAyNC5VU0QBAAAACI4FAAIAAAAOMjYsMzY2NTA2OTYzNDEAXf/krOtH3ghktia260feCCZDSVEuTVQuSVFfTEFTVFNBTEVQUklDRS4xNi8wMy8yMDI0LlVTRAEAAAAIjgUAAgAAAA4yNiwzNjY1MDY5NjM0MQBd/+Ss60feCGS2JrbrR94IJkNJUS5NVC5JUV9MQVNUU0FMRVBSSUNFLjA1LzAzLzIwMjQuVVNEAQAAAAiOBQACAAAADjI1LDM2OTQ4NDg4OTkxAF3/5KzrR94ICI8mtutH3ggmQ0lRLk1ULklRX0xBU1RTQUxFUFJJQ0UuMTkvMDMvMjAyNC5VU0QBAAAACI4FAAIAAAAPMjYsNDgyNDA2NTk0NzU1AF3/5KzrR94ICI8mtutH3ggnQ0lRLkNQSS5JUV9MQVNUU0FMRVBSSUNFLjExLzAzLzIwMjQuVVNEAQAAACprDQACAAAAEDIsODA5Mzc2MTIxNDA1MTUAXf/krOtH3gi/3Sa260feCCdDSVEuQ1BJLklRX0xBU1RTQUxFUFJJQ0UuMTAvMDMvMjAyNC5VU0QBAAAAKmsNAAIAAAAQMywwMzMyODE5MTEzMTA2NABd/+Ss60feCGS2JrbrR94IJ0NJUS5DUEkuSVFfTEFTVFNBTEVQUklDRS4wOS8wMy8yMDI0LlVTRAEAAAAqaw0AAgAAABAzLDAzMzI4MTkxMTMxMDY0AF3/5KzrR94Iv90mtutH3ggnQ0lRLkNQSS5JUV9MQVNUU0FMRVBSSUNFLjA4LzAzLzIwMjQuVVNEAQAAACprDQACAAAAEDMsMDMzMjgxOTExMzEwNjQAXf/krOtH3gjABSe260feCCdD</t>
  </si>
  <si>
    <t>SVEuQ1BJLklRX0xBU1RTQUxFUFJJQ0UuMTMvMDMvMjAyNC5VU0QBAAAAKmsNAAIAAAAQMiw1NjA4ODUzNjc2MTg1OABd/+Ss60feCMAFJ7brR94IJ0NJUS5DUEkuSVFfTEFTVFNBTEVQUklDRS4xNC8wMy8yMDI0LlVTRAEAAAAqaw0AAgAAAA8yLDU1MjE5Njk4MTkzNjYAXf/krOtH3gjABSe260feCCdDSVEuQ1BJLklRX0xBU1RTQUxFUFJJQ0UuMTUvMDMvMjAyNC5VU0QBAAAAKmsNAAIAAAAPMiw1ODg1NDQxNzQwNDI5AF3/5KzrR94Iv90mtutH3ggnQ0lRLkNQSS5JUV9MQVNUU0FMRVBSSUNFLjE2LzAzLzIwMjQuVVNEAQAAACprDQACAAAADzIsNTg4NTQ0MTc0MDQyOQBd/+Ss60feCL/dJrbrR94IJ0NJUS5DUEkuSVFfTEFTVFNBTEVQUklDRS4wNS8wMy8yMDI0LlVTRAEAAAAqaw0AAgAAABAzLDg1MDgwMDgxODg5MzY2AF3/5KzrR94Iv90mtutH3ggnQ0lRLkNQSS5JUV9MQVNUU0FMRVBSSUNFLjE5LzAzLzIwMjQuVVNEAQAAACprDQACAAAAEDIsNTUzMjA2NDU3MTkzNjcAXf/krOtH3gjpNye260feCChDSVEuU1BJRS5JUV9MQVNUU0FMRVBSSUNFLjEwLzAzLzIwMjQuVVNEAQAAAApYDQACAAAADjM2LDE2NDYyMzQ2MTEyAF3/5KzrR94IwAUntutH3ggoQ0lRLlNQSUUuSVFfTEFTVFNBTEVQUklDRS4wOS8wMy8yMDI0LlVTRAEAAAAKWA0AAgAAAA4zNiwxNjQ2MjM0NjExMgBd/+Ss60feCOk3J7brR94I</t>
  </si>
  <si>
    <t>KENJUS5TUElFLklRX0xBU1RTQUxFUFJJQ0UuMDgvMDMvMjAyNC5VU0QBAAAAClgNAAIAAAAOMzYsMTY0NjIzNDYxMTIAXf/krOtH3gjpNye260feCChDSVEuU1BJRS5JUV9MQVNUU0FMRVBSSUNFLjA3LzAzLzIwMjQuVVNEAQAAAApYDQACAAAADDM1LDgwMzI3ODY5MwBd/+Ss60feCOk3J7brR94IKENJUS5TUElFLklRX0xBU1RTQUxFUFJJQ0UuMTIvMDMvMjAyNC5VU0QBAAAAClgNAAIAAAAOMzcsOTA4MDY4NTU0NzIAXf/krOtH3gjABSe260feCChDSVEuU1BJRS5JUV9MQVNUU0FMRVBSSUNFLjEzLzAzLzIwMjQuVVNEAQAAAApYDQACAAAADDM4LDMwNTc4OTY1NQBd/+Ss60feCOk3J7brR94IKENJUS5TUElFLklRX0xBU1RTQUxFUFJJQ0UuMTQvMDMvMjAyNC5VU0QBAAAAClgNAAIAAAAOMzgsMjk2NDgxODcwMDQAXf/krOtH3giUYCe260feCChDSVEuU1BJRS5JUV9MQVNUU0FMRVBSSUNFLjE1LzAzLzIwMjQuVVNEAQAAAApYDQACAAAADjM4LDA0NDQyNTA3OTU2AF3/5KzrR94IlGAntutH3ggoQ0lRLlNQSUUuSVFfTEFTVFNBTEVQUklDRS4wNC8wMy8yMDI0LlVTRAEAAAAKWA0AAgAAAA4zMyw4NjU1MzcwNzkyNABd/+Ss60feCJRgJ7brR94IKENJUS5TUElFLklRX0xBU1RTQUxFUFJJQ0UuMTgvMDMvMjAyNC5VU0QBAAAAClgNAAIAAAAOMzgsMDczNDk0MjM3MzYAXf/krOtH3giUYCe260feCCdDSVEu</t>
  </si>
  <si>
    <t>Q1hULklRX0xBU1RTQUxFUFJJQ0UuMTAvMDMvMjAyNC5VU0QBAAAAkl3jaQIAAAAFNTksNTkAXf/krOtH3giUYCe260feCCdDSVEuQ1hULklRX0xBU1RTQUxFUFJJQ0UuMDkvMDMvMjAyNC5VU0QBAAAAkl3jaQIAAAAFNTksNTkAXf/krOtH3gjbhye260feCCdDSVEuQ1hULklRX0xBU1RTQUxFUFJJQ0UuMDgvMDMvMjAyNC5VU0QBAAAAkl3jaQIAAAAFNTksNTkAXf/krOtH3gjbhye260feCCdDSVEuQ1hULklRX0xBU1RTQUxFUFJJQ0UuMDcvMDMvMjAyNC5VU0QBAAAAkl3jaQIAAAAFNjAsMjMAXf/krOtH3gjbhye260feCCdDSVEuQ1hULklRX0xBU1RTQUxFUFJJQ0UuMTIvMDMvMjAyNC5VU0QBAAAAkl3jaQIAAAAFNjAsMjgAXf/krOtH3gjbhye260feCCdDSVEuQ1hULklRX0xBU1RTQUxFUFJJQ0UuMTMvMDMvMjAyNC5VU0QBAAAAkl3jaQIAAAAFNjAsNzkAXf/krOtH3gjbhye260feCCdDSVEuQ1hULklRX0xBU1RTQUxFUFJJQ0UuMTQvMDMvMjAyNC5VU0QBAAAAkl3jaQIAAAAFNTksODkAXf/krOtH3giUYCe260feCCdDSVEuQ1hULklRX0xBU1RTQUxFUFJJQ0UuMTUvMDMvMjAyNC5VU0QBAAAAkl3jaQIAAAAFNjAsNzUAXf/krOtH3gjbhye260feCCdDSVEuQ1hULklRX0xBU1RTQUxFUFJJQ0UuMDQvMDMvMjAyNC5VU0QBAAAAkl3jaQIAAAAFNTksNTIAbSblrOtH3gjbhye260feCCdDSVEuQ1hULklR</t>
  </si>
  <si>
    <t>X0xBU1RTQUxFUFJJQ0UuMTgvMDMvMjAyNC5VU0QBAAAAkl3jaQIAAAAFNjAsNjIAbSblrOtH3gjbhye260feCCdDSVEuQU1TLklRX0xBU1RTQUxFUFJJQ0UuMDgvMDMvMjAyNC5VU0QBAAAAgNMDAAIAAAAGMiw3Mzc1AG0m5azrR94I6a4ntutH3ggnQ0lRLkFNUy5JUV9MQVNUU0FMRVBSSUNFLjA3LzAzLzIwMjQuVVNEAQAAAIDTAwACAAAABjIsNjkyOABtJuWs60feCPnVJ7brR94IJ0NJUS5BTVMuSVFfTEFTVFNBTEVQUklDRS4wNC8wMy8yMDI0LlVTRAEAAACA0wMAAgAAAAMyLDcAbSblrOtH3gjprie260feCCdDSVEuQU1TLklRX0xBU1RTQUxFUFJJQ0UuMTgvMDMvMjAyNC5VU0QBAAAAgNMDAAIAAAAEMiw1NwBtJuWs60feCAf9J7brR94IJkNJUS5BUS5JUV9MQVNUU0FMRVBSSUNFLjEwLzAzLzIwMjQuVVNEAQAAALMujwACAAAADTEwLDU5NzQ0MzA5NTQAbSblrOtH3ggH/Se260feCCZDSVEuQVEuSVFfTEFTVFNBTEVQUklDRS4wOS8wMy8yMDI0LlVTRAEAAACzLo8AAgAAAA0xMCw1OTc0NDMwOTU0AG0m5azrR94IB/0ntutH3ggmQ0lRLkFRLklRX0xBU1RTQUxFUFJJQ0UuMDgvMDMvMjAyNC5VU0QBAAAAsy6PAAIAAAANMTAsNTk3NDQzMDk1NABtJuWs60feCAf9J7brR94IJkNJUS5BUS5JUV9MQVNUU0FMRVBSSUNFLjA3LzAzLzIwMjQuVVNEAQAAALMujwACAAAADTEwLDU3ODIxMzc5MTQAbSblrOtH</t>
  </si>
  <si>
    <t>3giwJCi260feCCZDSVEuQVEuSVFfTEFTVFNBTEVQUklDRS4xMi8wMy8yMDI0LlVTRAEAAACzLo8AAgAAAA0xMCw1MjE2NzE5NjA4AG0m5azrR94I+dUntutH3ggmQ0lRLkFRLklRX0xBU1RTQUxFUFJJQ0UuMTMvMDMvMjAyNC5VU0QBAAAAsy6PAAIAAAANMTAsNTAxNTcyMzIyMgBtJuWs60feCLAkKLbrR94IJkNJUS5BUS5JUV9MQVNUU0FMRVBSSUNFLjE0LzAzLzIwMjQuVVNEAQAAALMujwACAAAADTEwLDQyMTE1NjA4NjgAbSblrOtH3giwJCi260feCCZDSVEuQVEuSVFfTEFTVFNBTEVQUklDRS4xNS8wMy8yMDI0LlVTRAEAAACzLo8AAgAAAA0xMCwzNjY4OTU0MDcyAG0m5azrR94IsCQotutH3ggmQ0lRLkFRLklRX0xBU1RTQUxFUFJJQ0UuMDQvMDMvMjAyNC5VU0QBAAAAsy6PAAIAAAANMTAsNjQyODkwNDIwNgBtJuWs60feCLAkKLbrR94IJkNJUS5BUS5JUV9MQVNUU0FMRVBSSUNFLjE4LzAzLzIwMjQuVVNEAQAAALMujwACAAAADDEwLDI4NTIxODQ1OQBtJuWs60feCLAkKLbrR94IJ0NJUS5BMkEuSVFfTEFTVFNBTEVQUklDRS4wOC8wMy8yMDI0LlVTRAEAAABOew0AAgAAAA4xLDkxNjU5MzY5NDkyOABtJuWs60feCENYKLbrR94IJ0NJUS5BMkEuSVFfTEFTVFNBTEVQUklDRS4wNy8wMy8yMDI0LlVTRAEAAABOew0AAgAAAA8xLDg5NzgxNDIwNzg4NzUAbSblrOtH3gg4hii260feCCdDSVEuQTJBLklR</t>
  </si>
  <si>
    <t>X0xBU1RTQUxFUFJJQ0UuMDYvMDMvMjAyNC5VU0QBAAAATnsNAAIAAAAOMSw5MDE3NzY5NTM1OTQAbSblrOtH3gg4hii260feCCdDSVEuQTJBLklRX0xBU1RTQUxFUFJJQ0UuMDUvMDMvMjAyNC5VU0QBAAAATnsNAAIAAAAOMSw4NzM1MDU3NTkyNzIAbSblrOtH3gg4hii260feCCdDSVEuQTJBLklRX0xBU1RTQUxFUFJJQ0UuMTAvMDMvMjAyNC5VU0QBAAAATnsNAAIAAAAOMSw5MTY1OTM2OTQ5MjgAbSblrOtH3ghDWCi260feCCdDSVEuQTJBLklRX0xBU1RTQUxFUFJJQ0UuMTEvMDMvMjAyNC5VU0QBAAAATnsNAAIAAAAOMSw4NDQwNjA3NTg4NzUAbSblrOtH3ghDWCi260feCCdDSVEuQTJBLklRX0xBU1RTQUxFUFJJQ0UuMTIvMDMvMjAyNC5VU0QBAAAATnsNAAIAAAAPMSw4MzgwODI3NTk1NTg1AG0m5azrR94IOIYotutH3ggnQ0lRLkEyQS5JUV9MQVNUU0FMRVBSSUNFLjEzLzAzLzIwMjQuVVNEAQAAAE57DQACAAAADTEsNzk0ODk5ODU4MTIAbSblrOtH3gg4hii260feCCdDSVEuQTJBLklRX0xBU1RTQUxFUFJJQ0UuMDIvMDMvMjAyNC5VU0QBAAAATnsNAAIAAAANMSw4MDc5NDYzMDM1OQBtJuWs60feCENYKLbrR94IJ0NJUS5BMkEuSVFfTEFTVFNBTEVQUklDRS4xNi8wMy8yMDI0LlVTRAEAAABOew0AAgAAAA4xLDgyMDU1NzQ5MDkyOABtJuWs60feCENYKLbrR94IJ0NJUS5OQlMuSVFfTEFTVFNBTEVQ</t>
  </si>
  <si>
    <t>UklDRS4wNi8wMy8yMDI0LlVTRAEAAACpWw0AAgAAAA0xNjksNTQxMjE4OTMxAG0m5azrR94IdbgotutH3ggnQ0lRLk5CUy5JUV9MQVNUU0FMRVBSSUNFLjA1LzAzLzIwMjQuVVNEAQAAAKlbDQACAAAADTE2OSwxOTYxMjc1NTUAbSblrOtH3gh1uCi260feCCdDSVEuTkJTLklRX0xBU1RTQUxFUFJJQ0UuMDQvMDMvMjAyNC5VU0QBAAAAqVsNAAIAAAANMTY4LDg3Mzg3Nzg2NQBtJuWs60feCDiGKLbrR94IJ0NJUS5OQlMuSVFfTEFTVFNBTEVQUklDRS4wMy8wMy8yMDI0LlVTRAEAAACpWw0AAgAAAA0xNjgsMDUwMjM4MTI1AG0m5azrR94IdbgotutH3ggnQ0lRLk5CUy5JUV9MQVNUU0FMRVBSSUNFLjA4LzAzLzIwMjQuVVNEAQAAAKlbDQACAAAADjE3MCwzMzY5NDU3ODc1AG0m5azrR94IdbgotutH3ggnQ0lRLk5CUy5JUV9MQVNUU0FMRVBSSUNFLjA5LzAzLzIwMjQuVVNEAQAAAKlbDQACAAAADjE3MCwzMzY5NDU3ODc1AG0m5azrR94IeN8otutH3ggnQ0lRLk5CUy5JUV9MQVNUU0FMRVBSSUNFLjEwLzAzLzIwMjQuVVNEAQAAAKlbDQACAAAADjE3MCwzMzY5NDU3ODc1AG0m5azrR94IdbgotutH3ggnQ0lRLk5CUy5JUV9MQVNUU0FMRVBSSUNFLjExLzAzLzIwMjQuVVNEAQAAAKlbDQACAAAADTE3MCwzODE3NTc2NTEAbSblrOtH3gh43yi260feCCdDSVEuTkJTLklRX0xBU1RTQUxFUFJJQ0UuMjkvMDIvMjAy</t>
  </si>
  <si>
    <t>NC5VU0QBAAAAqVsNAAIAAAANMTY4LDAyNDc2MTU3NgBtJuWs60feCHjfKLbrR94IJ0NJUS5OQlMuSVFfTEFTVFNBTEVQUklDRS4xNC8wMy8yMDI0LlVTRAEAAACpWw0AAgAAAA0xNzEsNTQ5NTU4MDMxAG0m5azrR94IVwcptutH3ggoQ0lRLlRXSU4uSVFfTEFTVFNBTEVQUklDRS4wNS8wMy8yMDI0LlVTRAEAAADzuQQAAgAAAAUxNSw3NQBtJuWs60feCFcHKbbrR94IKENJUS5UV0lOLklRX0xBU1RTQUxFUFJJQ0UuMDQvMDMvMjAyNC5VU0QBAAAA87kEAAIAAAAFMTUsNzUAbSblrOtH3gicLSm260feCChDSVEuVFdJTi5JUV9MQVNUU0FMRVBSSUNFLjAzLzAzLzIwMjQuVVNEAQAAAPO5BAACAAAABTE1LDg3AG0m5azrR94InC0ptutH3ggoQ0lRLlRXSU4uSVFfTEFTVFNBTEVQUklDRS4wMi8wMy8yMDI0LlVTRAEAAADzuQQAAgAAAAUxNSw4NwBtJuWs60feCFcHKbbrR94IKENJUS5UV0lOLklRX0xBU1RTQUxFUFJJQ0UuMDcvMDMvMjAyNC5VU0QBAAAA87kEAAIAAAAEMTYsMQBtJuWs60feCFcHKbbrR94IKENJUS5UV0lOLklRX0xBU1RTQUxFUFJJQ0UuMDgvMDMvMjAyNC5VU0QBAAAA87kEAAIAAAAEMTYsOABtJuWs60feCJwtKbbrR94IKENJUS5UV0lOLklRX0xBU1RTQUxFUFJJQ0UuMDkvMDMvMjAyNC5VU0QBAAAA87kEAAIAAAAEMTYsOABtJuWs60feCHjfKLbrR94IKENJUS5UV0lOLklRX0xBU1RTQUxF</t>
  </si>
  <si>
    <t>UFJJQ0UuMTAvMDMvMjAyNC5VU0QBAAAA87kEAAIAAAAEMTYsOABtJuWs60feCJwtKbbrR94IKENJUS5UV0lOLklRX0xBU1RTQUxFUFJJQ0UuMjgvMDIvMjAyNC5VU0QBAAAA87kEAAIAAAAEMTUsNwBtJuWs60feCJwtKbbrR94IKENJUS5UV0lOLklRX0xBU1RTQUxFUFJJQ0UuMTMvMDMvMjAyNC5VU0QBAAAA87kEAAIAAAAFMTYsMTYAbSblrOtH3gicLSm260feCClDSVEuQkFMQ08uSVFfTEFTVFNBTEVQUklDRS4wNS8wMy8yMDI0LlVTRAEAAABLDCAgAgAAAAwzLDkyNjE2ODcyMzQAbSblrOtH3giuVCm260feCClDSVEuQkFMQ08uSVFfTEFTVFNBTEVQUklDRS4wNC8wMy8yMDI0LlVTRAEAAABLDCAgAgAAAAwzLDk4ODY2OTQ1ODkAbSblrOtH3giuVCm260feCClDSVEuQkFMQ08uSVFfTEFTVFNBTEVQUklDRS4wMy8wMy8yMDI0LlVTRAEAAABLDCAgAgAAAAw0LDA3NjQyMzczMDcAbSblrOtH3giuVCm260feCClDSVEuQkFMQ08uSVFfTEFTVFNBTEVQUklDRS4wMi8wMy8yMDI0LlVTRAEAAABLDCAgAgAAAAw0LDA3NjQyMzczMDcAbSblrOtH3giuVCm260feCClDSVEuQkFMQ08uSVFfTEFTVFNBTEVQUklDRS4wNy8wMy8yMDI0LlVTRAEAAABLDCAgAgAAAA00LDEyMDgxMDY0MDU1AG0m5azrR94IrlQptutH3ggpQ0lRLkJBTENPLklRX0xBU1RTQUxFUFJJQ0UuMDgvMDMvMjAyNC5VU0QBAAAASwwgIAIAAAAM</t>
  </si>
  <si>
    <t>NCwwNDUwNDk5MDYxAG0m5azrR94IrlQptutH3ggpQ0lRLkJBTENPLklRX0xBU1RTQUxFUFJJQ0UuMDkvMDMvMjAyNC5VU0QBAAAASwwgIAIAAAAMNCwwNDUwNDk5MDYxAG0m5azrR94IrlQptutH3ggpQ0lRLkJBTENPLklRX0xBU1RTQUxFUFJJQ0UuMTAvMDMvMjAyNC5VU0QBAAAASwwgIAIAAAAMNCwwNDUwNDk5MDYxAG0m5azrR94IrlQptutH3ggpQ0lRLkJBTENPLklRX0xBU1RTQUxFUFJJQ0UuMjgvMDIvMjAyNC5VU0QBAAAASwwgIAIAAAALNCwxNjc2NDk3NTEAbSblrOtH3giuVCm260feCClDSVEuQkFMQ08uSVFfTEFTVFNBTEVQUklDRS4xMy8wMy8yMDI0LlVTRAEAAABLDCAgAgAAAA00LDE0MDk4MzEyNzA1AG0m5azrR94IrlQptutH3ggoQ0lRLkFMQ0EuSVFfTEFTVFNBTEVQUklDRS4wNS8wMy8yMDI0LlVTRAEAAABdlagUAgAAAAwzLDU5MzM2MDgwOTUAbSblrOtH3giuVCm260feCChDSVEuQUxDQS5JUV9MQVNUU0FMRVBSSUNFLjA0LzAzLzIwMjQuVVNEAQAAAF2VqBQCAAAADDMsODA1MTcxMzQ4MgBtJuWs60feCK5UKbbrR94IKENJUS5BTENBLklRX0xBU1RTQUxFUFJJQ0UuMDMvMDMvMjAyNC5VU0QBAAAAXZWoFAIAAAANMyw4MzkxOTcxNzE1NQBtJuWs60feCK5UKbbrR94IKENJUS5BTENBLklRX0xBU1RTQUxFUFJJQ0UuMDIvMDMvMjAyNC5VU0QBAAAAXZWoFAIAAAANMyw4MzkxOTcxNzE1</t>
  </si>
  <si>
    <t>NQBtJuWs60feCK5UKbbrR94IKENJUS5BTENBLklRX0xBU1RTQUxFUFJJQ0UuMDcvMDMvMjAyNC5VU0QBAAAAXZWoFAIAAAAMMyw2NzU5NzgxNzUyAG0m5azrR94IrlQptutH3ggoQ0lRLkFMQ0EuSVFfTEFTVFNBTEVQUklDRS4wOC8wMy8yMDI0LlVTRAEAAABdlagUAgAAAAwzLDY1MzI3NzUxODEAbSblrOtH3giuVCm260feCChDSVEuQUxDQS5JUV9MQVNUU0FMRVBSSUNFLjA5LzAzLzIwMjQuVVNEAQAAAF2VqBQCAAAADDMsNjUzMjc3NTE4MQBtJuWs60feCK5UKbbrR94IKENJUS5BTENBLklRX0xBU1RTQUxFUFJJQ0UuMTAvMDMvMjAyNC5VU0QBAAAAXZWoFAIAAAAMMyw2NTMyNzc1MTgxAG0m5azrR94IrlQptutH3ggoQ0lRLkFMQ0EuSVFfTEFTVFNBTEVQUklDRS4yOC8wMi8yMDI0LlVTRAEAAABdlagUAgAAAAszLDg1ODIxODY3OQBtJuWs60feCK5UKbbrR94IKENJUS5BTENBLklRX0xBU1RTQUxFUFJJQ0UuMTMvMDMvMjAyNC5VU0QBAAAAXZWoFAIAAAAMMyw2Mzc0MTYxMTE2AG0m5azrR94IrlQptutH3ggrQ0lRLlJJQ0hURVIuSVFfTEFTVFNBTEVQUklDRS4wNS8wMy8yMDI0LlVTRAEAAACycg0AAgAAAAoyNiw1MDU0MjcyAG0m5azrR94IrlQptutH3ggrQ0lRLlJJQ0hURVIuSVFfTEFTVFNBTEVQUklDRS4wNC8wMy8yMDI0LlVTRAEAAACycg0AAgAAAAsyNiwzNjYzNTg5MwBtJuWs60feCK5UKbbr</t>
  </si>
  <si>
    <t>R94IK0NJUS5SSUNIVEVSLklRX0xBU1RTQUxFUFJJQ0UuMDMvMDMvMjAyNC5VU0QBAAAAsnINAAIAAAALMjYsNDM1MDQzMjUAbSblrOtH3giuVCm260feCCtDSVEuUklDSFRFUi5JUV9MQVNUU0FMRVBSSUNFLjAyLzAzLzIwMjQuVVNEAQAAALJyDQACAAAACzI2LDQzNTA0MzI1AG0m5azrR94IrlQptutH3ggrQ0lRLlJJQ0hURVIuSVFfTEFTVFNBTEVQUklDRS4wNy8wMy8yMDI0LlVTRAEAAACycg0AAgAAAAwyNiw1NzQyNTkxNTUAbSblrOtH3giuVCm260feCCtDSVEuUklDSFRFUi5JUV9MQVNUU0FMRVBSSUNFLjA4LzAzLzIwMjQuVVNEAQAAALJyDQACAAAACjI2LDkwMzIxOTEAbSblrOtH3giuVCm260feCCtDSVEuUklDSFRFUi5JUV9MQVNUU0FMRVBSSUNFLjA5LzAzLzIwMjQuVVNEAQAAALJyDQACAAAACjI2LDkwMzIxOTEAbSblrOtH3giuVCm260feCCtDSVEuUklDSFRFUi5JUV9MQVNUU0FMRVBSSUNFLjEwLzAzLzIwMjQuVVNEAQAAALJyDQACAAAACjI2LDkwMzIxOTEAbSblrOtH3giuVCm260feCCtDSVEuUklDSFRFUi5JUV9MQVNUU0FMRVBSSUNFLjI4LzAyLzIwMjQuVVNEAQAAALJyDQACAAAACzI3LDA1OTA0OTI4AG0m5azrR94IrlQptutH3ggrQ0lRLlJJQ0hURVIuSVFfTEFTVFNBTEVQUklDRS4xMy8wMy8yMDI0LlVTRAEAAACycg0AAgAAAAoyNiw1MTEyODMyAG0m5azrR94IrlQptutH3ggo</t>
  </si>
  <si>
    <t>Q0lRLk1UTEMuSVFfTEFTVFNBTEVQUklDRS4wNS8wMy8yMDI0LlVTRAEAAADls/NjAgAAAAwwLDIyMTAwOTEyNzYAbSblrOtH3giuVCm260feCChDSVEuTVRMQy5JUV9MQVNUU0FMRVBSSUNFLjA0LzAzLzIwMjQuVVNEAQAAAOWz82MCAAAADTAsMjgwMTcxOTM2OTgAbSblrOtH3giuVCm260feCChDSVEuTVRMQy5JUV9MQVNUU0FMRVBSSUNFLjAzLzAzLzIwMjQuVVNEAQAAAOWz82MCAAAADDAsMjIxMjMyNDExOQBtJuWs60feCK5UKbbrR94IKENJUS5NVExDLklRX0xBU1RTQUxFUFJJQ0UuMDIvMDMvMjAyNC5VU0QBAAAA5bPzYwIAAAAMMCwyMjEyMzI0MTE5AG0m5azrR94IrlQptutH3ggoQ0lRLk1UTEMuSVFfTEFTVFNBTEVQUklDRS4wNy8wMy8yMDI0LlVTRAEAAADls/NjAgAAAA0wLDIzMDIyMTM4Mzc1AG0m5azrR94IrlQptutH3ggoQ0lRLk1UTEMuSVFfTEFTVFNBTEVQUklDRS4wOC8wMy8yMDI0LlVTRAEAAADls/NjAgAAAA4wLDE5NjY4NTI5NjIyNQBtJuWs60feCK5UKbbrR94IKENJUS5NVExDLklRX0xBU1RTQUxFUFJJQ0UuMDkvMDMvMjAyNC5VU0QBAAAA5bPzYwIAAAAOMCwxOTY2ODUyOTYyMjUAbSblrOtH3giuVCm260feCChDSVEuTVRMQy5JUV9MQVNUU0FMRVBSSUNFLjEwLzAzLzIwMjQuVVNEAQAAAOWz82MCAAAADjAsMTk2Njg1Mjk2MjI1AG0m5azrR94IrlQptutH3ggoQ0lRLk1UTEMu</t>
  </si>
  <si>
    <t>SVFfTEFTVFNBTEVQUklDRS4yOC8wMi8yMDI0LlVTRAEAAADls/NjAgAAAA4wLDI5MDk0NjA1MzM2NQBtJuWs60feCK5UKbbrR94IKENJUS5NVExDLklRX0xBU1RTQUxFUFJJQ0UuMTMvMDMvMjAyNC5VU0QBAAAA5bPzYwIAAAANMCwyMDA0MjYwOTExMgBtJuWs60feCK5UKbbrR94IKENJUS5aRUhOLklRX0xBU1RTQUxFUFJJQ0UuMDUvMDMvMjAyNC5VU0QBAAAAimANAAIAAAANNjIsMTM5OTIyMzQ3NgBtJuWs60feCK5UKbbrR94IKENJUS5aRUhOLklRX0xBU1RTQUxFUFJJQ0UuMDQvMDMvMjAyNC5VU0QBAAAAimANAAIAAAANNjEsOTYyOTEyNzEyOABtJuWs60feCK5UKbbrR94IKENJUS5aRUhOLklRX0xBU1RTQUxFUFJJQ0UuMDMvMDMvMjAyNC5VU0QBAAAAimANAAIAAAANNjAsNDQzMDk4NzY0NQBtJuWs60feCK5UKbbrR94IKENJUS5aRUhOLklRX0xBU1RTQUxFUFJJQ0UuMDIvMDMvMjAyNC5VU0QBAAAAimANAAIAAAANNjAsNDQzMDk4NzY0NQBtJuWs60feCK5UKbbrR94IKENJUS5aRUhOLklRX0xBU1RTQUxFUFJJQ0UuMDcvMDMvMjAyNC5VU0QBAAAAimANAAIAAAAMNjMsMjA4OTY1NDI5AIFN5azrR94IrlQptutH3ggoQ0lRLlpFSE4uSVFfTEFTVFNBTEVQUklDRS4wOC8wMy8yMDI0LlVTRAEAAACKYA0AAgAAAAs2Miw3MzA5NjQwMQCBTeWs60feCK5UKbbrR94IKENJUS5aRUhOLklRX0xBU1RTQUxF</t>
  </si>
  <si>
    <t>UFJJQ0UuMDkvMDMvMjAyNC5VU0QBAAAAimANAAIAAAALNjIsNzMwOTY0MDEAgU3lrOtH3giuVCm260feCChDSVEuWkVITi5JUV9MQVNUU0FMRVBSSUNFLjEwLzAzLzIwMjQuVVNEAQAAAIpgDQACAAAACzYyLDczMDk2NDAxAIFN5azrR94IrlQptutH3ggoQ0lRLlpFSE4uSVFfTEFTVFNBTEVQUklDRS4yOC8wMi8yMDI0LlVTRAEAAACKYA0AAgAAAA02Myw3NjY2NjYyNzk4AIFN5azrR94IrlQptutH3ggoQ0lRLlpFSE4uSVFfTEFTVFNBTEVQUklDRS4xMy8wMy8yMDI0LlVTRAEAAACKYA0AAgAAAAw2MSw0MDk4MDUwNzIAgU3lrOtH3giuVCm260feCChDSVEuQlJFRS5JUV9MQVNUU0FMRVBSSUNFLjA1LzAzLzIwMjQuVVNEAQAAAGQzuwICAAAACzQsODM0MTc1MDczAIFN5azrR94IrlQptutH3ggoQ0lRLkJSRUUuSVFfTEFTVFNBTEVQUklDRS4wNC8wMy8yMDI0LlVTRAEAAABkM7sCAgAAAA00LDgxMjI3MDY1NDk1AIFN5azrR94IrlQptutH3ggoQ0lRLkJSRUUuSVFfTEFTVFNBTEVQUklDRS4wMy8wMy8yMDI0LlVTRAEAAABkM7sCAgAAAA40LDcxOTMwNTU1OTM3NQCBTeWs60feCK5UKbbrR94IKENJUS5CUkVFLklRX0xBU1RTQUxFUFJJQ0UuMDIvMDMvMjAyNC5VU0QBAAAAZDO7AgIAAAAONCw3MTkzMDU1NTkzNzUAgU3lrOtH3giuVCm260feCChDSVEuQlJFRS5JUV9MQVNUU0FMRVBSSUNFLjA3LzAzLzIw</t>
  </si>
  <si>
    <t>MjQuVVNEAQAAAGQzuwICAAAADTUsMDczMzgxNjk4NTgAgU3lrOtH3giuVCm260feCChDSVEuQlJFRS5JUV9MQVNUU0FMRVBSSUNFLjA4LzAzLzIwMjQuVVNEAQAAAGQzuwICAAAADjUsMDg0Mzk3MTM2NTI1AIFN5azrR94IrlQptutH3ggoQ0lRLkJSRUUuSVFfTEFTVFNBTEVQUklDRS4wOS8wMy8yMDI0LlVTRAEAAABkM7sCAgAAAA41LDA4NDM5NzEzNjUyNQCBTeWs60feCK5UKbbrR94IKENJUS5CUkVFLklRX0xBU1RTQUxFUFJJQ0UuMTAvMDMvMjAyNC5VU0QBAAAAZDO7AgIAAAAONSwwODQzOTcxMzY1MjUAgU3lrOtH3gjyhyq260feCChDSVEuQlJFRS5JUV9MQVNUU0FMRVBSSUNFLjI4LzAyLzIwMjQuVVNEAQAAAGQzuwICAAAADDQsNjMxMzI4NTM0NgCBTeWs60feCPKHKrbrR94IKENJUS5CUkVFLklRX0xBU1RTQUxFUFJJQ0UuMTMvMDMvMjAyNC5VU0QBAAAAZDO7AgIAAAANNCw5OTc2MzIzNjI5MQCBTeWs60feCPKHKrbrR94IKENJUS5DRE5TLklRX0xBU1RTQUxFUFJJQ0UuMDQvMDMvMjAyNC5VU0QBAAAAVWUAAAIAAAAGMzE3LDMxAIFN5azrR94I8ocqtutH3ggoQ0lRLkNETlMuSVFfTEFTVFNBTEVQUklDRS4wMy8wMy8yMDI0LlVTRAEAAABVZQAAAgAAAAYzMTUsMjQAgU3lrOtH3gjyhyq260feCChDSVEuQ0ROUy5JUV9MQVNUU0FMRVBSSUNFLjAyLzAzLzIwMjQuVVNEAQAAAFVlAAACAAAABjMx</t>
  </si>
  <si>
    <t>NSwyNACBTeWs60feCPKHKrbrR94IKENJUS5DRE5TLklRX0xBU1RTQUxFUFJJQ0UuMDEvMDMvMjAyNC5VU0QBAAAAVWUAAAIAAAAGMzE1LDI0AIFN5azrR94I8ocqtutH3ggoQ0lRLkNETlMuSVFfTEFTVFNBTEVQUklDRS4wNi8wMy8yMDI0LlVTRAEAAABVZQAAAgAAAAYzMTIsNjUAgU3lrOtH3gjyhyq260feCChDSVEuQ0ROUy5JUV9MQVNUU0FMRVBSSUNFLjA3LzAzLzIwMjQuVVNEAQAAAFVlAAACAAAABjMxOCwwNACBTeWs60feCPKHKrbrR94IKENJUS5DRE5TLklRX0xBU1RTQUxFUFJJQ0UuMDgvMDMvMjAyNC5VU0QBAAAAVWUAAAIAAAAFMzA4LDYAgU3lrOtH3gjyhyq260feCChDSVEuQ0ROUy5JUV9MQVNUU0FMRVBSSUNFLjA5LzAzLzIwMjQuVVNEAQAAAFVlAAACAAAABTMwOCw2AIFN5azrR94I8ocqtutH3ggoQ0lRLkNETlMuSVFfTEFTVFNBTEVQUklDRS4yNy8wMi8yMDI0LlVTRAEAAABVZQAAAgAAAAYzMDAsMDEAgU3lrOtH3gjyhyq260feCChDSVEuQ0ROUy5JUV9MQVNUU0FMRVBSSUNFLjEyLzAzLzIwMjQuVVNEAQAAAFVlAAACAAAABjMxMSwyOACBTeWs60feCPKHKrbrR94IKENJUS5QS09ILklRX0xBU1RTQUxFUFJJQ0UuMDQvMDMvMjAyNC5VU0QBAAAAUoAEAAIAAAAFMjYsNTEAgU3lrOtH3giWxiq260feCChDSVEuUEtPSC5JUV9MQVNUU0FMRVBSSUNFLjAzLzAzLzIwMjQuVVNEAQAAAFKA</t>
  </si>
  <si>
    <t>BAACAAAABTI2LDQ5AIFN5azrR94IlsYqtutH3ggoQ0lRLlBLT0guSVFfTEFTVFNBTEVQUklDRS4wMi8wMy8yMDI0LlVTRAEAAABSgAQAAgAAAAUyNiw0OQCBTeWs60feCJbGKrbrR94IKENJUS5QS09ILklRX0xBU1RTQUxFUFJJQ0UuMDEvMDMvMjAyNC5VU0QBAAAAUoAEAAIAAAAFMjYsNDkAgU3lrOtH3giWxiq260feCChDSVEuUEtPSC5JUV9MQVNUU0FMRVBSSUNFLjA2LzAzLzIwMjQuVVNEAQAAAFKABAACAAAABTI0LDA3AIFN5azrR94IlsYqtutH3ggoQ0lRLlBLT0guSVFfTEFTVFNBTEVQUklDRS4wNy8wMy8yMDI0LlVTRAEAAABSgAQAAgAAAAUyMyw1NgCBTeWs60feCEkGK7brR94IKENJUS5QS09ILklRX0xBU1RTQUxFUFJJQ0UuMDgvMDMvMjAyNC5VU0QBAAAAUoAEAAIAAAAEMjMsNwCBTeWs60feCEkGK7brR94IKENJUS5QS09ILklRX0xBU1RTQUxFUFJJQ0UuMDkvMDMvMjAyNC5VU0QBAAAAUoAEAAIAAAAEMjMsNwCBTeWs60feCJbGKrbrR94IKENJUS5QS09ILklRX0xBU1RTQUxFUFJJQ0UuMjcvMDIvMjAyNC5VU0QBAAAAUoAEAAIAAAAFMjYsMzYAgU3lrOtH3giWxiq260feCChDSVEuUEtPSC5JUV9MQVNUU0FMRVBSSUNFLjEyLzAzLzIwMjQuVVNEAQAAAFKABAACAAAABTI0LDIxAIFN5azrR94ISQYrtutH3ggnQ0lRLlNQWi5JUV9MQVNUU0FMRVBSSUNFLjA0LzAzLzIwMjQuVVNEAQAAAFR2</t>
  </si>
  <si>
    <t>5QYCAAAADTAsMjcwNTY5ODI2NjkAgU3lrOtH3ghJBiu260feCCdDSVEuU1BaLklRX0xBU1RTQUxFUFJJQ0UuMDMvMDMvMjAyNC5VU0QBAAAAVHblBgIAAAANMCwyNjc1MTkyNDg1MgCBTeWs60feCNREK7brR94IJ0NJUS5TUFouSVFfTEFTVFNBTEVQUklDRS4wMi8wMy8yMDI0LlVTRAEAAABUduUGAgAAAA0wLDI2NzUxOTI0ODUyAIFN5azrR94ISQYrtutH3ggnQ0lRLlNQWi5JUV9MQVNUU0FMRVBSSUNFLjAxLzAzLzIwMjQuVVNEAQAAAFR25QYCAAAADTAsMjY3NTE5MjQ4NTIAgU3lrOtH3ghJBiu260feCCdDSVEuU1BaLklRX0xBU1RTQUxFUFJJQ0UuMDYvMDMvMjAyNC5VU0QBAAAAVHblBgIAAAANMCwzMTU0NzgxNDY3MgCBTeWs60feCEkGK7brR94IJ0NJUS5TUFouSVFfTEFTVFNBTEVQUklDRS4wNy8wMy8yMDI0LlVTRAEAAABUduUGAgAAAA0wLDMxMTI5OTUxMDAxAIFN5azrR94ISQYrtutH3ggnQ0lRLlNQWi5JUV9MQVNUU0FMRVBSSUNFLjA4LzAzLzIwMjQuVVNEAQAAAFR25QYCAAAADjAsMzAxNDA0MzQ1NTE1AIFN5azrR94ISQYrtutH3ggnQ0lRLlNQWi5JUV9MQVNUU0FMRVBSSUNFLjA5LzAzLzIwMjQuVVNEAQAAAFR25QYCAAAADjAsMzAxNDA0MzQ1NTE1AIFN5azrR94I1EQrtutH3ggnQ0lRLlNQWi5JUV9MQVNUU0FMRVBSSUNFLjI3LzAyLzIwMjQuVVNEAQAAAFR25QYCAAAADTAsMjY4NTE3</t>
  </si>
  <si>
    <t>OTEyMTcAgU3lrOtH3gjURCu260feCCdDSVEuU1BaLklRX0xBU1RTQUxFUFJJQ0UuMTIvMDMvMjAyNC5VU0QBAAAAVHblBgIAAAAOMCwyODY5NTgyNDI2MzUAgU3lrOtH3gjURCu260feCChDSVEuMjMwMC5JUV9MQVNUU0FMRVBSSUNFLjA0LzAzLzIwMjQuVVNEAQAAAINxoQACAAAACTMsMzIyNjU2NQCBTeWs60feCDmCK7brR94IKENJUS4yMzAwLklRX0xBU1RTQUxFUFJJQ0UuMDMvMDMvMjAyNC5VU0QBAAAAg3GhAAIAAAALMyw0MDA5MDc4NjcAgU3lrOtH3gjURCu260feCChDSVEuMjMwMC5JUV9MQVNUU0FMRVBSSUNFLjAyLzAzLzIwMjQuVVNEAQAAAINxoQACAAAACzMsNDAwOTA3ODY3AIFN5azrR94IOYIrtutH3ggoQ0lRLjIzMDAuSVFfTEFTVFNBTEVQUklDRS4wMS8wMy8yMDI0LlVTRAEAAACDcaEAAgAAAAszLDQwMDkwNzg2NwCBTeWs60feCDmCK7brR94IKENJUS4yMzAwLklRX0xBU1RTQUxFUFJJQ0UuMDYvMDMvMjAyNC5VU0QBAAAAg3GhAAIAAAALMywzNzM2OTczNzYAgU3lrOtH3gg5giu260feCChDSVEuMjMwMC5JUV9MQVNUU0FMRVBSSUNFLjA3LzAzLzIwMjQuVVNEAQAAAINxoQACAAAACjMsNDUzMTY5MzcAgU3lrOtH3gjURCu260feCChDSVEuMjMwMC5JUV9MQVNUU0FMRVBSSUNFLjA4LzAzLzIwMjQuVVNEAQAAAINxoQACAAAACzMsNDA5MzI5OTg4AIFN5azrR94IOYIrtutH3ggoQ0lR</t>
  </si>
  <si>
    <t>LjIzMDAuSVFfTEFTVFNBTEVQUklDRS4wOS8wMy8yMDI0LlVTRAEAAACDcaEAAgAAAAszLDQwOTMyOTk4OACBTeWs60feCDmCK7brR94IKENJUS4yMzAwLklRX0xBU1RTQUxFUFJJQ0UuMjcvMDIvMjAyNC5VU0QBAAAAg3GhAAIAAAALMyw3OTYzMTUxOTgAgU3lrOtH3gjURCu260feCChDSVEuMjMwMC5JUV9MQVNUU0FMRVBSSUNFLjEyLzAzLzIwMjQuVVNEAQAAAINxoQACAAAACzMsNDM4NzA1ODQ4AIFN5azrR94I1EQrtutH3ggoQ0lRLkNJQ04uSVFfTEFTVFNBTEVQUklDRS4wNS8wMy8yMDI0LlVTRAEAAAA1RwUAAgAAAAgxNCw5OTkyNQCBTeWs60feCPbAK7brR94IKENJUS5DSUNOLklRX0xBU1RTQUxFUFJJQ0UuMDcvMDMvMjAyNC5VU0QBAAAANUcFAAIAAAAIMTQsOTk5MjUAgU3lrOtH3gj2wCu260feCChDSVEuQ0lDTi5JUV9MQVNUU0FMRVBSSUNFLjA4LzAzLzIwMjQuVVNEAQAAADVHBQACAAAACDE0LDk5OTI1AIFN5azrR94IOYIrtutH3ggoQ0lRLkNJQ04uSVFfTEFTVFNBTEVQUklDRS4xMS8wMy8yMDI0LlVTRAEAAAA1RwUAAgAAAAgxNCw5OTkyNQCBTeWs60feCPbAK7brR94IKENJUS5ITE1BLklRX0xBU1RTQUxFUFJJQ0UuMDMvMDMvMjAyNC5VU0QBAAAANFkNAAIAAAANMjksMDg2NTkwMDg3NQCBTeWs60feCPbAK7brR94IKENJUS5ITE1BLklRX0xBU1RTQUxFUFJJQ0UuMDIvMDMvMjAyNC5V</t>
  </si>
  <si>
    <t>U0QBAAAANFkNAAIAAAANMjksMDg2NTkwMDg3NQCBTeWs60feCEL/K7brR94IKENJUS5ITE1BLklRX0xBU1RTQUxFUFJJQ0UuMDEvMDMvMjAyNC5VU0QBAAAANFkNAAIAAAANMjksMDg2NTkwMDg3NQCBTeWs60feCPbAK7brR94IKENJUS5ITE1BLklRX0xBU1RTQUxFUFJJQ0UuMjkvMDIvMjAyNC5VU0QBAAAANFkNAAIAAAAOMjksMDgyMTgwNTM3NDQAgU3lrOtH3gj2wCu260feCChDSVEuSExNQS5JUV9MQVNUU0FMRVBSSUNFLjA1LzAzLzIwMjQuVVNEAQAAADRZDQACAAAADDI5LDAwNTA1MDQzOACBTeWs60feCPbAK7brR94IKENJUS5ITE1BLklRX0xBU1RTQUxFUFJJQ0UuMDYvMDMvMjAyNC5VU0QBAAAANFkNAAIAAAAOMjksMzcwMTQ4MDAxMjgAgU3lrOtH3gj2wCu260feCChDSVEuSExNQS5JUV9MQVNUU0FMRVBSSUNFLjA3LzAzLzIwMjQuVVNEAQAAADRZDQACAAAADjI5LDI3NTkwNzUwNjU2AIFN5azrR94I9sArtutH3ggoQ0lRLkhMTUEuSVFfTEFTVFNBTEVQUklDRS4wOC8wMy8yMDI0LlVTRAEAAAA0WQ0AAgAAAA4yOSw0Nzc5MzMzMzUxNQCBTeWs60feCEL/K7brR94IKENJUS5ITE1BLklRX0xBU1RTQUxFUFJJQ0UuMjYvMDIvMjAyNC5VU0QBAAAANFkNAAIAAAAOMzAsMDIzNzA5NjAyNTYAgU3lrOtH3ghC/yu260feCChDSVEuSExNQS5JUV9MQVNUU0FMRVBSSUNFLjExLzAzLzIwMjQuVVNEAQAA</t>
  </si>
  <si>
    <t>ADRZDQACAAAADjI5LDAxNjE0MTQzNDU1AIFN5azrR94IQv8rtutH3ggpQ0lRLlZJU1ROLklRX0xBU1RTQUxFUFJJQ0UuMDMvMDMvMjAyNC5VU0QBAAAA7nwwEQIAAAAMMiwxNDYxODM1OTc2AIFN5azrR94IQv8rtutH3ggpQ0lRLlZJU1ROLklRX0xBU1RTQUxFUFJJQ0UuMDIvMDMvMjAyNC5VU0QBAAAA7nwwEQIAAAAMMiwxNDYxODM1OTc2AIFN5azrR94IQv8rtutH3ggpQ0lRLlZJU1ROLklRX0xBU1RTQUxFUFJJQ0UuMDEvMDMvMjAyNC5VU0QBAAAA7nwwEQIAAAAMMiwxNDYxODM1OTc2AIFN5azrR94IQv8rtutH3ggpQ0lRLlZJU1ROLklRX0xBU1RTQUxFUFJJQ0UuMjkvMDIvMjAyNC5VU0QBAAAA7nwwEQIAAAAMMiwxMzgxMDI1ODA3AIFN5azrR94IQv8rtutH3ggpQ0lRLlZJU1ROLklRX0xBU1RTQUxFUFJJQ0UuMDUvMDMvMjAyNC5VU0QBAAAA7nwwEQIAAAAMMiwyMjgzMDEzMjU1AIFN5azrR94IQv8rtutH3ggpQ0lRLlZJU1ROLklRX0xBU1RTQUxFUFJJQ0UuMDYvMDMvMjAyNC5VU0QBAAAA7nwwEQIAAAAJMiwxOTMxMTIxAIFN5azrR94IQv8rtutH3ggpQ0lRLlZJU1ROLklRX0xBU1RTQUxFUFJJQ0UuMDcvMDMvMjAyNC5VU0QBAAAA7nwwEQIAAAALMiwxODgzOTgwMzYAgU3lrOtH3ghC/yu260feCClDSVEuVklTVE4uSVFfTEFTVFNBTEVQUklDRS4wOC8wMy8yMDI0LlVTRAEAAADufDARAgAAAAsy</t>
  </si>
  <si>
    <t>LDIwOTA0NDc5OACBTeWs60feCEL/K7brR94IKUNJUS5WSVNUTi5JUV9MQVNUU0FMRVBSSUNFLjI2LzAyLzIwMjQuVVNEAQAAAO58MBECAAAADDIsMTIwNjUwNzY4MQCBTeWs60feCEL/K7brR94IKUNJUS5WSVNUTi5JUV9MQVNUU0FMRVBSSUNFLjExLzAzLzIwMjQuVVNEAQAAAO58MBECAAAACjIsMTUxNjE3MzEAgU3lrOtH3ghC/yu260feCCdDSVEuS1JNLklRX0xBU1RTQUxFUFJJQ0UuMDMvMDMvMjAyNC5VU0QBAAAAK3pWIQIAAAAOMCwzNjAxMDc2NTMxMjUAgU3lrOtH3gggPiy260feCCdDSVEuS1JNLklRX0xBU1RTQUxFUFJJQ0UuMDIvMDMvMjAyNC5VU0QBAAAAK3pWIQIAAAAOMCwzNjAxMDc2NTMxMjUAgU3lrOtH3gggPiy260feCCdDSVEuS1JNLklRX0xBU1RTQUxFUFJJQ0UuMDEvMDMvMjAyNC5VU0QBAAAAK3pWIQIAAAAOMCwzNjAxMDc2NTMxMjUAknTlrOtH3gggPiy260feCCdDSVEuS1JNLklRX0xBU1RTQUxFUFJJQ0UuMjkvMDIvMjAyNC5VU0QBAAAAK3pWIQIAAAANMCwzNjAwNTMwNjA1MgCSdOWs60feCCA+LLbrR94IJ0NJUS5LUk0uSVFfTEFTVFNBTEVQUklDRS4wNS8wMy8yMDI0LlVTRAEAAAArelYhAgAAAA4wLDM2MjU2MzEzMDQ3NQCSdOWs60feCCA+LLbrR94IJ0NJUS5LUk0uSVFfTEFTVFNBTEVQUklDRS4wNi8wMy8yMDI0LlVTRAEAAAArelYhAgAAAA4wLDM2MzMwMjYxMTk5NQCS</t>
  </si>
  <si>
    <t>dOWs60feCCA+LLbrR94IJ0NJUS5LUk0uSVFfTEFTVFNBTEVQUklDRS4wNy8wMy8yMDI0LlVTRAEAAAArelYhAgAAAA0wLDM2NDY2OTMwMjQyAJJ05azrR94IID4stutH3ggnQ0lRLktSTS5JUV9MQVNUU0FMRVBSSUNFLjA4LzAzLzIwMjQuVVNEAQAAACt6ViECAAAADjAsMzY2Mzg1MTI4Njc1AJJ05azrR94IID4stutH3ggnQ0lRLktSTS5JUV9MQVNUU0FMRVBSSUNFLjI2LzAyLzIwMjQuVVNEAQAAACt6ViECAAAADTAsMzYxMzQ5NTQ1NDcAknTlrOtH3gggPiy260feCCdDSVEuS1JNLklRX0xBU1RTQUxFUFJJQ0UuMTEvMDMvMjAyNC5VU0QBAAAAK3pWIQIAAAAOMCwzNjUxMDM3NjYzOTUAknTlrOtH3gjMfCy260feCC5DSVEuQVVUT1dBTExJUy5JUV9MQVNUU0FMRVBSSUNFLjAzLzAzLzIwMjQuVVNEAQAAAEWdZw4CAAAACzAsMzU5NzkxMjM4AJJ05azrR94IzHwstutH3gguQ0lRLkFVVE9XQUxMSVMuSVFfTEFTVFNBTEVQUklDRS4wMi8wMy8yMDI0LlVTRAEAAABFnWcOAgAAAAswLDM1OTc5MTIzOACSdOWs60feCHqPLLbrR94ILkNJUS5BVVRPV0FMTElTLklRX0xBU1RTQUxFUFJJQ0UuMDEvMDMvMjAyNC5VU0QBAAAARZ1nDgIAAAALMCwzNTk3OTEyMzgAknTlrOtH3gh6jyy260feCC5DSVEuQVVUT1dBTExJUy5JUV9MQVNUU0FMRVBSSUNFLjI5LzAyLzIwMjQuVVNEAQAAAEWdZw4CAAAADDAsMzUwNjAy</t>
  </si>
  <si>
    <t>MTc3NQCSdOWs60feCHqPLLbrR94ILkNJUS5BVVRPV0FMTElTLklRX0xBU1RTQUxFUFJJQ0UuMDUvMDMvMjAyNC5VU0QBAAAARZ1nDgIAAAALMCw0NDMxMzc2MTEAknTlrOtH3gh6jyy260feCC5DSVEuQVVUT1dBTExJUy5JUV9MQVNUU0FMRVBSSUNFLjA2LzAzLzIwMjQuVVNEAQAAAEWdZw4CAAAACzAsNDIzNDAwNDE5AJJ05azrR94IID4stutH3gguQ0lRLkFVVE9XQUxMSVMuSVFfTEFTVFNBTEVQUklDRS4wNy8wMy8yMDI0LlVTRAEAAABFnWcOAgAAAAwwLDQzMjk5MDI3MTUAknTlrOtH3gh6jyy260feCC5DSVEuQVVUT1dBTExJUy5JUV9MQVNUU0FMRVBSSUNFLjA4LzAzLzIwMjQuVVNEAQAAAEWdZw4CAAAACjAsNDMzMTE2ODQAknTlrOtH3gh6jyy260feCC5DSVEuQVVUT1dBTExJUy5JUV9MQVNUU0FMRVBSSUNFLjI2LzAyLzIwMjQuVVNEAQAAAEWdZw4CAAAADDAsMzYwNjk0MTQ4NQCSdOWs60feCHqPLLbrR94ILkNJUS5BVVRPV0FMTElTLklRX0xBU1RTQUxFUFJJQ0UuMTEvMDMvMjAyNC5VU0QBAAAARZ1nDgIAAAALMCw0MjM1MjkzOTgAknTlrOtH3gh6jyy260feCChDSVEuMTE3MS5JUV9MQVNUU0FMRVBSSUNFLjAxLzAzLzIwMjQuVVNEAQAAAFnpBQACAAAAEDEsODEzNzEzNTg3ODczNjgAknTlrOtH3ggHtyy260feCChDSVEuMTE3MS5JUV9MQVNUU0FMRVBSSUNFLjI5LzAyLzIwMjQuVVNEAQAA</t>
  </si>
  <si>
    <t>AFnpBQACAAAAEDEsNzc2NTI1NjU0Mzc0NzkAknTlrOtH3ggHtyy260feCChDSVEuMTE3MS5JUV9MQVNUU0FMRVBSSUNFLjI4LzAyLzIwMjQuVVNEAQAAAFnpBQACAAAAEDEsNzk4Mzg2MzMxOTQxOTgAknTlrOtH3ggHtyy260feCChDSVEuMTE3MS5JUV9MQVNUU0FMRVBSSUNFLjI3LzAyLzIwMjQuVVNEAQAAAFnpBQACAAAADzEsNzg1MjU1MzAxMDc3NgCSdOWs60feCAe3LLbrR94IKENJUS4xMTcxLklRX0xBU1RTQUxFUFJJQ0UuMDMvMDMvMjAyNC5VU0QBAAAAWekFAAIAAAAQMSw4MTM3MTM1ODc4NzM2OACSdOWs60feCAe3LLbrR94IKENJUS4xMTcxLklRX0xBU1RTQUxFUFJJQ0UuMDQvMDMvMjAyNC5VU0QBAAAAWekFAAIAAAAQMSw4ODc1NTAwODUwNzQ3MQCSdOWs60feCAe3LLbrR94IKENJUS4xMTcxLklRX0xBU1RTQUxFUFJJQ0UuMDUvMDMvMjAyNC5VU0QBAAAAWekFAAIAAAAQMSw4NjgwNjcxNzY3MjkxNQCSdOWs60feCAe3LLbrR94IKENJUS4xMTcxLklRX0xBU1RTQUxFUFJJQ0UuMDYvMDMvMjAyNC5VU0QBAAAAWekFAAIAAAAQMSw5MjEwNDY3MjI0NzUxNwCSdOWs60feCAe3LLbrR94IKENJUS4xMTcxLklRX0xBU1RTQUxFUFJJQ0UuMjQvMDIvMjAyNC5VU0QBAAAAWekFAAIAAAAPMSw4MzQ1MDcyMjY5OTMxAJJ05azrR94IB7cstutH3ggoQ0lRLjExNzEuSVFfTEFTVFNBTEVQUklDRS4wOS8w</t>
  </si>
  <si>
    <t>My8yMDI0LlVTRAEAAABZ6QUAAgAAABAxLDk2NTE4NjIwOTcxOTI1AJJ05azrR94IB7cstutH3ggnQ0lRLlROQy5JUV9MQVNUU0FMRVBSSUNFLjI5LzAyLzIwMjQuVVNEAQAAAEayBAACAAAABjExMywxOQCSdOWs60feCEf5LLbrR94IJ0NJUS5UTkMuSVFfTEFTVFNBTEVQUklDRS4yOC8wMi8yMDI0LlVTRAEAAABGsgQAAgAAAAYxMTMsNDcAknTlrOtH3ghH+Sy260feCCdDSVEuVE5DLklRX0xBU1RTQUxFUFJJQ0UuMjcvMDIvMjAyNC5VU0QBAAAARrIEAAIAAAAGMTE0LDY0AJJ05azrR94IB7cstutH3ggnQ0lRLlROQy5JUV9MQVNUU0FMRVBSSUNFLjI2LzAyLzIwMjQuVVNEAQAAAEayBAACAAAABjExMCwxNgCSdOWs60feCEf5LLbrR94IJ0NJUS5UTkMuSVFfTEFTVFNBTEVQUklDRS4wMi8wMy8yMDI0LlVTRAEAAABGsgQAAgAAAAYxMTAsODEAknTlrOtH3ghH+Sy260feCCdDSVEuVE5DLklRX0xBU1RTQUxFUFJJQ0UuMDMvMDMvMjAyNC5VU0QBAAAARrIEAAIAAAAGMTEwLDgxAJJ05azrR94IR/kstutH3ggnQ0lRLlROQy5JUV9MQVNUU0FMRVBSSUNFLjA0LzAzLzIwMjQuVVNEAQAAAEayBAACAAAABTExMCwzAJJ05azrR94IR/kstutH3ggnQ0lRLlROQy5JUV9MQVNUU0FMRVBSSUNFLjA1LzAzLzIwMjQuVVNEAQAAAEayBAACAAAABTEwOCw3AJJ05azrR94IR/kstutH3ggnQ0lRLlROQy5JUV9MQVNUU0FM</t>
  </si>
  <si>
    <t>RVBSSUNFLjIzLzAyLzIwMjQuVVNEAQAAAEayBAACAAAABjEwNiwyMQCSdOWs60feCAe3LLbrR94IJ0NJUS5UTkMuSVFfTEFTVFNBTEVQUklDRS4wOC8wMy8yMDI0LlVTRAEAAABGsgQAAgAAAAYxMTAsNTkAknTlrOtH3ghH+Sy260feCDFDSVEuTUFORy5JUV9FQklUREFfTUFSR0lOLjIwMDAuMDEvMDEvMjAyNC4uLlVTRC5IAQAAADlXkwEDAAAAAk5BAJJ05azrR94IKr8gtutH3ggwQ0lRLk1BTkcuSVFfVE9UQUxfQVNTRVRTLjIwMDAuMDEvMDEvMjAyNC4uLlVTRC5IAQAAADlXkwECAAAACTk5LDI0ODg1OAEIAAAABQAAAAExAQAAAAstMTk0Mjc5NDA2OQMAAAADMTYwAgAAAAQxMDA3BAAAAAEwBwAAAAgxLzEvMjAyNAgAAAAKMTIvMzEvMjAyMwkAAAABMJJ05azrR94IOeYgtutH3gguQ0lRLk1BTkcuSVFfQ0FTSF9FUVVJVi4yMDAwLjAxLzAxLzIwMjQuLi5VU0QuSAEAAAA5V5MBAwAAAAAAknTlrOtH3ggqvyC260feCCxDSVEuTUFORy5JUV9ORVRfREVCVC4yMDAwLjAxLzAxLzIwMjQuLi5VU0QuSAEAAAA5V5MBAgAAAAotMjYsMzAxMjI1AQgAAAAFAAAAATEBAAAACy0xOTQyNzk0MDY5AwAAAAMxNjACAAAABDQzNjQEAAAAATAHAAAACDEvMS8yMDI0CAAAAAoxMi8zMS8yMDIzCQAAAAEwknTlrOtH3ggqvyC260feCClDSVEuRVBSLklRX0VCSVREQS4yMDAwLjAxLzAxLzIwMjQuLi5VU0QuSAEAAABinAIA</t>
  </si>
  <si>
    <t>AgAAAAc1MzgsMjQ0AQgAAAAFAAAAATEBAAAACy0xOTU3NTQ5NDY2AwAAAAMxNjACAAAABDQwNTEEAAAAATAHAAAACDEvMS8yMDI0CAAAAAoxMi8zMS8yMDIzCQAAAAEwknTlrOtH3gg55iC260feCDBDSVEuRVBSLklRX0VCSVREQV9NQVJHSU4uMjAwMC4wMS8wMS8yMDI0Li4uVVNELkgBAAAAYpwCAAIAAAAHNzcsMTEwMQEIAAAABQAAAAExAQAAAAstMTk1NzU0OTQ2NgMAAAADMTYwAgAAAAQ0MDQ3BAAAAAEwBwAAAAgxLzEvMjAyNAgAAAAKMTIvMzEvMjAyMwkAAAABMJJ05azrR94IOeYgtutH3ggvQ0lRLkVQUi5JUV9UT1RBTF9BU1NFVFMuMjAwMC4wMS8wMS8yMDI0Li4uVVNELkgBAAAAYpwCAAIAAAAINTcwMCw4ODUBCAAAAAUAAAABMQEAAAALLTE5NTc1NDk0NjYDAAAAAzE2MAIAAAAEMTAwNwQAAAABMAcAAAAIMS8xLzIwMjQIAAAACjEyLzMxLzIwMjMJAAAAATCSdOWs60feCDnmILbrR94ILUNJUS5FUFIuSVFfQ0FTSF9FUVVJVi4yMDAwLjAxLzAxLzIwMjQuLi5VU0QuSAEAAABinAIAAgAAAAY3OCwwNzkBCAAAAAUAAAABMQEAAAALLTE5NTc1NDk0NjYDAAAAAzE2MAIAAAAEMTA5NgQAAAABMAcAAAAIMS8xLzIwMjQIAAAACjEyLzMxLzIwMjMJAAAAATCSdOWs60feCEoNIbbrR94IK0NJUS5FUFIuSVFfTkVUX0RFQlQuMjAwMC4wMS8wMS8yMDI0Li4uVVNELkgBAAAAYpwCAAIAAAAIMjk2NCwxMDEB</t>
  </si>
  <si>
    <t>CAAAAAUAAAABMQEAAAALLTE5NTc1NDk0NjYDAAAAAzE2MAIAAAAENDM2NAQAAAABMAcAAAAIMS8xLzIwMjQIAAAACjEyLzMxLzIwMjMJAAAAATCSdOWs60feCEoNIbbrR94IJ0NJUS42LklRX0VCSVREQS4yMDAwLjAxLzAxLzIwMjQuLi5VU0QuSAEAAAAbVg0AAgAAAAoxMDcsMDE2OTAzAQgAAAAFAAAAATEBAAAACy0xOTQ5NjMwMDEzAwAAAAMxNjACAAAABDQwNTEEAAAAATAHAAAACDEvMS8yMDI0CAAAAAoxMi8zMS8yMDIzCQAAAAEwknTlrOtH3ghKDSG260feCC5DSVEuNi5JUV9FQklUREFfTUFSR0lOLjIwMDAuMDEvMDEvMjAyNC4uLlVTRC5IAQAAABtWDQACAAAABzY0LDcwNTgBCAAAAAUAAAABMQEAAAALLTE5NDk2MzAwMTMDAAAAAjY0AgAAAAQ0MDQ3BAAAAAEwBwAAAAgxLzEvMjAyNAgAAAAKMTIvMzEvMjAyMwkAAAABMJJ05azrR94ISg0htutH3ggtQ0lRLjYuSVFfVE9UQUxfQVNTRVRTLjIwMDAuMDEvMDEvMjAyNC4uLlVTRC5IAQAAABtWDQACAAAADDEyMjUwLDg3NTIyNgEIAAAABQAAAAExAQAAAAstMTk0OTYzMDAxMwMAAAADMTYwAgAAAAQxMDA3BAAAAAEwBwAAAAgxLzEvMjAyNAgAAAAKMTIvMzEvMjAyMwkAAAABMJJ05azrR94IXTQhtutH3ggrQ0lRLjYuSVFfQ0FTSF9FUVVJVi4yMDAwLjAxLzAxLzIwMjQuLi5VU0QuSAEAAAAbVg0AAgAAAAozMTQsMzk0MTU2AQgAAAAFAAAAATEBAAAA</t>
  </si>
  <si>
    <t>Cy0xOTQ5NjMwMDEzAwAAAAMxNjACAAAABDEwOTYEAAAAATAHAAAACDEvMS8yMDI0CAAAAAoxMi8zMS8yMDIzCQAAAAEwknTlrOtH3ghdNCG260feCClDSVEuNi5JUV9ORVRfREVCVC4yMDAwLjAxLzAxLzIwMjQuLi5VU0QuSAEAAAAbVg0AAgAAAAstMTQxLDQ1MTc2OAEIAAAABQAAAAExAQAAAAstMTk0OTYzMDAxMwMAAAADMTYwAgAAAAQ0MzY0BAAAAAEwBwAAAAgxLzEvMjAyNAgAAAAKMTIvMzEvMjAyMwkAAAABMJJ05azrR94IXTQhtutH3ggpQ0lRLlNITC5JUV9FQklUREEuMjAwMC4wMS8wMS8yMDI0Li4uVVNELkgBAAAAlQD8IAIAAAALMzYwNyw4MjU3OTgBCAAAAAUAAAABMQEAAAALLTE5NjA4MTQ1ODADAAAAAzE2MAIAAAAENDA1MQQAAAABMAcAAAAIMS8xLzIwMjQIAAAACjEyLzMxLzIwMjMJAAAAATCSdOWs60feCF00IbbrR94IMENJUS5TSEwuSVFfRUJJVERBX01BUkdJTi4yMDAwLjAxLzAxLzIwMjQuLi5VU0QuSAEAAACVAPwgAgAAAAcxNCw5ODY5AQgAAAAFAAAAATEBAAAACy0xOTYwODE0NTgwAwAAAAI1MAIAAAAENDA0NwQAAAABMAcAAAAIMS8xLzIwMjQIAAAACjEyLzMxLzIwMjMJAAAAATCSdOWs60feCHmCIbbrR94IL0NJUS5TSEwuSVFfVE9UQUxfQVNTRVRTLjIwMDAuMDEvMDEvMjAyNC4uLlVTRC5IAQAAAJUA/CACAAAADDUwMzI3LDE4MDI2NQEIAAAABQAAAAExAQAAAAstMTk2MDgx</t>
  </si>
  <si>
    <t>NDU4MAMAAAADMTYwAgAAAAQxMDA3BAAAAAEwBwAAAAgxLzEvMjAyNAgAAAAKMTIvMzEvMjAyMwkAAAABMJJ05azrR94IeYIhtutH3ggtQ0lRLlNITC5JUV9DQVNIX0VRVUlWLjIwMDAuMDEvMDEvMjAyNC4uLlVTRC5IAQAAAJUA/CACAAAACjE2MjAsNDI2NjYBCAAAAAUAAAABMQEAAAALLTE5NjA4MTQ1ODADAAAAAzE2MAIAAAAEMTA5NgQAAAABMAcAAAAIMS8xLzIwMjQIAAAACjEyLzMxLzIwMjMJAAAAATCSdOWs60feCGtbIbbrR94IK0NJUS5TSEwuSVFfTkVUX0RFQlQuMjAwMC4wMS8wMS8yMDI0Li4uVVNELkgBAAAAlQD8IAIAAAAMMTYwNTYsMTUxMjA1AQgAAAAFAAAAATEBAAAACy0xOTYwODE0NTgwAwAAAAMxNjACAAAABDQzNjQEAAAAATAHAAAACDEvMS8yMDI0CAAAAAoxMi8zMS8yMDIzCQAAAAEwknTlrOtH3ghrWyG260feCClDSVEuQ0VaLklRX0VCSVREQS4yMDAwLjAxLzAxLzIwMjQuLi5VU0QuSAEAAAA7an8AAgAAAAs1NjMyLDc4MzA2NwEIAAAABQAAAAExAQAAAAstMTk0NzAwMzIwNwMAAAADMTYwAgAAAAQ0MDUxBAAAAAEwBwAAAAgxLzEvMjAyNAgAAAAKMTIvMzEvMjAyMwkAAAABMJJ05azrR94IeYIhtutH3ggwQ0lRLkNFWi5JUV9FQklUREFfTUFSR0lOLjIwMDAuMDEvMDEvMjAyNC4uLlVTRC5IAQAAADtqfwACAAAABzM3LDM3OTUBCAAAAAUAAAABMQEAAAALLTE5NDcwMDMyMDcDAAAA</t>
  </si>
  <si>
    <t>AjM4AgAAAAQ0MDQ3BAAAAAEwBwAAAAgxLzEvMjAyNAgAAAAKMTIvMzEvMjAyMwkAAAABMJJ05azrR94IiakhtutH3ggvQ0lRLkNFWi5JUV9UT1RBTF9BU1NFVFMuMjAwMC4wMS8wMS8yMDI0Li4uVVNELkgBAAAAO2p/AAIAAAAMMzY5NTAsMTIwODIzAQgAAAAFAAAAATEBAAAACy0xOTQ3MDAzMjA3AwAAAAMxNjACAAAABDEwMDcEAAAAATAHAAAACDEvMS8yMDI0CAAAAAoxMi8zMS8yMDIzCQAAAAEwknTlrOtH3giJqSG260feCC1DSVEuQ0VaLklRX0NBU0hfRVFVSVYuMjAwMC4wMS8wMS8yMDI0Li4uVVNELkgBAAAAO2p/AAIAAAAKNDg3LDM3OTIzNwEIAAAABQAAAAExAQAAAAstMTk0NzAwMzIwNwMAAAADMTYwAgAAAAQxMDk2BAAAAAEwBwAAAAgxLzEvMjAyNAgAAAAKMTIvMzEvMjAyMwkAAAABMJJ05azrR94IiakhtutH3ggrQ0lRLkNFWi5JUV9ORVRfREVCVC4yMDAwLjAxLzAxLzIwMjQuLi5VU0QuSAEAAAA7an8AAgAAAAs2NzcyLDYxMTUwMgEIAAAABQAAAAExAQAAAAstMTk0NzAwMzIwNwMAAAADMTYwAgAAAAQ0MzY0BAAAAAEwBwAAAAgxLzEvMjAyNAgAAAAKMTIvMzEvMjAyMwkAAAABMJJ05azrR94IiakhtutH3ggqQ0lRLkNQUkkuSVFfRUJJVERBLjIwMDAuMDEvMDEvMjAyNC4uLlVTRC5IAQAAAC7TlAgCAAAAAzYwNgEIAAAABQAAAAExAQAAAAstMTk2MDkxMzk2MwMAAAADMTYwAgAAAAQ0MDUx</t>
  </si>
  <si>
    <t>BAAAAAEwBwAAAAgxLzEvMjAyNAgAAAAKMTIvMzAvMjAyMwkAAAABMJJ05azrR94IiakhtutH3ggxQ0lRLkNQUkkuSVFfRUJJVERBX01BUkdJTi4yMDAwLjAxLzAxLzIwMjQuLi5VU0QuSAEAAAAu05QIAgAAAAcxMSw0NzI5AQgAAAAFAAAAATEBAAAACy0xOTYwOTEzOTYzAwAAAAMxNjACAAAABDQwNDcEAAAAATAHAAAACDEvMS8yMDI0CAAAAAoxMi8zMC8yMDIzCQAAAAEwknTlrOtH3gia0CG260feCDBDSVEuQ1BSSS5JUV9UT1RBTF9BU1NFVFMuMjAwMC4wMS8wMS8yMDI0Li4uVVNELkgBAAAALtOUCAIAAAAENzYxNwEIAAAABQAAAAExAQAAAAstMTk2MDkxMzk2MwMAAAADMTYwAgAAAAQxMDA3BAAAAAEwBwAAAAgxLzEvMjAyNAgAAAAKMTIvMzAvMjAyMwkAAAABMJJ05azrR94ImtAhtutH3gguQ0lRLkNQUkkuSVFfQ0FTSF9FUVVJVi4yMDAwLjAxLzAxLzIwMjQuLi5VU0QuSAEAAAAu05QIAgAAAAMyNDkBCAAAAAUAAAABMQEAAAALLTE5NjA5MTM5NjMDAAAAAzE2MAIAAAAEMTA5NgQAAAABMAcAAAAIMS8xLzIwMjQIAAAACjEyLzMwLzIwMjMJAAAAATCSdOWs60feCJrQIbbrR94ILENJUS5DUFJJLklRX05FVF9ERUJULjIwMDAuMDEvMDEvMjAyNC4uLlVTRC5IAQAAAC7TlAgCAAAABDM0NjIBCAAAAAUAAAABMQEAAAALLTE5NjA5MTM5NjMDAAAAAzE2MAIAAAAENDM2NAQAAAABMAcAAAAIMS8xLzIwMjQI</t>
  </si>
  <si>
    <t>AAAACjEyLzMwLzIwMjMJAAAAATCSdOWs60feCJrQIbbrR94IKUNJUS5XSVguSVFfRUJJVERBLjIwMDAuMDEvMDEvMjAyNC4uLlVTRC5IAQAAAKcM9AICAAAABjMyLDQ3NQEIAAAABQAAAAExAQAAAAstMTk1NDg4MTczOQMAAAADMTYwAgAAAAQ0MDUxBAAAAAEwBwAAAAgxLzEvMjAyNAgAAAAKMTIvMzEvMjAyMwkAAAABMJJ05azrR94ImtAhtutH3ggwQ0lRLldJWC5JUV9FQklUREFfTUFSR0lOLjIwMDAuMDEvMDEvMjAyNC4uLlVTRC5IAQAAAKcM9AICAAAABjIsMDc5NQEIAAAABQAAAAExAQAAAAstMTk1NDg4MTczOQMAAAADMTYwAgAAAAQ0MDQ3BAAAAAEwBwAAAAgxLzEvMjAyNAgAAAAKMTIvMzEvMjAyMwkAAAABMJJ05azrR94IuR4itutH3ggvQ0lRLldJWC5JUV9UT1RBTF9BU1NFVFMuMjAwMC4wMS8wMS8yMDI0Li4uVVNELkgBAAAApwz0AgIAAAAIMTgwNCwxMzYBCAAAAAUAAAABMQEAAAALLTE5NTQ4ODE3MzkDAAAAAzE2MAIAAAAEMTAwNwQAAAABMAcAAAAIMS8xLzIwMjQIAAAACjEyLzMxLzIwMjMJAAAAATCSdOWs60feCLkeIrbrR94ILUNJUS5XSVguSVFfQ0FTSF9FUVVJVi4yMDAwLjAxLzAxLzIwMjQuLi5VU0QuSAEAAACnDPQCAgAAAAc2MDksNjIyAQgAAAAFAAAAATEBAAAACy0xOTU0ODgxNzM5AwAAAAMxNjACAAAABDEwOTYEAAAAATAHAAAACDEvMS8yMDI0CAAAAAoxMi8zMS8yMDIzCQAA</t>
  </si>
  <si>
    <t>AAEwknTlrOtH3gip9yG260feCCtDSVEuV0lYLklRX05FVF9ERUJULjIwMDAuMDEvMDEvMjAyNC4uLlVTRC5IAQAAAKcM9AICAAAABy0zMSwzNzkBCAAAAAUAAAABMQEAAAALLTE5NTQ4ODE3MzkDAAAAAzE2MAIAAAAENDM2NAQAAAABMAcAAAAIMS8xLzIwMjQIAAAACjEyLzMxLzIwMjMJAAAAATCSdOWs60feCKn3IbbrR94IKUNJUS5UQ0YuSVFfRUJJVERBLjIwMDAuMDEvMDEvMjAyNC4uLlVTRC5IAQAAAHqD5gQCAAAACS01LDAyMDUwNwEIAAAABQAAAAExAQAAAAstMTkzNzg2MTc1NQMAAAADMTYwAgAAAAQ0MDUxBAAAAAEwBwAAAAgxLzEvMjAyNAgAAAAKMTIvMzEvMjAyMwkAAAABMJJ05azrR94IyUUitutH3ggwQ0lRLlRDRi5JUV9FQklUREFfTUFSR0lOLjIwMDAuMDEvMDEvMjAyNC4uLlVTRC5IAQAAAHqD5gQDAAAAAk5NAQgAAAAFAAAAATEBAAAACy0xOTM3ODYxNzU1AwAAAAI1NQIAAAAENDA0NwQAAAABMAcAAAAIMS8xLzIwMjQIAAAACjEyLzMxLzIwMjMJAAAAATCSdOWs60feCMlFIrbrR94IL0NJUS5UQ0YuSVFfVE9UQUxfQVNTRVRTLjIwMDAuMDEvMDEvMjAyNC4uLlVTRC5IAQAAAHqD5gQCAAAACDMsOTAwMjM5AQgAAAAFAAAAATEBAAAACy0xOTM3ODYxNzU1AwAAAAMxNjACAAAABDEwMDcEAAAAATAHAAAACDEvMS8yMDI0CAAAAAoxMi8zMS8yMDIzCQAAAAEwknTlrOtH3gjJRSK260feCC1D</t>
  </si>
  <si>
    <t>SVEuVENGLklRX0NBU0hfRVFVSVYuMjAwMC4wMS8wMS8yMDI0Li4uVVNELkgBAAAAeoPmBAIAAAAIMiw1NTI2MDYBCAAAAAUAAAABMQEAAAALLTE5Mzc4NjE3NTUDAAAAAzE2MAIAAAAEMTA5NgQAAAABMAcAAAAIMS8xLzIwMjQIAAAACjEyLzMxLzIwMjMJAAAAATCSdOWs60feCMlFIrbrR94IK0NJUS5UQ0YuSVFfTkVUX0RFQlQuMjAwMC4wMS8wMS8yMDI0Li4uVVNELkgBAAAAeoPmBAIAAAAJLTIsNTUyNjA2AQgAAAAFAAAAATEBAAAACy0xOTM3ODYxNzU1AwAAAAMxNjACAAAABDQzNjQEAAAAATAHAAAACDEvMS8yMDI0CAAAAAoxMi8zMS8yMDIzCQAAAAEwknTlrOtH3gjJRSK260feCCpDSVEuTVRSUy5JUV9FQklUREEuMjAwMC4wMS8wMS8yMDI0Li4uVVNELkgBAAAA1LObGQIAAAAKMTg2LDM0MzgwNAEIAAAABQAAAAExAQAAAAstMTk1NjY1ODU3NAMAAAADMTYwAgAAAAQ0MDUxBAAAAAEwBwAAAAgxLzEvMjAyNAgAAAAKMTIvMzEvMjAyMwkAAAABMJJ05azrR94I2WwitutH3ggxQ0lRLk1UUlMuSVFfRUJJVERBX01BUkdJTi4yMDAwLjAxLzAxLzIwMjQuLi5VU0QuSAEAAADUs5sZAgAAAAcxMyw0NTI5AQgAAAAFAAAAATEBAAAACy0xOTU2NjU4NTc0AwAAAAMxMzcCAAAABDQwNDcEAAAAATAHAAAACDEvMS8yMDI0CAAAAAoxMi8zMS8yMDIzCQAAAAEwknTlrOtH3gjZbCK260feCDBDSVEuTVRSUy5JUV9U</t>
  </si>
  <si>
    <t>T1RBTF9BU1NFVFMuMjAwMC4wMS8wMS8yMDI0Li4uVVNELkgBAAAA1LObGQIAAAALMTY2Myw2NzAzMjUBCAAAAAUAAAABMQEAAAALLTE5NTY2NTg1NzQDAAAAAzE2MAIAAAAEMTAwNwQAAAABMAcAAAAIMS8xLzIwMjQIAAAACjEyLzMxLzIwMjMJAAAAATCSdOWs60feCNlsIrbrR94ILkNJUS5NVFJTLklRX0NBU0hfRVFVSVYuMjAwMC4wMS8wMS8yMDI0Li4uVVNELkgBAAAA1LObGQIAAAAKMTUyLDMzNjU1NwEIAAAABQAAAAExAQAAAAstMTk1NjY1ODU3NAMAAAADMTYwAgAAAAQxMDk2BAAAAAEwBwAAAAgxLzEvMjAyNAgAAAAKMTIvMzEvMjAyMwkAAAABMJJ05azrR94I2WwitutH3ggsQ0lRLk1UUlMuSVFfTkVUX0RFQlQuMjAwMC4wMS8wMS8yMDI0Li4uVVNELkgBAAAA1LObGQIAAAAJNDI5LDQ2NTc5AQgAAAAFAAAAATEBAAAACy0xOTU2NjU4NTc0AwAAAAMxNjACAAAABDQzNjQEAAAAATAHAAAACDEvMS8yMDI0CAAAAAoxMi8zMS8yMDIzCQAAAAEwknTlrOtH3gjZbCK260feCClDSVEuTUVSLklRX0VCSVREQS4yMDAwLjAxLzAxLzIwMjQuLi5VU0QuSAEAAADTVw0AAgAAAAsxMDcxLDg3NzI4NQEIAAAABQAAAAExAQAAAAstMTk1NzExNjA0MwMAAAADMTYwAgAAAAQ0MDUxBAAAAAEwBwAAAAgxLzEvMjAyNAgAAAAKMTIvMzEvMjAyMwkAAAABMKAniq3rR94I6JMitutH3ggwQ0lRLk1FUi5JUV9FQklUREFf</t>
  </si>
  <si>
    <t>TUFSR0lOLjIwMDAuMDEvMDEvMjAyNC4uLlVTRC5IAQAAANNXDQACAAAABjEzLDM4NgEIAAAABQAAAAExAQAAAAstMTk1NzExNjA0MwMAAAADMTI0AgAAAAQ0MDQ3BAAAAAEwBwAAAAgxLzEvMjAyNAgAAAAKMTIvMzEvMjAyMwkAAAABMKAniq3rR94I+roitutH3ggvQ0lRLk1FUi5JUV9UT1RBTF9BU1NFVFMuMjAwMC4wMS8wMS8yMDI0Li4uVVNELkgBAAAA01cNAAIAAAAMMTA2MjEsNTUyNjMxAQgAAAAFAAAAATEBAAAACy0xOTU3MTE2MDQzAwAAAAMxNjACAAAABDEwMDcEAAAAATAHAAAACDEvMS8yMDI0CAAAAAoxMi8zMS8yMDIzCQAAAAEwoCeKretH3gj6uiK260feCC1DSVEuTUVSLklRX0NBU0hfRVFVSVYuMjAwMC4wMS8wMS8yMDI0Li4uVVNELkgBAAAA01cNAAIAAAALMTQ5NCwzODYzMjIBCAAAAAUAAAABMQEAAAALLTE5NTcxMTYwNDMDAAAAAzE2MAIAAAAEMTA5NgQAAAABMAcAAAAIMS8xLzIwMjQIAAAACjEyLzMxLzIwMjMJAAAAATCgJ4qt60feCOiTIrbrR94IK0NJUS5NRVIuSVFfTkVUX0RFQlQuMjAwMC4wMS8wMS8yMDI0Li4uVVNELkgBAAAA01cNAAIAAAAKMjEyLDg1MTk5MQEIAAAABQAAAAExAQAAAAstMTk1NzExNjA0MwMAAAADMTYwAgAAAAQ0MzY0BAAAAAEwBwAAAAgxLzEvMjAyNAgAAAAKMTIvMzEvMjAyMwkAAAABMKAniq3rR94I6JMitutH3ggqQ0lRLlZDSUcuSVFfRUJJVERBLjIw</t>
  </si>
  <si>
    <t>MDAuMDEvMDEvMjAyNC4uLlVTRC5IAQAAAEUdTmsCAAAACDcsMzAzNTY5AQgAAAAFAAAAATEBAAAACy0xOTQzOTYwMjU4AwAAAAMxNjACAAAABDQwNTEEAAAAATAHAAAACDEvMS8yMDI0CAAAAAoxMi8zMS8yMDIzCQAAAAEwknTlrOtH3ggI4iK260feCDFDSVEuVkNJRy5JUV9FQklUREFfTUFSR0lOLjIwMDAuMDEvMDEvMjAyNC4uLlVTRC5IAQAAAEUdTmsCAAAABzM2LDkwMDYBCAAAAAUAAAABMQEAAAALLTE5NDM5NjAyNTgDAAAAAzExMQIAAAAENDA0NwQAAAABMAcAAAAIMS8xLzIwMjQIAAAACjEyLzMxLzIwMjMJAAAAATCSdOWs60feCAjiIrbrR94IMENJUS5WQ0lHLklRX1RPVEFMX0FTU0VUUy4yMDAwLjAxLzAxLzIwMjQuLi5VU0QuSAEAAABFHU5rAgAAAAkyNSw3MzI0NTUBCAAAAAUAAAABMQEAAAALLTE5NDM5NjAyNTgDAAAAAzE2MAIAAAAEMTAwNwQAAAABMAcAAAAIMS8xLzIwMjQIAAAACjEyLzMxLzIwMjMJAAAAATCSdOWs60feCAjiIrbrR94ILkNJUS5WQ0lHLklRX0NBU0hfRVFVSVYuMjAwMC4wMS8wMS8yMDI0Li4uVVNELkgBAAAARR1OawIAAAAIMSwwMTA4NTEBCAAAAAUAAAABMQEAAAALLTE5NDM5NjAyNTgDAAAAAzE2MAIAAAAEMTA5NgQAAAABMAcAAAAIMS8xLzIwMjQIAAAACjEyLzMxLzIwMjMJAAAAATCem+Ws60feCAjiIrbrR94ILENJUS5WQ0lHLklRX05FVF9ERUJULjIwMDAuMDEv</t>
  </si>
  <si>
    <t>MDEvMjAyNC4uLlVTRC5IAQAAAEUdTmsCAAAACS0xLDE1MTMzMgEIAAAABQAAAAExAQAAAAstMTk0Mzk2MDI1OAMAAAADMTYwAgAAAAQ0MzY0BAAAAAEwBwAAAAgxLzEvMjAyNAgAAAAKMTIvMzEvMjAyMwkAAAABMJ6b5azrR94ICOIitutH3ggqQ0lRLklMTTEuSVFfRUJJVERBLjIwMDAuMDEvMDEvMjAyNC4uLlVTRC5IAQAAADe8uxUCAAAACTUzLDc2NDc4NAEIAAAABQAAAAExAQAAAAstMTk1NDU4NzUxOAMAAAADMTYwAgAAAAQ0MDUxBAAAAAEwBwAAAAgxLzEvMjAyNAgAAAAKMTIvMzEvMjAyMwkAAAABMJ6b5azrR94IGQkjtutH3ggxQ0lRLklMTTEuSVFfRUJJVERBX01BUkdJTi4yMDAwLjAxLzAxLzIwMjQuLi5VU0QuSAEAAAA3vLsVAgAAAAYyLDcyNTQBCAAAAAUAAAABMQEAAAALLTE5NTQ1ODc1MTgDAAAAAjUwAgAAAAQ0MDQ3BAAAAAEwBwAAAAgxLzEvMjAyNAgAAAAKMTIvMzEvMjAyMwkAAAABMJ6b5azrR94IGQkjtutH3ggwQ0lRLklMTTEuSVFfVE9UQUxfQVNTRVRTLjIwMDAuMDEvMDEvMjAyNC4uLlVTRC5IAQAAADe8uxUCAAAACjY1Nyw0MDM1NTkBCAAAAAUAAAABMQEAAAALLTE5NTQ1ODc1MTgDAAAAAzE2MAIAAAAEMTAwNwQAAAABMAcAAAAIMS8xLzIwMjQIAAAACjEyLzMxLzIwMjMJAAAAATCem+Ws60feCBkJI7brR94ILkNJUS5JTE0xLklRX0NBU0hfRVFVSVYuMjAwMC4wMS8wMS8yMDI0</t>
  </si>
  <si>
    <t>Li4uVVNELkgBAAAAN7y7FQIAAAAJNzgsNTIzMjY3AQgAAAAFAAAAATEBAAAACy0xOTU0NTg3NTE4AwAAAAMxNjACAAAABDEwOTYEAAAAATAHAAAACDEvMS8yMDI0CAAAAAoxMi8zMS8yMDIzCQAAAAEwnpvlrOtH3ggZCSO260feCCxDSVEuSUxNMS5JUV9ORVRfREVCVC4yMDAwLjAxLzAxLzIwMjQuLi5VU0QuSAEAAAA3vLsVAgAAAAotNTksNTY4OTE4AQgAAAAFAAAAATEBAAAACy0xOTU0NTg3NTE4AwAAAAMxNjACAAAABDQzNjQEAAAAATAHAAAACDEvMS8yMDI0CAAAAAoxMi8zMS8yMDIzCQAAAAEwnpvlrOtH3ggpMCO260feCChDSVEuR00uSVFfRUJJVERBLjIwMDAuMDEvMDEvMjAyNC4uLlVTRC5IAQAAAFTupQMCAAAABTE1Nzg0AQgAAAAFAAAAATEBAAAACy0xOTYxNTk2NTM2AwAAAAMxNjACAAAABDQwNTEEAAAAATAHAAAACDEvMS8yMDI0CAAAAAoxMi8zMS8yMDIzCQAAAAEwnpvlrOtH3ggpMCO260feCC9DSVEuR00uSVFfRUJJVERBX01BUkdJTi4yMDAwLjAxLzAxLzIwMjQuLi5VU0QuSAEAAABU7qUDAgAAAAY5LDE4NTEBCAAAAAUAAAABMQEAAAALLTE5NjE1OTY1MzYDAAAAAzE2MAIAAAAENDA0NwQAAAABMAcAAAAIMS8xLzIwMjQIAAAACjEyLzMxLzIwMjMJAAAAATCem+Ws60feCDxXI7brR94ILkNJUS5HTS5JUV9UT1RBTF9BU1NFVFMuMjAwMC4wMS8wMS8yMDI0Li4uVVNELkgBAAAAVO6lAwIA</t>
  </si>
  <si>
    <t>AAAGMjczMDY0AQgAAAAFAAAAATEBAAAACy0xOTYxNTk2NTM2AwAAAAMxNjACAAAABDEwMDcEAAAAATAHAAAACDEvMS8yMDI0CAAAAAoxMi8zMS8yMDIzCQAAAAEwnpvlrOtH3gg8VyO260feCCxDSVEuR00uSVFfQ0FTSF9FUVVJVi4yMDAwLjAxLzAxLzIwMjQuLi5VU0QuSAEAAABU7qUDAgAAAAUxMzU1MwEIAAAABQAAAAExAQAAAAstMTk2MTU5NjUzNgMAAAADMTYwAgAAAAQxMDk2BAAAAAEwBwAAAAgxLzEvMjAyNAgAAAAKMTIvMzEvMjAyMwkAAAABMJ6b5azrR94IPFcjtutH3ggqQ0lRLkdNLklRX05FVF9ERUJULjIwMDAuMDEvMDEvMjAyNC4uLlVTRC5IAQAAAFTupQMCAAAABjEwMTc0NgEIAAAABQAAAAExAQAAAAstMTk2MTU5NjUzNgMAAAADMTYwAgAAAAQ0MzY0BAAAAAEwBwAAAAgxLzEvMjAyNAgAAAAKMTIvMzEvMjAyMwkAAAABMJ6b5azrR94IPFcjtutH3ggqQ0lRLlFUUkguSVFfRUJJVERBLjIwMDAuMDEvMDEvMjAyNC4uLlVTRC5IAQAAAP7ECgACAAAABS0wLDUzAQgAAAAFAAAAATEBAAAACy0xOTU1NjMwNTE2AwAAAAMxNjACAAAABDQwNTEEAAAAATAHAAAACDEvMS8yMDI0CAAAAAoxMi8zMS8yMDIzCQAAAAEwnpvlrOtH3ghcpSO260feCDFDSVEuUVRSSC5JUV9FQklUREFfTUFSR0lOLjIwMDAuMDEvMDEvMjAyNC4uLlVTRC5IAQAAAP7ECgACAAAABi0wLDM2OAEIAAAABQAAAAExAQAAAAst</t>
  </si>
  <si>
    <t>MTk1NTYzMDUxNgMAAAADMTYwAgAAAAQ0MDQ3BAAAAAEwBwAAAAgxLzEvMjAyNAgAAAAKMTIvMzEvMjAyMwkAAAABMJ6b5azrR94IXKUjtutH3ggwQ0lRLlFUUkguSVFfVE9UQUxfQVNTRVRTLjIwMDAuMDEvMDEvMjAyNC4uLlVTRC5IAQAAAP7ECgACAAAABzI1MCw2MjkBCAAAAAUAAAABMQEAAAALLTE5NTU2MzA1MTYDAAAAAzE2MAIAAAAEMTAwNwQAAAABMAcAAAAIMS8xLzIwMjQIAAAACjEyLzMxLzIwMjMJAAAAATCem+Ws60feCFylI7brR94ILkNJUS5RVFJILklRX0NBU0hfRVFVSVYuMjAwMC4wMS8wMS8yMDI0Li4uVVNELkgBAAAA/sQKAAIAAAAGNDIsNzMzAQgAAAAFAAAAATEBAAAACy0xOTU1NjMwNTE2AwAAAAMxNjACAAAABDEwOTYEAAAAATAHAAAACDEvMS8yMDI0CAAAAAoxMi8zMS8yMDIzCQAAAAEwnpvlrOtH3ghcpSO260feCCxDSVEuUVRSSC5JUV9ORVRfREVCVC4yMDAwLjAxLzAxLzIwMjQuLi5VU0QuSAEAAAD+xAoAAgAAAAYyMiw1ODEBCAAAAAUAAAABMQEAAAALLTE5NTU2MzA1MTYDAAAAAzE2MAIAAAAENDM2NAQAAAABMAcAAAAIMS8xLzIwMjQIAAAACjEyLzMxLzIwMjMJAAAAATCem+Ws60feCA7ZI7brR94IKkNJUS5BUkNILklRX0VCSVREQS4yMDAwLjAxLzAxLzIwMjQuLi5VU0QuSAEAAAAj6z0CAgAAAAUxMTYsNgEIAAAABQAAAAExAQAAAAstMTk0NjI4NjY1OQMAAAADMTYwAgAA</t>
  </si>
  <si>
    <t>AAQ0MDUxBAAAAAEwBwAAAAgxLzEvMjAyNAgAAAAKMTIvMzEvMjAyMwkAAAABMAY/La7rR94IDtkjtutH3ggxQ0lRLkFSQ0guSVFfRUJJVERBX01BUkdJTi4yMDAwLjAxLzAxLzIwMjQuLi5VU0QuSAEAAAAj6z0CAgAAAAYxMSw5MzIBCAAAAAUAAAABMQEAAAALLTE5NDYyODY2NTkDAAAAAzE2MAIAAAAENDA0NwQAAAABMAcAAAAIMS8xLzIwMjQIAAAACjEyLzMxLzIwMjMJAAAAATAGPy2u60feCA7ZI7brR94IMENJUS5BUkNILklRX1RPVEFMX0FTU0VUUy4yMDAwLjAxLzAxLzIwMjQuLi5VU0QuSAEAAAAj6z0CAgAAAAU5MDUsNwEIAAAABQAAAAExAQAAAAstMTk0NjI4NjY1OQMAAAADMTYwAgAAAAQxMDA3BAAAAAEwBwAAAAgxLzEvMjAyNAgAAAAKMTIvMzEvMjAyMwkAAAABMAY/La7rR94IDtkjtutH3gguQ0lRLkFSQ0guSVFfQ0FTSF9FUVVJVi4yMDAwLjAxLzAxLzIwMjQuLi5VU0QuSAEAAAAj6z0CAgAAAAQ1MiwxAQgAAAAFAAAAATEBAAAACy0xOTQ2Mjg2NjU5AwAAAAMxNjACAAAABDEwOTYEAAAAATAHAAAACDEvMS8yMDI0CAAAAAoxMi8zMS8yMDIzCQAAAAEwBj8trutH3ggO2SO260feCCxDSVEuQVJDSC5JUV9ORVRfREVCVC4yMDAwLjAxLzAxLzIwMjQuLi5VU0QuSAEAAAAj6z0CAgAAAAU0MDIsMwEIAAAABQAAAAExAQAAAAstMTk0NjI4NjY1OQMAAAADMTYwAgAAAAQ0MzY0BAAAAAEwBwAAAAgx</t>
  </si>
  <si>
    <t>LzEvMjAyNAgAAAAKMTIvMzEvMjAyMwkAAAABMAY/La7rR94IawAktutH3ggrQ0lRLkFLTzFMLklRX0VCSVREQS4yMDAwLjAxLzAxLzIwMjQuLi5VU0QuSAEAAAAFuwQFAgAAAAkyNCw4NjkwMTcBCAAAAAUAAAABMQEAAAALLTE5NDA2OTc0MTEDAAAAAzE2MAIAAAAENDA1MQQAAAABMAcAAAAIMS8xLzIwMjQIAAAACjEyLzMxLzIwMjMJAAAAATCem+Ws60feCGsAJLbrR94IMkNJUS5BS08xTC5JUV9FQklUREFfTUFSR0lOLjIwMDAuMDEvMDEvMjAyNC4uLlVTRC5IAQAAAAW7BAUCAAAABjEsNDA0MQEIAAAABQAAAAExAQAAAAstMTk0MDY5NzQxMQMAAAACNTACAAAABDQwNDcEAAAAATAHAAAACDEvMS8yMDI0CAAAAAoxMi8zMS8yMDIzCQAAAAEwnpvlrOtH3gjCJyS260feCDFDSVEuQUtPMUwuSVFfVE9UQUxfQVNTRVRTLjIwMDAuMDEvMDEvMjAyNC4uLlVTRC5IAQAAAAW7BAUCAAAACzEwMDQsMTk4MDc2AQgAAAAFAAAAATEBAAAACy0xOTQwNjk3NDExAwAAAAMxNjACAAAABDEwMDcEAAAAATAHAAAACDEvMS8yMDI0CAAAAAoxMi8zMS8yMDIzCQAAAAEwnpvlrOtH3gjCJyS260feCC9DSVEuQUtPMUwuSVFfQ0FTSF9FUVVJVi4yMDAwLjAxLzAxLzIwMjQuLi5VU0QuSAEAAAAFuwQFAgAAAAgxOCwyNTQ2NwEIAAAABQAAAAExAQAAAAstMTk0MDY5NzQxMQMAAAADMTYwAgAAAAQxMDk2BAAAAAEwBwAAAAgxLzEv</t>
  </si>
  <si>
    <t>MjAyNAgAAAAKMTIvMzEvMjAyMwkAAAABMJ6b5azrR94IawAktutH3ggtQ0lRLkFLTzFMLklRX05FVF9ERUJULjIwMDAuMDEvMDEvMjAyNC4uLlVTRC5IAQAAAAW7BAUCAAAACjM3OCwxMTc2MDgBCAAAAAUAAAABMQEAAAALLTE5NDA2OTc0MTEDAAAAAzE2MAIAAAAENDM2NAQAAAABMAcAAAAIMS8xLzIwMjQIAAAACjEyLzMxLzIwMjMJAAAAATCem+Ws60feCMInJLbrR94IKkNJUS5BS1NPLklRX0VCSVREQS4yMDAwLjAxLzAxLzIwMjQuLi5VU0QuSAEAAADoZasPAgAAAAg2OSwwMzE0MgEIAAAABQAAAAExAQAAAAstMTk1MjQxODYzNAMAAAADMTYwAgAAAAQ0MDUxBAAAAAEwBwAAAAgxLzEvMjAyNAgAAAAKMTIvMzEvMjAyMwkAAAABMJ6b5azrR94I1VEktutH3ggxQ0lRLkFLU08uSVFfRUJJVERBX01BUkdJTi4yMDAwLjAxLzAxLzIwMjQuLi5VU0QuSAEAAADoZasPAgAAAAYxLDk1MDgBCAAAAAUAAAABMQEAAAALLTE5NTI0MTg2MzQDAAAAAzExNwIAAAAENDA0NwQAAAABMAcAAAAIMS8xLzIwMjQIAAAACjEyLzMxLzIwMjMJAAAAATCem+Ws60feCNVRJLbrR94IMENJUS5BS1NPLklRX1RPVEFMX0FTU0VUUy4yMDAwLjAxLzAxLzIwMjQuLi5VU0QuSAEAAADoZasPAgAAAAs0MDY4LDIxODgwMQEIAAAABQAAAAExAQAAAAstMTk1MjQxODYzNAMAAAADMTYwAgAAAAQxMDA3BAAAAAEwBwAAAAgxLzEvMjAyNAgA</t>
  </si>
  <si>
    <t>AAAKMTIvMzEvMjAyMwkAAAABMJ6b5azrR94I1VEktutH3gguQ0lRLkFLU08uSVFfQ0FTSF9FUVVJVi4yMDAwLjAxLzAxLzIwMjQuLi5VU0QuSAEAAADoZasPAgAAAAo1OTEsOTkzNzMzAQgAAAAFAAAAATEBAAAACy0xOTUyNDE4NjM0AwAAAAMxNjACAAAABDEwOTYEAAAAATAHAAAACDEvMS8yMDI0CAAAAAoxMi8zMS8yMDIzCQAAAAEwnpvlrOtH3gjVUSS260feCCxDSVEuQUtTTy5JUV9ORVRfREVCVC4yMDAwLjAxLzAxLzIwMjQuLi5VU0QuSAEAAADoZasPAgAAAAstODA3LDA3NTkxNAEIAAAABQAAAAExAQAAAAstMTk1MjQxODYzNAMAAAADMTYwAgAAAAQ0MzY0BAAAAAEwBwAAAAgxLzEvMjAyNAgAAAAKMTIvMzEvMjAyMwkAAAABMJ6b5azrR94ILXkktutH3ggpQ0lRLlZNVC5JUV9FQklUREEuMjAwMC4wMS8wMS8yMDI0Li4uVVNELkgBAAAACo5jAAIAAAAINSwwNDAyMTgBCAAAAAUAAAABMQEAAAALLTE5NTI2MTU2NzUDAAAAAzE2MAIAAAAENDA1MQQAAAABMAcAAAAIMS8xLzIwMjQIAAAACjEyLzMxLzIwMjMJAAAAATCem+Ws60feCC15JLbrR94IMENJUS5WTVQuSVFfRUJJVERBX01BUkdJTi4yMDAwLjAxLzAxLzIwMjQuLi5VU0QuSAEAAAAKjmMAAgAAAAcxMCw2Nzc1AQgAAAAFAAAAATEBAAAACy0xOTUyNjE1Njc1AwAAAAE5AgAAAAQ0MDQ3BAAAAAEwBwAAAAgxLzEvMjAyNAgAAAAKMTIvMzEvMjAy</t>
  </si>
  <si>
    <t>MwkAAAABMJ6b5azrR94ILXkktutH3ggvQ0lRLlZNVC5JUV9UT1RBTF9BU1NFVFMuMjAwMC4wMS8wMS8yMDI0Li4uVVNELkgBAAAACo5jAAIAAAAINjUsNjU1NzYBCAAAAAUAAAABMQEAAAALLTE5NTI2MTU2NzUDAAAAAzE2MAIAAAAEMTAwNwQAAAABMAcAAAAIMS8xLzIwMjQIAAAACjEyLzMxLzIwMjMJAAAAATCem+Ws60feCC15JLbrR94ILUNJUS5WTVQuSVFfQ0FTSF9FUVVJVi4yMDAwLjAxLzAxLzIwMjQuLi5VU0QuSAEAAAAKjmMAAgAAAAkyOCw5ODcwNDgBCAAAAAUAAAABMQEAAAALLTE5NTI2MTU2NzUDAAAAAzE2MAIAAAAEMTA5NgQAAAABMAcAAAAIMS8xLzIwMjQIAAAACjEyLzMxLzIwMjMJAAAAATCem+Ws60feCIWgJLbrR94IK0NJUS5WTVQuSVFfTkVUX0RFQlQuMjAwMC4wMS8wMS8yMDI0Li4uVVNELkgBAAAACo5jAAIAAAAKLTI1LDM3NDIzMwEIAAAABQAAAAExAQAAAAstMTk1MjYxNTY3NQMAAAADMTYwAgAAAAQ0MzY0BAAAAAEwBwAAAAgxLzEvMjAyNAgAAAAKMTIvMzEvMjAyMwkAAAABMJ6b5azrR94IhaAktutH3ggpQ0lRLkFaTi5JUV9FQklUREEuMjAwMC4wMS8wMS8yMDI0Li4uVVNELkgBAAAAhiMFAAIAAAAFMTQyMjQBCAAAAAUAAAABMQEAAAALLTE5NTkwOTg4MTQDAAAAAzE2MAIAAAAENDA1MQQAAAABMAcAAAAIMS8xLzIwMjQIAAAACjEyLzMxLzIwMjMJAAAAATCem+Ws60feCIWg</t>
  </si>
  <si>
    <t>JLbrR94IMENJUS5BWk4uSVFfRUJJVERBX01BUkdJTi4yMDAwLjAxLzAxLzIwMjQuLi5VU0QuSAEAAACGIwUAAgAAAAczMSwwNDkzAQgAAAAFAAAAATEBAAAACy0xOTU5MDk4ODE0AwAAAAMxNjACAAAABDQwNDcEAAAAATAHAAAACDEvMS8yMDI0CAAAAAoxMi8zMS8yMDIzCQAAAAEwnpvlrOtH3ghc7yS260feCC9DSVEuQVpOLklRX1RPVEFMX0FTU0VUUy4yMDAwLjAxLzAxLzIwMjQuLi5VU0QuSAEAAACGIwUAAgAAAAYxMDExMTkBCAAAAAUAAAABMQEAAAALLTE5NTkwOTg4MTQDAAAAAzE2MAIAAAAEMTAwNwQAAAABMAcAAAAIMS8xLzIwMjQIAAAACjEyLzMxLzIwMjMJAAAAATCem+Ws60feCFzvJLbrR94ILUNJUS5BWk4uSVFfQ0FTSF9FUVVJVi4yMDAwLjAxLzAxLzIwMjQuLi5VU0QuSAEAAACGIwUAAgAAAAQ1ODQwAQgAAAAFAAAAATEBAAAACy0xOTU5MDk4ODE0AwAAAAMxNjACAAAABDEwOTYEAAAAATAHAAAACDEvMS8yMDI0CAAAAAoxMi8zMS8yMDIzCQAAAAEwnpvlrOtH3giFoCS260feCCtDSVEuQVpOLklRX05FVF9ERUJULjIwMDAuMDEvMDEvMjAyNC4uLlVTRC5IAQAAAIYjBQACAAAABTIzNzg5AQgAAAAFAAAAATEBAAAACy0xOTU5MDk4ODE0AwAAAAMxNjACAAAABDQzNjQEAAAAATAHAAAACDEvMS8yMDI0CAAAAAoxMi8zMS8yMDIzCQAAAAEwnpvlrOtH3gjexyS260feCClDSVEuUlJSLklRX0VC</t>
  </si>
  <si>
    <t>SVREQS4yMDAwLjAxLzAxLzIwMjQuLi5VU0QuSAEAAABXt+gHAgAAAAU3MjMsMgEIAAAABQAAAAExAQAAAAstMTk1ODcwMDIyNwMAAAADMTYwAgAAAAQ0MDUxBAAAAAEwBwAAAAgxLzEvMjAyNAgAAAAKMTIvMzEvMjAyMwkAAAABMJ6b5azrR94IlU4ltutH3ggwQ0lRLlJSUi5JUV9FQklUREFfTUFSR0lOLjIwMDAuMDEvMDEvMjAyNC4uLlVTRC5IAQAAAFe36AcCAAAABzQxLDk0NjgBCAAAAAUAAAABMQEAAAALLTE5NTg3MDAyMjcDAAAAAzE2MAIAAAAENDA0NwQAAAABMAcAAAAIMS8xLzIwMjQIAAAACjEyLzMxLzIwMjMJAAAAATCem+Ws60feCJVOJbbrR94IL0NJUS5SUlIuSVFfVE9UQUxfQVNTRVRTLjIwMDAuMDEvMDEvMjAyNC4uLlVTRC5IAQAAAFe36AcCAAAACDM5NTQsNTEyAQgAAAAFAAAAATEBAAAACy0xOTU4NzAwMjI3AwAAAAMxNjACAAAABDEwMDcEAAAAATAHAAAACDEvMS8yMDI0CAAAAAoxMi8zMS8yMDIzCQAAAAEwnpvlrOtH3gjcdSW260feCC1DSVEuUlJSLklRX0NBU0hfRVFVSVYuMjAwMC4wMS8wMS8yMDI0Li4uVVNELkgBAAAAV7foBwIAAAAHMTM3LDU4NgEIAAAABQAAAAExAQAAAAstMTk1ODcwMDIyNwMAAAADMTYwAgAAAAQxMDk2BAAAAAEwBwAAAAgxLzEvMjAyNAgAAAAKMTIvMzEvMjAyMwkAAAABMJ6b5azrR94I3HUltutH3ggrQ0lRLlJSUi5JUV9ORVRfREVCVC4yMDAwLjAxLzAx</t>
  </si>
  <si>
    <t>LzIwMjQuLi5VU0QuSAEAAABXt+gHAgAAAAgzMjI1LDczMQEIAAAABQAAAAExAQAAAAstMTk1ODcwMDIyNwMAAAADMTYwAgAAAAQ0MzY0BAAAAAEwBwAAAAgxLzEvMjAyNAgAAAAKMTIvMzEvMjAyMwkAAAABMJ6b5azrR94I3HUltutH3ggpQ0lRLkNEQS5JUV9FQklUREEuMjAwMC4wMS8wMS8yMDI0Li4uVVNELkgBAAAAwJiXAAIAAAAJNzUsNTA0NzcyAQgAAAAFAAAAATEBAAAACy0xOTU4NjkwODkwAwAAAAMxNjACAAAABDQwNTEEAAAAATAHAAAACDEvMS8yMDI0CAAAAAoxMi8zMS8yMDIzCQAAAAEwnpvlrOtH3gjcdSW260feCDBDSVEuQ0RBLklRX0VCSVREQV9NQVJHSU4uMjAwMC4wMS8wMS8yMDI0Li4uVVNELkgBAAAAwJiXAAIAAAAHMjEsNjk0NAEIAAAABQAAAAExAQAAAAstMTk1ODY5MDg5MAMAAAABOQIAAAAENDA0NwQAAAABMAcAAAAIMS8xLzIwMjQIAAAACjEyLzMxLzIwMjMJAAAAATCem+Ws60feCPfDJbbrR94IL0NJUS5DREEuSVFfVE9UQUxfQVNTRVRTLjIwMDAuMDEvMDEvMjAyNC4uLlVTRC5IAQAAAMCYlwACAAAACjUwNCw3MTk4MzYBCAAAAAUAAAABMQEAAAALLTE5NTg2OTA4OTADAAAAAzE2MAIAAAAEMTAwNwQAAAABMAcAAAAIMS8xLzIwMjQIAAAACjEyLzMxLzIwMjMJAAAAATCem+Ws60feCPfDJbbrR94ILUNJUS5DREEuSVFfQ0FTSF9FUVVJVi4yMDAwLjAxLzAxLzIwMjQuLi5VU0Qu</t>
  </si>
  <si>
    <t>SAEAAADAmJcAAgAAAAkxNiwwODI0ODEBCAAAAAUAAAABMQEAAAALLTE5NTg2OTA4OTADAAAAAzE2MAIAAAAEMTA5NgQAAAABMAcAAAAIMS8xLzIwMjQIAAAACjEyLzMxLzIwMjMJAAAAATCem+Ws60feCOecJbbrR94IK0NJUS5DREEuSVFfTkVUX0RFQlQuMjAwMC4wMS8wMS8yMDI0Li4uVVNELkgBAAAAwJiXAAIAAAAJODksMTQ2NTU4AQgAAAAFAAAAATEBAAAACy0xOTU4NjkwODkwAwAAAAMxNjACAAAABDQzNjQEAAAAATAHAAAACDEvMS8yMDI0CAAAAAoxMi8zMS8yMDIzCQAAAAEwnpvlrOtH3gjnnCW260feCClDSVEuRE9NLklRX0VCSVREQS4yMDAwLjAxLzAxLzIwMjQuLi5VU0QuSAEAAAAcUVMAAgAAAAoxNTAsMzAzMTU0AQgAAAAFAAAAATEBAAAACy0xOTU0NTg1ODUxAwAAAAMxNjACAAAABDQwNTEEAAAAATAHAAAACDEvMS8yMDI0CAAAAAoxMi8zMS8yMDIzCQAAAAEwnpvlrOtH3ggI6yW260feCDBDSVEuRE9NLklRX0VCSVREQV9NQVJHSU4uMjAwMC4wMS8wMS8yMDI0Li4uVVNELkgBAAAAHFFTAAIAAAAGMTcsMzU4AQgAAAAFAAAAATEBAAAACy0xOTU0NTg1ODUxAwAAAAI1NQIAAAAENDA0NwQAAAABMAcAAAAIMS8xLzIwMjQIAAAACjEyLzMxLzIwMjMJAAAAATCem+Ws60feCAjrJbbrR94IL0NJUS5ET00uSVFfVE9UQUxfQVNTRVRTLjIwMDAuMDEvMDEvMjAyNC4uLlVTRC5IAQAAABxRUwACAAAA</t>
  </si>
  <si>
    <t>CjY1Miw3OTk3MTUBCAAAAAUAAAABMQEAAAALLTE5NTQ1ODU4NTEDAAAAAzE2MAIAAAAEMTAwNwQAAAABMAcAAAAIMS8xLzIwMjQIAAAACjEyLzMxLzIwMjMJAAAAATCem+Ws60feCAjrJbbrR94ILUNJUS5ET00uSVFfQ0FTSF9FUVVJVi4yMDAwLjAxLzAxLzIwMjQuLi5VU0QuSAEAAAAcUVMAAgAAAAk2NiwzNjI2NjQBCAAAAAUAAAABMQEAAAALLTE5NTQ1ODU4NTEDAAAAAzE2MAIAAAAEMTA5NgQAAAABMAcAAAAIMS8xLzIwMjQIAAAACjEyLzMxLzIwMjMJAAAAATCem+Ws60feCBkSJrbrR94IK0NJUS5ET00uSVFfTkVUX0RFQlQuMjAwMC4wMS8wMS8yMDI0Li4uVVNELkgBAAAAHFFTAAIAAAAKNTg5LDg3NjE5MQEIAAAABQAAAAExAQAAAAstMTk1NDU4NTg1MQMAAAADMTYwAgAAAAQ0MzY0BAAAAAEwBwAAAAgxLzEvMjAyNAgAAAAKMTIvMzEvMjAyMwkAAAABMJ6b5azrR94ISDkmtutH3ggoQ0lRLk1ULklRX0VCSVREQS4yMDAwLjAxLzAxLzIwMjQuLi5VU0QuSAEAAAAIjgUAAgAAAAQ1NTc5AQgAAAAFAAAAATEBAAAACy0xOTU2NDQ2NDUyAwAAAAMxNjACAAAABDQwNTEEAAAAATAHAAAACDEvMS8yMDI0CAAAAAoxMi8zMS8yMDIzCQAAAAEwnpvlrOtH3gj7YSa260feCC9DSVEuTVQuSVFfRUJJVERBX01BUkdJTi4yMDAwLjAxLzAxLzIwMjQuLi5VU0QuSAEAAAAIjgUAAgAAAAY4LDE3MTMBCAAAAAUAAAAB</t>
  </si>
  <si>
    <t>MQEAAAALLTE5NTY0NDY0NTIDAAAAAzE2MAIAAAAENDA0NwQAAAABMAcAAAAIMS8xLzIwMjQIAAAACjEyLzMxLzIwMjMJAAAAATCem+Ws60feCAiPJrbrR94ILkNJUS5NVC5JUV9UT1RBTF9BU1NFVFMuMjAwMC4wMS8wMS8yMDI0Li4uVVNELkgBAAAACI4FAAIAAAAFOTM5MTcBCAAAAAUAAAABMQEAAAALLTE5NTY0NDY0NTIDAAAAAzE2MAIAAAAEMTAwNwQAAAABMAcAAAAIMS8xLzIwMjQIAAAACjEyLzMxLzIwMjMJAAAAATCem+Ws60feCGS2JrbrR94ILENJUS5NVC5JUV9DQVNIX0VRVUlWLjIwMDAuMDEvMDEvMjAyNC4uLlVTRC5IAQAAAAiOBQACAAAABDc2ODYBCAAAAAUAAAABMQEAAAALLTE5NTY0NDY0NTIDAAAAAzE2MAIAAAAEMTA5NgQAAAABMAcAAAAIMS8xLzIwMjQIAAAACjEyLzMxLzIwMjMJAAAAATCem+Ws60feCAiPJrbrR94IKkNJUS5NVC5JUV9ORVRfREVCVC4yMDAwLjAxLzAxLzIwMjQuLi5VU0QuSAEAAAAIjgUAAgAAAAQyOTk1AQgAAAAFAAAAATEBAAAACy0xOTU2NDQ2NDUyAwAAAAMxNjACAAAABDQzNjQEAAAAATAHAAAACDEvMS8yMDI0CAAAAAoxMi8zMS8yMDIzCQAAAAEwnpvlrOtH3ggIjya260feCClDSVEuQ1BJLklRX0VCSVREQS4yMDAwLjAxLzAxLzIwMjQuLi5VU0QuSAEAAAAqaw0AAgAAAAozOTUsMTE4OTY5AQgAAAAFAAAAATEBAAAACy0xOTU0MTEzOTUzAwAAAAMxNjACAAAA</t>
  </si>
  <si>
    <t>BDQwNTEEAAAAATAHAAAACDEvMS8yMDI0CAAAAAoxMi8zMS8yMDIzCQAAAAEwy7aLretH3ghktia260feCDBDSVEuQ1BJLklRX0VCSVREQV9NQVJHSU4uMjAwMC4wMS8wMS8yMDI0Li4uVVNELkgBAAAAKmsNAAIAAAAHMTEsMDIxMQEIAAAABQAAAAExAQAAAAstMTk1NDExMzk1MwMAAAACNTUCAAAABDQwNDcEAAAAATAHAAAACDEvMS8yMDI0CAAAAAoxMi8zMS8yMDIzCQAAAAEwy7aLretH3ghktia260feCC9DSVEuQ1BJLklRX1RPVEFMX0FTU0VUUy4yMDAwLjAxLzAxLzIwMjQuLi5VU0QuSAEAAAAqaw0AAgAAAAoyNTQ0LDcwODgyAQgAAAAFAAAAATEBAAAACy0xOTU0MTEzOTUzAwAAAAMxNjACAAAABDEwMDcEAAAAATAHAAAACDEvMS8yMDI0CAAAAAoxMi8zMS8yMDIzCQAAAAEwy7aLretH3ghktia260feCC1DSVEuQ1BJLklRX0NBU0hfRVFVSVYuMjAwMC4wMS8wMS8yMDI0Li4uVVNELkgBAAAAKmsNAAIAAAAKMTk3LDk0MTYxMQEIAAAABQAAAAExAQAAAAstMTk1NDExMzk1MwMAAAADMTYwAgAAAAQxMDk2BAAAAAEwBwAAAAgxLzEvMjAyNAgAAAAKMTIvMzEvMjAyMwkAAAABMMu2i63rR94Iv90mtutH3ggrQ0lRLkNQSS5JUV9ORVRfREVCVC4yMDAwLjAxLzAxLzIwMjQuLi5VU0QuSAEAAAAqaw0AAgAAAAo3MjIsMjE5MzkyAQgAAAAFAAAAATEBAAAACy0xOTU0MTEzOTUzAwAAAAMxNjACAAAABDQzNjQE</t>
  </si>
  <si>
    <t>AAAAATAHAAAACDEvMS8yMDI0CAAAAAoxMi8zMS8yMDIzCQAAAAEwy7aLretH3gi/3Sa260feCCpDSVEuU1BJRS5JUV9FQklUREEuMjAwMC4wMS8wMS8yMDI0Li4uVVNELkgBAAAAClgNAAIAAAAKNzUwLDkwMTk1NgEIAAAABQAAAAExAQAAAAstMTk1MjM5MTU2NQMAAAADMTYwAgAAAAQ0MDUxBAAAAAEwBwAAAAgxLzEvMjAyNAgAAAAKMTIvMzEvMjAyMwkAAAABMJ6b5azrR94Iv90mtutH3ggxQ0lRLlNQSUUuSVFfRUJJVERBX01BUkdJTi4yMDAwLjAxLzAxLzIwMjQuLi5VU0QuSAEAAAAKWA0AAgAAAAY3LDcwNzMBCAAAAAUAAAABMQEAAAALLTE5NTIzOTE1NjUDAAAAAjUwAgAAAAQ0MDQ3BAAAAAEwBwAAAAgxLzEvMjAyNAgAAAAKMTIvMzEvMjAyMwkAAAABMJ6b5azrR94Iv90mtutH3ggwQ0lRLlNQSUUuSVFfVE9UQUxfQVNTRVRTLjIwMDAuMDEvMDEvMjAyNC4uLlVTRC5IAQAAAApYDQACAAAADDEwMTE0LDM0OTUwNQEIAAAABQAAAAExAQAAAAstMTk1MjM5MTU2NQMAAAADMTYwAgAAAAQxMDA3BAAAAAEwBwAAAAgxLzEvMjAyNAgAAAAKMTIvMzEvMjAyMwkAAAABMJ6b5azrR94IwAUntutH3gguQ0lRLlNQSUUuSVFfQ0FTSF9FUVVJVi4yMDAwLjAxLzAxLzIwMjQuLi5VU0QuSAEAAAAKWA0AAgAAAAsxMzQyLDkyMDMwNQEIAAAABQAAAAExAQAAAAstMTk1MjM5MTU2NQMAAAADMTYwAgAAAAQxMDk2BAAA</t>
  </si>
  <si>
    <t>AAEwBwAAAAgxLzEvMjAyNAgAAAAKMTIvMzEvMjAyMwkAAAABMJ6b5azrR94IwAUntutH3ggsQ0lRLlNQSUUuSVFfTkVUX0RFQlQuMjAwMC4wMS8wMS8yMDI0Li4uVVNELkgBAAAAClgNAAIAAAALMTQ4Nyw2ODA5OTkBCAAAAAUAAAABMQEAAAALLTE5NTIzOTE1NjUDAAAAAzE2MAIAAAAENDM2NAQAAAABMAcAAAAIMS8xLzIwMjQIAAAACjEyLzMxLzIwMjMJAAAAATCem+Ws60feCMAFJ7brR94IKUNJUS5DWFQuSVFfRUJJVERBLjIwMDAuMDEvMDEvMjAyNC4uLlVTRC5IAQAAAJJd42kCAAAABTM4NCw0AQgAAAAFAAAAATEBAAAACy0xOTU4Njk1NjUwAwAAAAMxNjACAAAABDQwNTEEAAAAATAHAAAACDEvMS8yMDI0CAAAAAoxMi8zMS8yMDIzCQAAAAEwrsLlrOtH3gjpNye260feCDBDSVEuQ1hULklRX0VCSVREQV9NQVJHSU4uMjAwMC4wMS8wMS8yMDI0Li4uVVNELkgBAAAAkl3jaQIAAAAHMjcsNjI4OAEIAAAABQAAAAExAQAAAAstMTk1ODY5NTY1MAMAAAADMTYwAgAAAAQ0MDQ3BAAAAAEwBwAAAAgxLzEvMjAyNAgAAAAKMTIvMzEvMjAyMwkAAAABMK7C5azrR94I24cntutH3ggvQ0lRLkNYVC5JUV9UT1RBTF9BU1NFVFMuMjAwMC4wMS8wMS8yMDI0Li4uVVNELkgBAAAAkl3jaQIAAAAGMjEyOSw0AQgAAAAFAAAAATEBAAAACy0xOTU4Njk1NjUwAwAAAAMxNjACAAAABDEwMDcEAAAAATAHAAAACDEvMS8yMDI0</t>
  </si>
  <si>
    <t>CAAAAAoxMi8zMS8yMDIzCQAAAAEwrsLlrOtH3gjbhye260feCC1DSVEuQ1hULklRX0NBU0hfRVFVSVYuMjAwMC4wMS8wMS8yMDI0Li4uVVNELkgBAAAAkl3jaQIAAAAFMjI3LDIBCAAAAAUAAAABMQEAAAALLTE5NTg2OTU2NTADAAAAAzE2MAIAAAAEMTA5NgQAAAABMAcAAAAIMS8xLzIwMjQIAAAACjEyLzMxLzIwMjMJAAAAATCuwuWs60feCJRgJ7brR94IK0NJUS5DWFQuSVFfTkVUX0RFQlQuMjAwMC4wMS8wMS8yMDI0Li4uVVNELkgBAAAAkl3jaQIAAAAFNDY3LDUBCAAAAAUAAAABMQEAAAALLTE5NTg2OTU2NTADAAAAAzE2MAIAAAAENDM2NAQAAAABMAcAAAAIMS8xLzIwMjQIAAAACjEyLzMxLzIwMjMJAAAAATCuwuWs60feCJRgJ7brR94IKUNJUS5BMkEuSVFfRUJJVERBLjIwMDAuMDEvMDEvMjAyNC4uLlVTRC5IAQAAAE57DQACAAAACzE5NTUsMzQ0MzEyAQgAAAAFAAAAATEBAAAACy0xOTUxNjAyMjgwAwAAAAMxNjACAAAABDQwNTEEAAAAATAHAAAACDEvMS8yMDI0CAAAAAoxMi8zMS8yMDIzCQAAAAEwrsLlrOtH3ggH/Se260feCDBDSVEuQTJBLklRX0VCSVREQV9NQVJHSU4uMjAwMC4wMS8wMS8yMDI0Li4uVVNELkgBAAAATnsNAAIAAAAHMTIsMDkxNQEIAAAABQAAAAExAQAAAAstMTk1MTYwMjI4MAMAAAACNTACAAAABDQwNDcEAAAAATAHAAAACDEvMS8yMDI0CAAAAAoxMi8zMS8yMDIzCQAAAAEw</t>
  </si>
  <si>
    <t>rsLlrOtH3ghDWCi260feCC9DSVEuQTJBLklRX1RPVEFMX0FTU0VUUy4yMDAwLjAxLzAxLzIwMjQuLi5VU0QuSAEAAABOew0AAgAAAAwyMDc3OCwxNTg0OTkBCAAAAAUAAAABMQEAAAALLTE5NTE2MDIyODADAAAAAzE2MAIAAAAEMTAwNwQAAAABMAcAAAAIMS8xLzIwMjQIAAAACjEyLzMxLzIwMjMJAAAAATCuwuWs60feCENYKLbrR94ILUNJUS5BMkEuSVFfQ0FTSF9FUVVJVi4yMDAwLjAxLzAxLzIwMjQuLi5VU0QuSAEAAABOew0AAgAAAAsxODAwLDU5Njg4MgEIAAAABQAAAAExAQAAAAstMTk1MTYwMjI4MAMAAAADMTYwAgAAAAQxMDk2BAAAAAEwBwAAAAgxLzEvMjAyNAgAAAAKMTIvMzEvMjAyMwkAAAABMK7C5azrR94IsCQotutH3ggrQ0lRLkEyQS5JUV9ORVRfREVCVC4yMDAwLjAxLzAxLzIwMjQuLi5VU0QuSAEAAABOew0AAgAAAAs1MjE5LDQwOTc0NwEIAAAABQAAAAExAQAAAAstMTk1MTYwMjI4MAMAAAADMTYwAgAAAAQ0MzY0BAAAAAEwBwAAAAgxLzEvMjAyNAgAAAAKMTIvMzEvMjAyMwkAAAABMK7C5azrR94IsCQotutH3ggpQ0lRLk5CUy5JUV9FQklUREEuMjAwMC4wMS8wMS8yMDI0Li4uVVNELkgBAAAAqVsNAAMAAAACTkEArsLlrOtH3gg4hii260feCDBDSVEuTkJTLklRX0VCSVREQV9NQVJHSU4uMjAwMC4wMS8wMS8yMDI0Li4uVVNELkgBAAAAqVsNAAMAAAACTkEArsLlrOtH3gg4hii260fe</t>
  </si>
  <si>
    <t>CC9DSVEuTkJTLklRX1RPVEFMX0FTU0VUUy4yMDAwLjAxLzAxLzIwMjQuLi5VU0QuSAEAAACpWw0AAgAAAA0zMzQ5NDYsMTg0MTQ2AQgAAAAFAAAAATEBAAAACy0xOTY2MjQ5MDYwAwAAAAMxNjACAAAABDEwMDcEAAAAATAHAAAACDEvMS8yMDI0CAAAAAk5LzMwLzIwMjMJAAAAATCuwuWs60feCDiGKLbrR94ILUNJUS5OQlMuSVFfQ0FTSF9FUVVJVi4yMDAwLjAxLzAxLzIwMjQuLi5VU0QuSAEAAACpWw0AAgAAAAwzNTM5OCw5MjEyNDkBCAAAAAUAAAABMQEAAAALLTE5NjYyNDkwNjADAAAAAzE2MAIAAAAEMTA5NgQAAAABMAcAAAAIMS8xLzIwMjQIAAAACTkvMzAvMjAyMwkAAAABMK7C5azrR94IOIYotutH3ggrQ0lRLk5CUy5JUV9ORVRfREVCVC4yMDAwLjAxLzAxLzIwMjQuLi5VU0QuSAEAAACpWw0AAgAAAAs3OTE2LDE4ODcxMQEIAAAABQAAAAExAQAAAAstMTk2NjI0OTA2MAMAAAADMTYwAgAAAAQ0MzY0BAAAAAEwBwAAAAgxLzEvMjAyNAgAAAAJOS8zMC8yMDIzCQAAAAEwrsLlrOtH3gh1uCi260feCCpDSVEuVFdJTi5JUV9FQklUREEuMjAwMC4wMS8wMS8yMDI0Li4uVVNELkgBAAAA87kEAAIAAAAGMzEsMzQxAQgAAAAFAAAAATEBAAAACy0xOTYwNjc5MTk5AwAAAAMxNjACAAAABDQwNTEEAAAAATAHAAAACDEvMS8yMDI0CAAAAAoxMi8yOS8yMDIzCQAAAAEwrsLlrOtH3gh1uCi260feCDFDSVEuVFdJ</t>
  </si>
  <si>
    <t>Ti5JUV9FQklUREFfTUFSR0lOLjIwMDAuMDEvMDEvMjAyNC4uLlVTRC5IAQAAAPO5BAACAAAABzEwLDY1MTQBCAAAAAUAAAABMQEAAAALLTE5NjA2NzkxOTkDAAAAAzE2MAIAAAAENDA0NwQAAAABMAcAAAAIMS8xLzIwMjQIAAAACjEyLzI5LzIwMjMJAAAAATCuwuWs60feCHjfKLbrR94IMENJUS5UV0lOLklRX1RPVEFMX0FTU0VUUy4yMDAwLjAxLzAxLzIwMjQuLi5VU0QuSAEAAADzuQQAAgAAAAYyODUsMTkBCAAAAAUAAAABMQEAAAALLTE5NjA2NzkxOTkDAAAAAzE2MAIAAAAEMTAwNwQAAAABMAcAAAAIMS8xLzIwMjQIAAAACjEyLzI5LzIwMjMJAAAAATCuwuWs60feCFcHKbbrR94ILkNJUS5UV0lOLklRX0NBU0hfRVFVSVYuMjAwMC4wMS8wMS8yMDI0Li4uVVNELkgBAAAA87kEAAIAAAAGMjEsMDIxAQgAAAAFAAAAATEBAAAACy0xOTYwNjc5MTk5AwAAAAMxNjACAAAABDEwOTYEAAAAATAHAAAACDEvMS8yMDI0CAAAAAoxMi8yOS8yMDIzCQAAAAEwrsLlrOtH3ghXBym260feCCxDSVEuVFdJTi5JUV9ORVRfREVCVC4yMDAwLjAxLzAxLzIwMjQuLi5VU0QuSAEAAADzuQQAAgAAAAYxMyw5MDMBCAAAAAUAAAABMQEAAAALLTE5NjA2NzkxOTkDAAAAAzE2MAIAAAAENDM2NAQAAAABMAcAAAAIMS8xLzIwMjQIAAAACjEyLzI5LzIwMjMJAAAAATCuwuWs60feCFcHKbbrR94IKkNJUS5BTENBLklRX0VCSVREQS4y</t>
  </si>
  <si>
    <t>MDAwLjAxLzAxLzIwMjQuLi5VU0QuSAEAAABdlagUAgAAAAkxMCw4NzgzNDIBCAAAAAUAAAABMQEAAAALLTE5NTIzOTg2NzYDAAAAAzE2MAIAAAAENDA1MQQAAAABMAcAAAAIMS8xLzIwMjQIAAAACjEyLzMxLzIwMjMJAAAAATCuwuWs60feCK5UKbbrR94IMUNJUS5BTENBLklRX0VCSVREQV9NQVJHSU4uMjAwMC4wMS8wMS8yMDI0Li4uVVNELkgBAAAAXZWoFAIAAAAGNiw5NTU3AQgAAAAFAAAAATEBAAAACy0xOTUyMzk4Njc2AwAAAAMxMzcCAAAABDQwNDcEAAAAATAHAAAACDEvMS8yMDI0CAAAAAoxMi8zMS8yMDIzCQAAAAEwrsLlrOtH3giuVCm260feCDBDSVEuQUxDQS5JUV9UT1RBTF9BU1NFVFMuMjAwMC4wMS8wMS8yMDI0Li4uVVNELkgBAAAAXZWoFAIAAAAKMTU3LDE5ODk5NwEIAAAABQAAAAExAQAAAAstMTk1MjM5ODY3NgMAAAADMTYwAgAAAAQxMDA3BAAAAAEwBwAAAAgxLzEvMjAyNAgAAAAKMTIvMzEvMjAyMwkAAAABMK7C5azrR94IrlQptutH3gguQ0lRLkFMQ0EuSVFfQ0FTSF9FUVVJVi4yMDAwLjAxLzAxLzIwMjQuLi5VU0QuSAEAAABdlagUAgAAAAg2LDIxNDc3NQEIAAAABQAAAAExAQAAAAstMTk1MjM5ODY3NgMAAAADMTYwAgAAAAQxMDk2BAAAAAEwBwAAAAgxLzEvMjAyNAgAAAAKMTIvMzEvMjAyMwkAAAABMK7C5azrR94IrlQptutH3ggsQ0lRLkFMQ0EuSVFfTkVUX0RFQlQuMjAwMC4w</t>
  </si>
  <si>
    <t>MS8wMS8yMDI0Li4uVVNELkgBAAAAXZWoFAIAAAAJMzQsNzYyOTY0AQgAAAAFAAAAATEBAAAACy0xOTUyMzk4Njc2AwAAAAMxNjACAAAABDQzNjQEAAAAATAHAAAACDEvMS8yMDI0CAAAAAoxMi8zMS8yMDIzCQAAAAEwrsLlrOtH3giuVCm260feCC1DSVEuUklDSFRFUi5JUV9FQklUREEuMjAwMC4wMS8wMS8yMDI0Li4uVVNELkgBAAAAsnINAAIAAAAKNzcwLDc3Nzg1OAEIAAAABQAAAAExAQAAAAstMTk1MjE1NzgzNQMAAAADMTYwAgAAAAQ0MDUxBAAAAAEwBwAAAAgxLzEvMjAyNAgAAAAKMTIvMzEvMjAyMwkAAAABMKJOiq3rR94IrlQptutH3gg0Q0lRLlJJQ0hURVIuSVFfRUJJVERBX01BUkdJTi4yMDAwLjAxLzAxLzIwMjQuLi5VU0QuSAEAAACycg0AAgAAAAczMywxMjY0AQgAAAAFAAAAATEBAAAACy0xOTUyMTU3ODM1AwAAAAI2OAIAAAAENDA0NwQAAAABMAcAAAAIMS8xLzIwMjQIAAAACjEyLzMxLzIwMjMJAAAAATCiToqt60feCK5UKbbrR94IM0NJUS5SSUNIVEVSLklRX1RPVEFMX0FTU0VUUy4yMDAwLjAxLzAxLzIwMjQuLi5VU0QuSAEAAACycg0AAgAAAAszOTMzLDY5Nzk3NAEIAAAABQAAAAExAQAAAAstMTk1MjE1NzgzNQMAAAADMTYwAgAAAAQxMDA3BAAAAAEwBwAAAAgxLzEvMjAyNAgAAAAKMTIvMzEvMjAyMwkAAAABMKJOiq3rR94IrlQptutH3ggxQ0lRLlJJQ0hURVIuSVFfQ0FTSF9FUVVJ</t>
  </si>
  <si>
    <t>Vi4yMDAwLjAxLzAxLzIwMjQuLi5VU0QuSAEAAACycg0AAgAAAAoyMzIsNjExODExAQgAAAAFAAAAATEBAAAACy0xOTUyMTU3ODM1AwAAAAMxNjACAAAABDEwOTYEAAAAATAHAAAACDEvMS8yMDI0CAAAAAoxMi8zMS8yMDIzCQAAAAEwok6KretH3giuVCm260feCC9DSVEuUklDSFRFUi5JUV9ORVRfREVCVC4yMDAwLjAxLzAxLzIwMjQuLi5VU0QuSAEAAACycg0AAgAAAAgtMSwyNTQxOQEIAAAABQAAAAExAQAAAAstMTk1MjE1NzgzNQMAAAADMTYwAgAAAAQ0MzY0BAAAAAEwBwAAAAgxLzEvMjAyNAgAAAAKMTIvMzEvMjAyMwkAAAABMKJOiq3rR94IrlQptutH3ggqQ0lRLk1UTEMuSVFfRUJJVERBLjIwMDAuMDEvMDEvMjAyNC4uLlVTRC5IAQAAAOWz82MCAAAACDYsMTc1MDA1AQgAAAAFAAAAATEBAAAACy0xOTU3ODcwOTY5AwAAAAMxNjACAAAABDQwNTEEAAAAATAHAAAACDEvMS8yMDI0CAAAAAoxMi8zMS8yMDIzCQAAAAEwrsLlrOtH3giuVCm260feCDFDSVEuTVRMQy5JUV9FQklUREFfTUFSR0lOLjIwMDAuMDEvMDEvMjAyNC4uLlVTRC5IAQAAAOWz82MCAAAABzEzLDcxMzYBCAAAAAUAAAABMQEAAAALLTE5NTc4NzA5NjkDAAAAAjI3AgAAAAQ0MDQ3BAAAAAEwBwAAAAgxLzEvMjAyNAgAAAAKMTIvMzEvMjAyMwkAAAABMK7C5azrR94IrlQptutH3ggwQ0lRLk1UTEMuSVFfVE9UQUxfQVNTRVRTLjIwMDAu</t>
  </si>
  <si>
    <t>MDEvMDEvMjAyNC4uLlVTRC5IAQAAAOWz82MCAAAACTU2LDcwNTUyNwEIAAAABQAAAAExAQAAAAstMTk1Nzg3MDk2OQMAAAADMTYwAgAAAAQxMDA3BAAAAAEwBwAAAAgxLzEvMjAyNAgAAAAKMTIvMzEvMjAyMwkAAAABMK7C5azrR94IrlQptutH3gguQ0lRLk1UTEMuSVFfQ0FTSF9FUVVJVi4yMDAwLjAxLzAxLzIwMjQuLi5VU0QuSAEAAADls/NjAgAAAAgwLDc5ODU1MQEIAAAABQAAAAExAQAAAAstMTk1Nzg3MDk2OQMAAAADMTYwAgAAAAQxMDk2BAAAAAEwBwAAAAgxLzEvMjAyNAgAAAAKMTIvMzEvMjAyMwkAAAABMK7C5azrR94IrlQptutH3ggsQ0lRLk1UTEMuSVFfTkVUX0RFQlQuMjAwMC4wMS8wMS8yMDI0Li4uVVNELkgBAAAA5bPzYwIAAAAJMjgsMDQ1NzQyAQgAAAAFAAAAATEBAAAACy0xOTU3ODcwOTY5AwAAAAMxNjACAAAABDQzNjQEAAAAATAHAAAACDEvMS8yMDI0CAAAAAoxMi8zMS8yMDIzCQAAAAEwrsLlrOtH3giuVCm260feCCpDSVEuWkVITi5JUV9FQklUREEuMjAwMC4wMS8wMS8yMDI0Li4uVVNELkgBAAAAimANAAIAAAAJOTMsNTExNjYxAQgAAAAFAAAAATEBAAAACy0xOTU3NDIyODIxAwAAAAMxNjACAAAABDQwNTEEAAAAATAHAAAACDEvMS8yMDI0CAAAAAoxMi8zMS8yMDIzCQAAAAEwBj8trutH3giuVCm260feCDFDSVEuWkVITi5JUV9FQklUREFfTUFSR0lOLjIwMDAuMDEvMDEvMjAy</t>
  </si>
  <si>
    <t>NC4uLlVTRC5IAQAAAIpgDQACAAAABzExLDA2NDYBCAAAAAUAAAABMQEAAAALLTE5NTc0MjI4MjEDAAAAAjUwAgAAAAQ0MDQ3BAAAAAEwBwAAAAgxLzEvMjAyNAgAAAAKMTIvMzEvMjAyMwkAAAABMAY/La7rR94IrlQptutH3ggwQ0lRLlpFSE4uSVFfVE9UQUxfQVNTRVRTLjIwMDAuMDEvMDEvMjAyNC4uLlVTRC5IAQAAAIpgDQACAAAACjU3MSwyMzkwODUBCAAAAAUAAAABMQEAAAALLTE5NTc0MjI4MjEDAAAAAzE2MAIAAAAEMTAwNwQAAAABMAcAAAAIMS8xLzIwMjQIAAAACjEyLzMxLzIwMjMJAAAAATAGPy2u60feCK5UKbbrR94ILkNJUS5aRUhOLklRX0NBU0hfRVFVSVYuMjAwMC4wMS8wMS8yMDI0Li4uVVNELkgBAAAAimANAAIAAAAJODUsMzMyMTU0AQgAAAAFAAAAATEBAAAACy0xOTU3NDIyODIxAwAAAAMxNjACAAAABDEwOTYEAAAAATAHAAAACDEvMS8yMDI0CAAAAAoxMi8zMS8yMDIzCQAAAAEwBj8trutH3giuVCm260feCCxDSVEuWkVITi5JUV9ORVRfREVCVC4yMDAwLjAxLzAxLzIwMjQuLi5VU0QuSAEAAACKYA0AAgAAAAotNzgsMjU3OTg2AQgAAAAFAAAAATEBAAAACy0xOTU3NDIyODIxAwAAAAMxNjACAAAABDQzNjQEAAAAATAHAAAACDEvMS8yMDI0CAAAAAoxMi8zMS8yMDIzCQAAAAEwBj8trutH3giuVCm260feCCpDSVEuQlJFRS5JUV9FQklUREEuMjAwMC4wMS8wMS8yMDI0Li4uVVNELkgB</t>
  </si>
  <si>
    <t>AAAAZDO7AgIAAAAJMjk2LDUzMDI5AQgAAAAFAAAAATEBAAAACy0xOTU1NTUwNTk3AwAAAAMxNjACAAAABDQwNTEEAAAAATAHAAAACDEvMS8yMDI0CAAAAAoxMi8zMS8yMDIzCQAAAAEwrsLlrOtH3giuVCm260feCDFDSVEuQlJFRS5JUV9FQklUREFfTUFSR0lOLjIwMDAuMDEvMDEvMjAyNC4uLlVTRC5IAQAAAGQzuwICAAAABzE1LDY1MDQBCAAAAAUAAAABMQEAAAALLTE5NTU1NTA1OTcDAAAAAjU1AgAAAAQ0MDQ3BAAAAAEwBwAAAAgxLzEvMjAyNAgAAAAKMTIvMzEvMjAyMwkAAAABMK7C5azrR94IrlQptutH3ggwQ0lRLkJSRUUuSVFfVE9UQUxfQVNTRVRTLjIwMDAuMDEvMDEvMjAyNC4uLlVTRC5IAQAAAGQzuwICAAAACzIzODUsNDg5Mzc3AQgAAAAFAAAAATEBAAAACy0xOTU1NTUwNTk3AwAAAAMxNjACAAAABDEwMDcEAAAAATAHAAAACDEvMS8yMDI0CAAAAAoxMi8zMS8yMDIzCQAAAAEwrsLlrOtH3giuVCm260feCC5DSVEuQlJFRS5JUV9DQVNIX0VRVUlWLjIwMDAuMDEvMDEvMjAyNC4uLlVTRC5IAQAAAGQzuwICAAAACjE2MSw2Mzk1NzgBCAAAAAUAAAABMQEAAAALLTE5NTU1NTA1OTcDAAAAAzE2MAIAAAAEMTA5NgQAAAABMAcAAAAIMS8xLzIwMjQIAAAACjEyLzMxLzIwMjMJAAAAATCuwuWs60feCK5UKbbrR94ILENJUS5CUkVFLklRX05FVF9ERUJULjIwMDAuMDEvMDEvMjAyNC4uLlVTRC5IAQAA</t>
  </si>
  <si>
    <t>AGQzuwICAAAACjIxNiw0MTEwNjYBCAAAAAUAAAABMQEAAAALLTE5NTU1NTA1OTcDAAAAAzE2MAIAAAAENDM2NAQAAAABMAcAAAAIMS8xLzIwMjQIAAAACjEyLzMxLzIwMjMJAAAAATCuwuWs60feCK5UKbbrR94IKkNJUS5DRE5TLklRX0VCSVREQS4yMDAwLjAxLzAxLzIwMjQuLi5VU0QuSAEAAABVZQAAAgAAAAcxNDE5LDYzAQgAAAAFAAAAATEBAAAACy0xOTU4NzU4MTIzAwAAAAMxNjACAAAABDQwNTEEAAAAATAHAAAACDEvMS8yMDI0CAAAAAoxMi8zMS8yMDIzCQAAAAEwrsLlrOtH3giuVCm260feCDFDSVEuQ0ROUy5JUV9FQklUREFfTUFSR0lOLjIwMDAuMDEvMDEvMjAyNC4uLlVTRC5IAQAAAFVlAAACAAAABzM0LDcwOTgBCAAAAAUAAAABMQEAAAALLTE5NTg3NTgxMjMDAAAAAzE2MAIAAAAENDA0NwQAAAABMAcAAAAIMS8xLzIwMjQIAAAACjEyLzMxLzIwMjMJAAAAATCuwuWs60feCPKHKrbrR94IMENJUS5DRE5TLklRX1RPVEFMX0FTU0VUUy4yMDAwLjAxLzAxLzIwMjQuLi5VU0QuSAEAAABVZQAAAgAAAAg1NjY5LDQ5MQEIAAAABQAAAAExAQAAAAstMTk1ODc1ODEyMwMAAAADMTYwAgAAAAQxMDA3BAAAAAEwBwAAAAgxLzEvMjAyNAgAAAAKMTIvMzEvMjAyMwkAAAABMK7C5azrR94I8ocqtutH3gguQ0lRLkNETlMuSVFfQ0FTSF9FUVVJVi4yMDAwLjAxLzAxLzIwMjQuLi5VU0QuSAEAAABVZQAAAgAA</t>
  </si>
  <si>
    <t>AAgxMDA4LDE1MgEIAAAABQAAAAExAQAAAAstMTk1ODc1ODEyMwMAAAADMTYwAgAAAAQxMDk2BAAAAAEwBwAAAAgxLzEvMjAyNAgAAAAKMTIvMzEvMjAyMwkAAAABMK7C5azrR94I8ocqtutH3ggsQ0lRLkNETlMuSVFfTkVUX0RFQlQuMjAwMC4wMS8wMS8yMDI0Li4uVVNELkgBAAAAVWUAAAIAAAAILTMzMiw0NzgBCAAAAAUAAAABMQEAAAALLTE5NTg3NTgxMjMDAAAAAzE2MAIAAAAENDM2NAQAAAABMAcAAAAIMS8xLzIwMjQIAAAACjEyLzMxLzIwMjMJAAAAATCuwuWs60feCPKHKrbrR94IKkNJUS5QS09ILklRX0VCSVREQS4yMDAwLjAxLzAxLzIwMjQuLi5VU0QuSAEAAABSgAQAAgAAAAUxMjQsMQEIAAAABQAAAAExAQAAAAstMTk1Njc0ODUzNwMAAAADMTYwAgAAAAQ0MDUxBAAAAAEwBwAAAAgxLzEvMjAyNAgAAAAKMTIvMzEvMjAyMwkAAAABMK7C5azrR94IlsYqtutH3ggxQ0lRLlBLT0guSVFfRUJJVERBX01BUkdJTi4yMDAwLjAxLzAxLzIwMjQuLi5VU0QuSAEAAABSgAQAAgAAAAY3LDQ3NzIBCAAAAAUAAAABMQEAAAALLTE5NTY3NDg1MzcDAAAAAzE2MAIAAAAENDA0NwQAAAABMAcAAAAIMS8xLzIwMjQIAAAACjEyLzMxLzIwMjMJAAAAATCuwuWs60feCJbGKrbrR94IMENJUS5QS09ILklRX1RPVEFMX0FTU0VUUy4yMDAwLjAxLzAxLzIwMjQuLi5VU0QuSAEAAABSgAQAAgAAAAYxMzQwLDcBCAAAAAUA</t>
  </si>
  <si>
    <t>AAABMQEAAAALLTE5NTY3NDg1MzcDAAAAAzE2MAIAAAAEMTAwNwQAAAABMAcAAAAIMS8xLzIwMjQIAAAACjEyLzMxLzIwMjMJAAAAATCuwuWs60feCJbGKrbrR94ILkNJUS5QS09ILklRX0NBU0hfRVFVSVYuMjAwMC4wMS8wMS8yMDI0Li4uVVNELkgBAAAAUoAEAAIAAAAENTQsOAEIAAAABQAAAAExAQAAAAstMTk1Njc0ODUzNwMAAAADMTYwAgAAAAQxMDk2BAAAAAEwBwAAAAgxLzEvMjAyNAgAAAAKMTIvMzEvMjAyMwkAAAABMK7C5azrR94IlsYqtutH3ggsQ0lRLlBLT0guSVFfTkVUX0RFQlQuMjAwMC4wMS8wMS8yMDI0Li4uVVNELkgBAAAAUoAEAAIAAAADNjMzAQgAAAAFAAAAATEBAAAACy0xOTU2NzQ4NTM3AwAAAAMxNjACAAAABDQzNjQEAAAAATAHAAAACDEvMS8yMDI0CAAAAAoxMi8zMS8yMDIzCQAAAAEwrsLlrOtH3giWxiq260feCClDSVEuU1BaLklRX0VCSVREQS4yMDAwLjAxLzAxLzIwMjQuLi5VU0QuSAEAAABUduUGAgAAAAg4LDE4NDY3OQEIAAAABQAAAAExAQAAAAstMTk1OTMyODg0MQMAAAADMTYwAgAAAAQ0MDUxBAAAAAEwBwAAAAgxLzEvMjAyNAgAAAAKMTIvMzEvMjAyMwkAAAABMK7C5azrR94IlsYqtutH3ggwQ0lRLlNQWi5JUV9FQklUREFfTUFSR0lOLjIwMDAuMDEvMDEvMjAyNC4uLlVTRC5IAQAAAFR25QYCAAAABjI0LDExMwEIAAAABQAAAAExAQAAAAstMTk1OTMyODg0MQMAAAAB</t>
  </si>
  <si>
    <t>OQIAAAAENDA0NwQAAAABMAcAAAAIMS8xLzIwMjQIAAAACjEyLzMxLzIwMjMJAAAAATCuwuWs60feCJbGKrbrR94IL0NJUS5TUFouSVFfVE9UQUxfQVNTRVRTLjIwMDAuMDEvMDEvMjAyNC4uLlVTRC5IAQAAAFR25QYCAAAACTM5LDAxNTE4MwEIAAAABQAAAAExAQAAAAstMTk1OTMyODg0MQMAAAADMTYwAgAAAAQxMDA3BAAAAAEwBwAAAAgxLzEvMjAyNAgAAAAKMTIvMzEvMjAyMwkAAAABMK7C5azrR94ISQYrtutH3ggtQ0lRLlNQWi5JUV9DQVNIX0VRVUlWLjIwMDAuMDEvMDEvMjAyNC4uLlVTRC5IAQAAAFR25QYCAAAACDYsNjE1ODk0AQgAAAAFAAAAATEBAAAACy0xOTU5MzI4ODQxAwAAAAMxNjACAAAABDEwOTYEAAAAATAHAAAACDEvMS8yMDI0CAAAAAoxMi8zMS8yMDIzCQAAAAEwrsLlrOtH3ghJBiu260feCCtDSVEuU1BaLklRX05FVF9ERUJULjIwMDAuMDEvMDEvMjAyNC4uLlVTRC5IAQAAAFR25QYCAAAACDQsNzEzNDU1AQgAAAAFAAAAATEBAAAACy0xOTU5MzI4ODQxAwAAAAMxNjACAAAABDQzNjQEAAAAATAHAAAACDEvMS8yMDI0CAAAAAoxMi8zMS8yMDIzCQAAAAEwrsLlrOtH3ghJBiu260feCCpDSVEuMjMwMC5JUV9FQklUREEuMjAwMC4wMS8wMS8yMDI0Li4uVVNELkgBAAAAg3GhAAIAAAAINiw1OTUzNTUBCAAAAAUAAAABMQEAAAAKMTQxOTQ4NTU5MgMAAAADMTYwAgAAAAQ0MDUxBAAAAAEw</t>
  </si>
  <si>
    <t>BwAAAAgxLzEvMjAyNAgAAAAKMTEvMzAvMjAxMAkAAAABMK7C5azrR94ISQYrtutH3ggxQ0lRLjIzMDAuSVFfRUJJVERBX01BUkdJTi4yMDAwLjAxLzAxLzIwMjQuLi5VU0QuSAEAAACDcaEAAgAAAAY3LDk3NTQBCAAAAAUAAAABMQEAAAAKMTQxOTQ4NTU5MgMAAAACNzkCAAAABDQwNDcEAAAAATAHAAAACDEvMS8yMDI0CAAAAAoxMS8zMC8yMDEwCQAAAAEwrsLlrOtH3gg5giu260feCDBDSVEuMjMwMC5JUV9UT1RBTF9BU1NFVFMuMjAwMC4wMS8wMS8yMDI0Li4uVVNELkgBAAAAg3GhAAIAAAAJNjEsNzg5MTY2AQgAAAAFAAAAATEBAAAACjE0MTk0ODU1OTIDAAAAAzE2MAIAAAAEMTAwNwQAAAABMAcAAAAIMS8xLzIwMjQIAAAACjExLzMwLzIwMTAJAAAAATCuwuWs60feCDmCK7brR94ILkNJUS4yMzAwLklRX0NBU0hfRVFVSVYuMjAwMC4wMS8wMS8yMDI0Li4uVVNELkgBAAAAg3GhAAIAAAAJMTcsODIyNzQ1AQgAAAAFAAAAATEBAAAACjE0MTk0ODU1OTIDAAAAAzE2MAIAAAAEMTA5NgQAAAABMAcAAAAIMS8xLzIwMjQIAAAACjExLzMwLzIwMTAJAAAAATCuwuWs60feCNREK7brR94ILENJUS4yMzAwLklRX05FVF9ERUJULjIwMDAuMDEvMDEvMjAyNC4uLlVTRC5IAQAAAINxoQACAAAACi0xNSw3MjA4OTUBCAAAAAUAAAABMQEAAAAKMTQxOTQ4NTU5MgMAAAADMTYwAgAAAAQ0MzY0BAAAAAEwBwAAAAgxLzEv</t>
  </si>
  <si>
    <t>MjAyNAgAAAAKMTEvMzAvMjAxMAkAAAABMK7C5azrR94I1EQrtutH3ggqQ0lRLkhMTUEuSVFfRUJJVERBLjIwMDAuMDEvMDEvMjAyNC4uLlVTRC5IAQAAADRZDQACAAAACjU1MSw5MTgyNzYBCAAAAAUAAAABMQEAAAALLTE5MzcxMzgwNTgDAAAAAzE2MAIAAAAENDA1MQQAAAABMAcAAAAIMS8xLzIwMjQIAAAACjEyLzMxLzIwMjMJAAAAATDuZfis60feCPbAK7brR94IMUNJUS5ITE1BLklRX0VCSVREQV9NQVJHSU4uMjAwMC4wMS8wMS8yMDI0Li4uVVNELkgBAAAANFkNAAIAAAAHMjEsODczMwEIAAAABQAAAAExAQAAAAstMTkzNzEzODA1OAMAAAACNTUCAAAABDQwNDcEAAAAATAHAAAACDEvMS8yMDI0CAAAAAoxMi8zMS8yMDIzCQAAAAEw7mX4rOtH3gj2wCu260feCDBDSVEuSExNQS5JUV9UT1RBTF9BU1NFVFMuMjAwMC4wMS8wMS8yMDI0Li4uVVNELkgBAAAANFkNAAIAAAALMzgyMSwxMzkyNDcBCAAAAAUAAAABMQEAAAALLTE5MzcxMzgwNTgDAAAAAzE2MAIAAAAEMTAwNwQAAAABMAcAAAAIMS8xLzIwMjQIAAAACjEyLzMxLzIwMjMJAAAAATDuZfis60feCPbAK7brR94ILkNJUS5ITE1BLklRX0NBU0hfRVFVSVYuMjAwMC4wMS8wMS8yMDI0Li4uVVNELkgBAAAANFkNAAIAAAAKMTgxLDc2NDkxNgEIAAAABQAAAAExAQAAAAstMTkzNzEzODA1OAMAAAADMTYwAgAAAAQxMDk2BAAAAAEwBwAAAAgxLzEvMjAy</t>
  </si>
  <si>
    <t>NAgAAAAKMTIvMzEvMjAyMwkAAAABMO5l+KzrR94I9sArtutH3ggsQ0lRLkhMTUEuSVFfTkVUX0RFQlQuMjAwMC4wMS8wMS8yMDI0Li4uVVNELkgBAAAANFkNAAIAAAAKODMyLDAxNzExOQEIAAAABQAAAAExAQAAAAstMTkzNzEzODA1OAMAAAADMTYwAgAAAAQ0MzY0BAAAAAEwBwAAAAgxLzEvMjAyNAgAAAAKMTIvMzEvMjAyMwkAAAABMO5l+KzrR94I9sArtutH3ggrQ0lRLlZJU1ROLklRX0VCSVREQS4yMDAwLjAxLzAxLzIwMjQuLi5VU0QuSAEAAADufDARAgAAAAg4LDM3MTgzNQEIAAAABQAAAAExAQAAAAstMTk0NzE2MTkyMwMAAAADMTYwAgAAAAQ0MDUxBAAAAAEwBwAAAAgxLzEvMjAyNAgAAAAKMTIvMzEvMjAyMwkAAAABML3p5azrR94I9sArtutH3ggyQ0lRLlZJU1ROLklRX0VCSVREQV9NQVJHSU4uMjAwMC4wMS8wMS8yMDI0Li4uVVNELkgBAAAA7nwwEQIAAAAHMTksMzY3NAEIAAAABQAAAAExAQAAAAstMTk0NzE2MTkyMwMAAAADMTE3AgAAAAQ0MDQ3BAAAAAEwBwAAAAgxLzEvMjAyNAgAAAAKMTIvMzEvMjAyMwkAAAABML3p5azrR94IQv8rtutH3ggxQ0lRLlZJU1ROLklRX1RPVEFMX0FTU0VUUy4yMDAwLjAxLzAxLzIwMjQuLi5VU0QuSAEAAADufDARAgAAAAkzOSw3ODE0MjcBCAAAAAUAAAABMQEAAAALLTE5NDcxNjE5MjMDAAAAAzE2MAIAAAAEMTAwNwQAAAABMAcAAAAIMS8xLzIwMjQIAAAA</t>
  </si>
  <si>
    <t>CjEyLzMxLzIwMjMJAAAAATC96eWs60feCEL/K7brR94IL0NJUS5WSVNUTi5JUV9DQVNIX0VRVUlWLjIwMDAuMDEvMDEvMjAyNC4uLlVTRC5IAQAAAO58MBECAAAACDIsNTg0MTQyAQgAAAAFAAAAATEBAAAACy0xOTQ3MTYxOTIzAwAAAAMxNjACAAAABDEwOTYEAAAAATAHAAAACDEvMS8yMDI0CAAAAAoxMi8zMS8yMDIzCQAAAAEwvenlrOtH3ghC/yu260feCC1DSVEuVklTVE4uSVFfTkVUX0RFQlQuMjAwMC4wMS8wMS8yMDI0Li4uVVNELkgBAAAA7nwwEQIAAAAJLTIsNTg0MTQyAQgAAAAFAAAAATEBAAAACy0xOTQ3MTYxOTIzAwAAAAMxNjACAAAABDQzNjQEAAAAATAHAAAACDEvMS8yMDI0CAAAAAoxMi8zMS8yMDIzCQAAAAEwvenlrOtH3ghC/yu260feCClDSVEuS1JNLklRX0VCSVREQS4yMDAwLjAxLzAxLzIwMjQuLi5VU0QuSAEAAAArelYhAgAAAAktNSw3NDk3MzMBCAAAAAUAAAABMQEAAAALLTE5MzkyODcxNzcDAAAAAzE2MAIAAAAENDA1MQQAAAABMAcAAAAIMS8xLzIwMjQIAAAACjEyLzMxLzIwMjMJAAAAATC96eWs60feCCA+LLbrR94IMENJUS5LUk0uSVFfRUJJVERBX01BUkdJTi4yMDAwLjAxLzAxLzIwMjQuLi5VU0QuSAEAAAArelYhAgAAAAgtODUsNzE5NwEIAAAABQAAAAExAQAAAAstMTkzOTI4NzE3NwMAAAACNTUCAAAABDQwNDcEAAAAATAHAAAACDEvMS8yMDI0CAAAAAoxMi8zMS8yMDIz</t>
  </si>
  <si>
    <t>CQAAAAEwvenlrOtH3gggPiy260feCC9DSVEuS1JNLklRX1RPVEFMX0FTU0VUUy4yMDAwLjAxLzAxLzIwMjQuLi5VU0QuSAEAAAArelYhAgAAAAg5LDk0MjkzNgEIAAAABQAAAAExAQAAAAstMTkzOTI4NzE3NwMAAAADMTYwAgAAAAQxMDA3BAAAAAEwBwAAAAgxLzEvMjAyNAgAAAAKMTIvMzEvMjAyMwkAAAABML3p5azrR94IID4stutH3ggtQ0lRLktSTS5JUV9DQVNIX0VRVUlWLjIwMDAuMDEvMDEvMjAyNC4uLlVTRC5IAQAAACt6ViECAAAACDEsMTI4NTQ3AQgAAAAFAAAAATEBAAAACy0xOTM5Mjg3MTc3AwAAAAMxNjACAAAABDEwOTYEAAAAATAHAAAACDEvMS8yMDI0CAAAAAoxMi8zMS8yMDIzCQAAAAEwvenlrOtH3gggPiy260feCCtDSVEuS1JNLklRX05FVF9ERUJULjIwMDAuMDEvMDEvMjAyNC4uLlVTRC5IAQAAACt6ViECAAAACDQsNzkwNTk1AQgAAAAFAAAAATEBAAAACy0xOTM5Mjg3MTc3AwAAAAMxNjACAAAABDQzNjQEAAAAATAHAAAACDEvMS8yMDI0CAAAAAoxMi8zMS8yMDIzCQAAAAEwvenlrOtH3gggPiy260feCDBDSVEuQVVUT1dBTExJUy5JUV9FQklUREEuMjAwMC4wMS8wMS8yMDI0Li4uVVNELkgBAAAARZ1nDgIAAAAJNDcsNjc2NTY0AQgAAAAFAAAAATEBAAAACy0xOTQyMTMwMTg1AwAAAAMxNjACAAAABDQwNTEEAAAAATAHAAAACDEvMS8yMDI0CAAAAAoxMi8zMS8yMDIzCQAAAAEwvenl</t>
  </si>
  <si>
    <t>rOtH3gggPiy260feCDdDSVEuQVVUT1dBTExJUy5JUV9FQklUREFfTUFSR0lOLjIwMDAuMDEvMDEvMjAyNC4uLlVTRC5IAQAAAEWdZw4CAAAABjQsNTAxMgEIAAAABQAAAAExAQAAAAstMTk0MjEzMDE4NQMAAAACNjgCAAAABDQwNDcEAAAAATAHAAAACDEvMS8yMDI0CAAAAAoxMi8zMS8yMDIzCQAAAAEwvenlrOtH3gggPiy260feCDZDSVEuQVVUT1dBTExJUy5JUV9UT1RBTF9BU1NFVFMuMjAwMC4wMS8wMS8yMDI0Li4uVVNELkgBAAAARZ1nDgIAAAAKNDM5LDEwNTI1NgEIAAAABQAAAAExAQAAAAstMTk0MjEzMDE4NQMAAAADMTYwAgAAAAQxMDA3BAAAAAEwBwAAAAgxLzEvMjAyNAgAAAAKMTIvMzEvMjAyMwkAAAABML3p5azrR94IzHwstutH3gg0Q0lRLkFVVE9XQUxMSVMuSVFfQ0FTSF9FUVVJVi4yMDAwLjAxLzAxLzIwMjQuLi5VU0QuSAEAAABFnWcOAgAAAAkzNyw4NDgyMjEBCAAAAAUAAAABMQEAAAALLTE5NDIxMzAxODUDAAAAAzE2MAIAAAAEMTA5NgQAAAABMAcAAAAIMS8xLzIwMjQIAAAACjEyLzMxLzIwMjMJAAAAATC96eWs60feCMx8LLbrR94IMkNJUS5BVVRPV0FMTElTLklRX05FVF9ERUJULjIwMDAuMDEvMDEvMjAyNC4uLlVTRC5IAQAAAEWdZw4CAAAACjEzMSw1NTQxNDEBCAAAAAUAAAABMQEAAAALLTE5NDIxMzAxODUDAAAAAzE2MAIAAAAENDM2NAQAAAABMAcAAAAIMS8xLzIwMjQIAAAA</t>
  </si>
  <si>
    <t>CjEyLzMxLzIwMjMJAAAAATC96eWs60feCMx8LLbrR94IKkNJUS4xMTcxLklRX0VCSVREQS4yMDAwLjAxLzAxLzIwMjQuLi5VU0QuSAEAAABZ6QUAAgAAAAs3NDMxLDk4MDk5OQEIAAAABQAAAAExAQAAAAstMTk1MjcwNzc5NQMAAAADMTYwAgAAAAQ0MDUxBAAAAAEwBwAAAAgxLzEvMjAyNAgAAAAKMTIvMzEvMjAyMwkAAAABML3p5azrR94Ieo8stutH3ggxQ0lRLjExNzEuSVFfRUJJVERBX01BUkdJTi4yMDAwLjAxLzAxLzIwMjQuLi5VU0QuSAEAAABZ6QUAAgAAAAYzNSwxMTcBCAAAAAUAAAABMQEAAAALLTE5NTI3MDc3OTUDAAAAAjMyAgAAAAQ0MDQ3BAAAAAEwBwAAAAgxLzEvMjAyNAgAAAAKMTIvMzEvMjAyMwkAAAABML3p5azrR94IB7cstutH3ggwQ0lRLjExNzEuSVFfVE9UQUxfQVNTRVRTLjIwMDAuMDEvMDEvMjAyNC4uLlVTRC5IAQAAAFnpBQACAAAADDQ5OTg4LDYyNDM1NAEIAAAABQAAAAExAQAAAAstMTk1MjcwNzc5NQMAAAADMTYwAgAAAAQxMDA3BAAAAAEwBwAAAAgxLzEvMjAyNAgAAAAKMTIvMzEvMjAyMwkAAAABML3p5azrR94IB7cstutH3gguQ0lRLjExNzEuSVFfQ0FTSF9FUVVJVi4yMDAwLjAxLzAxLzIwMjQuLi5VU0QuSAEAAABZ6QUAAgAAAAo1MzE1LDQ0NTg2AQgAAAAFAAAAATEBAAAACy0xOTUyNzA3Nzk1AwAAAAMxNjACAAAABDEwOTYEAAAAATAHAAAACDEvMS8yMDI0CAAAAAox</t>
  </si>
  <si>
    <t>Mi8zMS8yMDIzCQAAAAEwvenlrOtH3gh6jyy260feCCxDSVEuMTE3MS5JUV9ORVRfREVCVC4yMDAwLjAxLzAxLzIwMjQuLi5VU0QuSAEAAABZ6QUAAgAAAAs4NzE2LDQ2MDU0NQEIAAAABQAAAAExAQAAAAstMTk1MjcwNzc5NQMAAAADMTYwAgAAAAQ0MzY0BAAAAAEwBwAAAAgxLzEvMjAyNAgAAAAKMTIvMzEvMjAyMwkAAAABML3p5azrR94Ieo8stutH3ggpQ0lRLlROQy5JUV9FQklUREEuMjAwMC4wMS8wMS8yMDI0Li4uVVNELkgBAAAARrIEAAIAAAAFMTkyLDYBCAAAAAUAAAABMQEAAAALLTE5NTkxNTQ3MjcDAAAAAzE2MAIAAAAENDA1MQQAAAABMAcAAAAIMS8xLzIwMjQIAAAACjEyLzMxLzIwMjMJAAAAATC96eWs60feCAe3LLbrR94IMENJUS5UTkMuSVFfRUJJVERBX01BUkdJTi4yMDAwLjAxLzAxLzIwMjQuLi5VU0QuSAEAAABGsgQAAgAAAAcxNSw0ODcyAQgAAAAFAAAAATEBAAAACy0xOTU5MTU0NzI3AwAAAAMxNjACAAAABDQwNDcEAAAAATAHAAAACDEvMS8yMDI0CAAAAAoxMi8zMS8yMDIzCQAAAAEwvenlrOtH3ggHtyy260feCC9DSVEuVE5DLklRX1RPVEFMX0FTU0VUUy4yMDAwLjAxLzAxLzIwMjQuLi5VU0QuSAEAAABGsgQAAgAAAAYxMTEzLDQBCAAAAAUAAAABMQEAAAALLTE5NTkxNTQ3MjcDAAAAAzE2MAIAAAAEMTAwNwQAAAABMAcAAAAIMS8xLzIwMjQIAAAACjEyLzMxLzIwMjMJAAAAATC9</t>
  </si>
  <si>
    <t>6eWs60feCAe3LLbrR94ILUNJUS5UTkMuSVFfQ0FTSF9FUVVJVi4yMDAwLjAxLzAxLzIwMjQuLi5VU0QuSAEAAABGsgQAAgAAAAUxMTcsMQEIAAAABQAAAAExAQAAAAstMTk1OTE1NDcyNwMAAAADMTYwAgAAAAQxMDk2BAAAAAEwBwAAAAgxLzEvMjAyNAgAAAAKMTIvMzEvMjAyMwkAAAABML3p5azrR94IB7cstutH3ggrQ0lRLlROQy5JUV9ORVRfREVCVC4yMDAwLjAxLzAxLzIwMjQuLi5VU0QuSAEAAABGsgQAAgAAAAUxMjYsNAEIAAAABQAAAAExAQAAAAstMTk1OTE1NDcyNwMAAAADMTYwAgAAAAQ0MzY0BAAAAAEwBwAAAAgxLzEvMjAyNAgAAAAKMTIvMzEvMjAyMwkAAAABML3p5azrR94IR/kstutH3ggqQ0lRLkxVQ0UuSVFfRUJJVERBLjIwMDAuMDEvMDEvMjAyNC4uLlVTRC5IAQAAACb/HBgCAAAACTM1LDE1NTY1MwEIAAAABQAAAAExAQAAAAstMTk1MzY2NjkwMwMAAAADMTYwAgAAAAQ0MDUxBAAAAAEwBwAAAAgxLzEvMjAyNAgAAAAKMTIvMzEvMjAyMwkAAAABML3p5azrR94IR/kstutH3ggxQ0lRLkxVQ0UuSVFfRUJJVERBX01BUkdJTi4yMDAwLjAxLzAxLzIwMjQuLi5VU0QuSAEAAAAm/xwYAgAAAAcxMywyMDU3AQgAAAAFAAAAATEBAAAACy0xOTUzNjY2OTAzAwAAAAI1NQIAAAAENDA0NwQAAAABMAcAAAAIMS8xLzIwMjQIAAAACjEyLzMxLzIwMjMJAAAAATC96eWs60feCEf5LLbrR94IKENJUS5I</t>
  </si>
  <si>
    <t>RU1QLklRX0xBU1RTQUxFUFJJQ0UuMTQvMDQvMjAyNC5VU0QBAAAAJ/KWAwIAAAAFMUUtMDYAu97wrOtH3ghiJRS260feCChDSVEuSEVNUC5JUV9MQVNUU0FMRVBSSUNFLjEzLzA0LzIwMjQuVVNEAQAAACfylgMCAAAABTFFLTA2ALve8KzrR94IdPoTtutH3ggoQ0lRLkhFTVAuSVFfTEFTVFNBTEVQUklDRS4xMi8wNC8yMDI0LlVTRAEAAAAn8pYDAgAAAAUxRS0wNgC73vCs60feCGIlFLbrR94IKENJUS5IRU1QLklRX0xBU1RTQUxFUFJJQ0UuMTEvMDQvMjAyNC5VU0QBAAAAJ/KWAwIAAAAFMUUtMDYAu97wrOtH3ghiJRS260feCChDSVEuSEVNUC5JUV9MQVNUU0FMRVBSSUNFLjE2LzA0LzIwMjQuVVNEAQAAACfylgMCAAAABTVFLTA1ALve8KzrR94IyU8UtutH3ggoQ0lRLkhFTVAuSVFfTEFTVFNBTEVQUklDRS4xNy8wNC8yMDI0LlVTRAEAAAAn8pYDAgAAAAUxRS0wNgC73vCs60feCMlPFLbrR94IKENJUS5IRU1QLklRX0xBU1RTQUxFUFJJQ0UuMTgvMDQvMjAyNC5VU0QBAAAAJ/KWAwIAAAAFMUUtMDYAu97wrOtH3ghiJRS260feCChDSVEuSEVNUC5JUV9MQVNUU0FMRVBSSUNFLjE5LzA0LzIwMjQuVVNEAQAAACfylgMCAAAABTFFLTA2ALve8KzrR94IyU8UtutH3ggoQ0lRLkhFTVAuSVFfTEFTVFNBTEVQUklDRS4wOC8wNC8yMDI0LlVTRAEAAAAn8pYDAgAAAAUxRS0wNgC73vCs60feCGIlFLbrR94IKENJ</t>
  </si>
  <si>
    <t>US5IRU1QLklRX0xBU1RTQUxFUFJJQ0UuMjIvMDQvMjAyNC5VU0QBAAAAJ/KWAwIAAAAFMUUtMDYAu97wrOtH3gjJTxS260feCCdDSVEuSFVELklRX0xBU1RTQUxFUFJJQ0UuMTEvMDQvMjAyNC5VU0QBAAAApfiIIAIAAAAOMCwwMzI1MzM3NTM3NzIAu97wrOtH3gjJTxS260feCCdDSVEuSFVELklRX0xBU1RTQUxFUFJJQ0UuMTAvMDQvMjAyNC5VU0QBAAAApfiIIAIAAAANMCwwMzI2Mjc2NTU3MQC73vCs60feCMlPFLbrR94IJ0NJUS5IVUQuSVFfTEFTVFNBTEVQUklDRS4wOS8wNC8yMDI0LlVTRAEAAACl+IggAgAAAA4wLDAzMTA0MDU1NTQyNwC73vCs60feCMlPFLbrR94IJ0NJUS5IVUQuSVFfTEFTVFNBTEVQUklDRS4wOC8wNC8yMDI0LlVTRAEAAACl+IggAgAAAA4wLDAyOTcyODAyMDI0MwC73vCs60feCMlPFLbrR94IJ0NJUS5IVUQuSVFfTEFTVFNBTEVQUklDRS4xMy8wNC8yMDI0LlVTRAEAAACl+IggAgAAAA4wLDAzNDg1NDA0ODY4NAC73vCs60feCDV6FLbrR94IJ0NJUS5IVUQuSVFfTEFTVFNBTEVQUklDRS4xNC8wNC8yMDI0LlVTRAEAAACl+IggAgAAAA4wLDAzNDg1NDA0ODY4NAC73vCs60feCMlPFLbrR94IJ0NJUS5IVUQuSVFfTEFTVFNBTEVQUklDRS4xNS8wNC8yMDI0LlVTRAEAAACl+IggAgAAAA4wLDAzNDI2MjM2MjQ3NQC73vCs60feCDV6FLbrR94IJ0NJUS5IVUQuSVFfTEFTVFNBTEVQ</t>
  </si>
  <si>
    <t>UklDRS4xNi8wNC8yMDI0LlVTRAEAAACl+IggAgAAAA4wLDAzNTQzOTM4NjIyNgC73vCs60feCDV6FLbrR94IJ0NJUS5IVUQuSVFfTEFTVFNBTEVQUklDRS4wNS8wNC8yMDI0LlVTRAEAAACl+IggAgAAAA8wLDAyOTY2MzEwMjg3OTUAu97wrOtH3gg1ehS260feCCdDSVEuSFVELklRX0xBU1RTQUxFUFJJQ0UuMTkvMDQvMjAyNC5VU0QBAAAApfiIIAIAAAAOMCwwMzg0ODIwNjg2MTIAu97wrOtH3gg1ehS260feCCpDSVEuU0RJUCBCLklRX0xBU1RTQUxFUFJJQ0UuMTAvMDQvMjAyNC5VU0QBAAAA9aLIBgIAAAANMjMsNTc1NjAxOTIzMgC73vCs60feCISkFLbrR94IKkNJUS5TRElQIEIuSVFfTEFTVFNBTEVQUklDRS4wOS8wNC8yMDI0LlVTRAEAAAD1osgGAgAAAA0yNCwxNDc3NzgzNzEyALve8KzrR94IhKQUtutH3ggqQ0lRLlNESVAgQi5JUV9MQVNUU0FMRVBSSUNFLjA4LzA0LzIwMjQuVVNEAQAAAPWiyAYCAAAADDI0LDUyNTM1Mzg3NAC73vCs60feCISkFLbrR94IKkNJUS5TRElQIEIuSVFfTEFTVFNBTEVQUklDRS4wNy8wNC8yMDI0LlVTRAEAAAD1osgGAgAAAA0yNCwzMjI0MTY4NTg0ALve8KzrR94IhKQUtutH3ggqQ0lRLlNESVAgQi5JUV9MQVNUU0FMRVBSSUNFLjEyLzA0LzIwMjQuVVNEAQAAAPWiyAYCAAAADDIyLDU3MjkyODUxMgC73vCs60feCDV6FLbrR94IKkNJUS5TRElQIEIuSVFfTEFTVFNB</t>
  </si>
  <si>
    <t>TEVQUklDRS4xMy8wNC8yMDI0LlVTRAEAAAD1osgGAgAAAAwyMiw1NzI5Mjg1MTIAu97wrOtH3gg1ehS260feCCpDSVEuU0RJUCBCLklRX0xBU1RTQUxFUFJJQ0UuMTQvMDQvMjAyNC5VU0QBAAAA9aLIBgIAAAAMMjIsNTcyOTI4NTEyALve8KzrR94IhKQUtutH3ggqQ0lRLlNESVAgQi5JUV9MQVNUU0FMRVBSSUNFLjE1LzA0LzIwMjQuVVNEAQAAAPWiyAYCAAAADTIzLDIyMzQ0MzMxNzIAu97wrOtH3giEpBS260feCCpDSVEuU0RJUCBCLklRX0xBU1RTQUxFUFJJQ0UuMDQvMDQvMjAyNC5VU0QBAAAA9aLIBgIAAAANMjQsOTk5MjkwNzQ1NgC73vCs60feCDV6FLbrR94IKkNJUS5TRElQIEIuSVFfTEFTVFNBTEVQUklDRS4xOC8wNC8yMDI0LlVTRAEAAAD1osgGAgAAAA0yMiwwOTczNDM2ODg4ALve8KzrR94INXoUtutH3ggoQ0lRLk5DQUIuSVFfTEFTVFNBTEVQUklDRS4xMC8wNC8yMDI0LlVTRAEAAADWXv8EAgAAAA01LDg3MDU4NjAwMTA1ALve8KzrR94I484UtutH3ggoQ0lRLk5DQUIuSVFfTEFTVFNBTEVQUklDRS4wOS8wNC8yMDI0LlVTRAEAAADWXv8EAgAAAAw2LDMzMDI3NTc1NjQAu97wrOtH3giEpBS260feCChDSVEuTkNBQi5JUV9MQVNUU0FMRVBSSUNFLjA4LzA0LzIwMjQuVVNEAQAAANZe/wQCAAAADDYsMzM5NjYxOTM3NwC73vCs60feCOPOFLbrR94IKENJUS5OQ0FCLklRX0xBU1RTQUxFUFJJ</t>
  </si>
  <si>
    <t>Q0UuMDcvMDQvMjAyNC5VU0QBAAAA1l7/BAIAAAAMNiwxMjI4OTU4OTc3ALve8KzrR94I484UtutH3ggoQ0lRLk5DQUIuSVFfTEFTVFNBTEVQUklDRS4xMi8wNC8yMDI0LlVTRAEAAADWXv8EAgAAAAw1LDY4NDUyNDA3MDQAu97wrOtH3gjjzhS260feCChDSVEuTkNBQi5JUV9MQVNUU0FMRVBSSUNFLjEzLzA0LzIwMjQuVVNEAQAAANZe/wQCAAAADDUsNjg0NTI0MDcwNAC73vCs60feCOPOFLbrR94IKENJUS5OQ0FCLklRX0xBU1RTQUxFUFJJQ0UuMTQvMDQvMjAyNC5VU0QBAAAA1l7/BAIAAAAMNSw2ODQ1MjQwNzA0ALve8KzrR94I484UtutH3ggoQ0lRLk5DQUIuSVFfTEFTVFNBTEVQUklDRS4xNS8wNC8yMDI0LlVTRAEAAADWXv8EAgAAAAw1LDY5MDkzODgwMTgAu97wrOtH3gjjzhS260feCChDSVEuTkNBQi5JUV9MQVNUU0FMRVBSSUNFLjA0LzA0LzIwMjQuVVNEAQAAANZe/wQCAAAADDYsNDI0NzQyMDgwOAC73vCs60feCOPOFLbrR94IKENJUS5OQ0FCLklRX0xBU1RTQUxFUFJJQ0UuMTgvMDQvMjAyNC5VU0QBAAAA1l7/BAIAAAAMNSw3MTY1NjYzMzU0ALve8KzrR94Io/kUtutH3ggqQ0lRLkFUVElDQS5JUV9MQVNUU0FMRVBSSUNFLjA5LzA0LzIwMjQuVVNEAQAAAF94DQACAAAADTIsNTI5MzA5NTk1NjcAu97wrOtH3gij+RS260feCCpDSVEuQVRUSUNBLklRX0xBU1RTQUxFUFJJQ0UuMDgvMDQvMjAy</t>
  </si>
  <si>
    <t>NC5VU0QBAAAAX3gNAAIAAAANMiw1NTEwMjA0MDc2NQC73vCs60feCKP5FLbrR94IKkNJUS5BVFRJQ0EuSVFfTEFTVFNBTEVQUklDRS4wNy8wNC8yMDI0LlVTRAEAAABfeA0AAgAAAA0yLDUzMzgzODY1NzIyALve8KzrR94Io/kUtutH3ggqQ0lRLkFUVElDQS5JUV9MQVNUU0FMRVBSSUNFLjA2LzA0LzIwMjQuVVNEAQAAAF94DQACAAAADTIsNTMzODM4NjU3MjIAu97wrOtH3gij+RS260feCCpDSVEuQVRUSUNBLklRX0xBU1RTQUxFUFJJQ0UuMTEvMDQvMjAyNC5VU0QBAAAAX3gNAAIAAAANMiw0NzQwMjgwNTk1OAC73vCs60feCKP5FLbrR94IKkNJUS5BVFRJQ0EuSVFfTEFTVFNBTEVQUklDRS4xMi8wNC8yMDI0LlVTRAEAAABfeA0AAgAAAA0yLDQzNTkxMTA3MzU0ALve8KzrR94Io/kUtutH3ggqQ0lRLkFUVElDQS5JUV9MQVNUU0FMRVBSSUNFLjEzLzA0LzIwMjQuVVNEAQAAAF94DQACAAAADTIsNDM1OTExMDczNTQAu97wrOtH3gij+RS260feCCpDSVEuQVRUSUNBLklRX0xBU1RTQUxFUFJJQ0UuMTQvMDQvMjAyNC5VU0QBAAAAX3gNAAIAAAANMiw0MzU5MTEwNzM1NAC73vCs60feCLsjFbbrR94IKkNJUS5BVFRJQ0EuSVFfTEFTVFNBTEVQUklDRS4wMy8wNC8yMDI0LlVTRAEAAABfeA0AAgAAAAwyLDQ5MDc5NDg4NzcAu97wrOtH3gi7IxW260feCCpDSVEuQVRUSUNBLklRX0xBU1RTQUxFUFJJQ0UuMTcv</t>
  </si>
  <si>
    <t>MDQvMjAyNC5VU0QBAAAAX3gNAAIAAAANMiw0MTUxNTA1NDg3MQC73vCs60feCLsjFbbrR94IJ0NJUS5QTE4uSVFfTEFTVFNBTEVQUklDRS4wOS8wNC8yMDI0LlVTRAEAAADageEKAgAAAAw1LDUzNjI1NzA1NDkAtAXxrOtH3ggWThW260feCCdDSVEuUExOLklRX0xBU1RTQUxFUFJJQ0UuMDgvMDQvMjAyNC5VU0QBAAAA2oHhCgIAAAAMNSw2NDQ4MTExMTQ4ALQF8azrR94IFk4VtutH3ggnQ0lRLlBMTi5JUV9MQVNUU0FMRVBSSUNFLjA3LzA0LzIwMjQuVVNEAQAAANqB4QoCAAAADDUsNjMwNzUyNTcxNgC0BfGs60feCLsjFbbrR94IJ0NJUS5QTE4uSVFfTEFTVFNBTEVQUklDRS4wNi8wNC8yMDI0LlVTRAEAAADageEKAgAAAAw1LDYzMDc1MjU3MTYAtAXxrOtH3ggWThW260feCCdDSVEuUExOLklRX0xBU1RTQUxFUFJJQ0UuMTEvMDQvMjAyNC5VU0QBAAAA2oHhCgIAAAAMNSw1NjkyNDA2NTM2ALQF8azrR94IuyMVtutH3ggnQ0lRLlBMTi5JUV9MQVNUU0FMRVBSSUNFLjEyLzA0LzIwMjQuVVNEAQAAANqB4QoCAAAADDUsNDc4MTQwNjIzOQC0BfGs60feCLsjFbbrR94IJ0NJUS5QTE4uSVFfTEFTVFNBTEVQUklDRS4xMy8wNC8yMDI0LlVTRAEAAADageEKAgAAAAw1LDQ3ODE0MDYyMzkAtAXxrOtH3gi7IxW260feCCdDSVEuUExOLklRX0xBU1RTQUxFUFJJQ0UuMTQvMDQvMjAyNC5VU0QBAAAA2oHhCgIAAAAM</t>
  </si>
  <si>
    <t>NSw0NzgxNDA2MjM5ALQF8azrR94IFk4VtutH3ggnQ0lRLlBMTi5JUV9MQVNUU0FMRVBSSUNFLjAzLzA0LzIwMjQuVVNEAQAAANqB4QoCAAAADTUsNTc3MjE0NjM5ODUAtAXxrOtH3gi7IxW260feCCdDSVEuUExOLklRX0xBU1RTQUxFUFJJQ0UuMTcvMDQvMjAyNC5VU0QBAAAA2oHhCgIAAAANNSw0NzkzMDYzMTA5NQC0BfGs60feCLsjFbbrR94IJkNJUS5ERS5JUV9MQVNUU0FMRVBSSUNFLjA5LzA0LzIwMjQuVVNEAQAAAIAPBAACAAAABjQxMSw0OAC0BfGs60feCDx9FbbrR94IJkNJUS5ERS5JUV9MQVNUU0FMRVBSSUNFLjA4LzA0LzIwMjQuVVNEAQAAAIAPBAACAAAABjQxMCw3NQC0BfGs60feCBZOFbbrR94IJkNJUS5ERS5JUV9MQVNUU0FMRVBSSUNFLjA3LzA0LzIwMjQuVVNEAQAAAIAPBAACAAAABjQxMiw1NAC0BfGs60feCDx9FbbrR94IJkNJUS5ERS5JUV9MQVNUU0FMRVBSSUNFLjA2LzA0LzIwMjQuVVNEAQAAAIAPBAACAAAABjQxMiw1NAC0BfGs60feCBZOFbbrR94IJkNJUS5ERS5JUV9MQVNUU0FMRVBSSUNFLjExLzA0LzIwMjQuVVNEAQAAAIAPBAACAAAABjQxMiw4NAC0BfGs60feCDx9FbbrR94IJkNJUS5ERS5JUV9MQVNUU0FMRVBSSUNFLjEyLzA0LzIwMjQuVVNEAQAAAIAPBAACAAAABjM5NywyNwC0BfGs60feCDx9FbbrR94IJkNJUS5ERS5JUV9MQVNUU0FMRVBSSUNFLjEzLzA0LzIwMjQu</t>
  </si>
  <si>
    <t>VVNEAQAAAIAPBAACAAAABjM5NywyNwC0BfGs60feCBZOFbbrR94IJkNJUS5ERS5JUV9MQVNUU0FMRVBSSUNFLjE0LzA0LzIwMjQuVVNEAQAAAIAPBAACAAAABjM5NywyNwC0BfGs60feCDx9FbbrR94IJkNJUS5ERS5JUV9MQVNUU0FMRVBSSUNFLjAzLzA0LzIwMjQuVVNEAQAAAIAPBAACAAAABjQwNiwwMwC0BfGs60feCBZOFbbrR94IJkNJUS5ERS5JUV9MQVNUU0FMRVBSSUNFLjE3LzA0LzIwMjQuVVNEAQAAAIAPBAACAAAABjM5Niw4OAC0BfGs60feCBGmFbbrR94IKUNJUS5DTEVNTy5JUV9MQVNUU0FMRVBSSUNFLjA5LzA0LzIwMjQuVVNEAQAAAMIx3BMCAAAADDAsMTMyNDcyMTM4NAC0BfGs60feCBGmFbbrR94IKUNJUS5DTEVNTy5JUV9MQVNUU0FMRVBSSUNFLjA4LzA0LzIwMjQuVVNEAQAAAMIx3BMCAAAADTAsMTI4NzgxNzgwOTYAtAXxrOtH3ggRphW260feCClDSVEuQ0xFTU8uSVFfTEFTVFNBTEVQUklDRS4wNy8wNC8yMDI0LlVTRAEAAADCMdwTAgAAAA0wLDExNjA2NzE3NDczALQF8azrR94IEaYVtutH3ggpQ0lRLkNMRU1PLklRX0xBU1RTQUxFUFJJQ0UuMDYvMDQvMjAyNC5VU0QBAAAAwjHcEwIAAAANMCwxMTYwNjcxNzQ3MwC0BfGs60feCBGmFbbrR94IKUNJUS5DTEVNTy5JUV9MQVNUU0FMRVBSSUNFLjExLzA0LzIwMjQuVVNEAQAAAMIx3BMCAAAADTAsMTM4MTQ3NjcxNDIAtAXxrOtH3gg8</t>
  </si>
  <si>
    <t>fRW260feCClDSVEuQ0xFTU8uSVFfTEFTVFNBTEVQUklDRS4xMi8wNC8yMDI0LlVTRAEAAADCMdwTAgAAAAwwLDEyODQ2MzgyMDgAtAXxrOtH3ggRphW260feCClDSVEuQ0xFTU8uSVFfTEFTVFNBTEVQUklDRS4xMy8wNC8yMDI0LlVTRAEAAADCMdwTAgAAAAwwLDEyODQ2MzgyMDgAtAXxrOtH3ggRphW260feCClDSVEuQ0xFTU8uSVFfTEFTVFNBTEVQUklDRS4xNC8wNC8yMDI0LlVTRAEAAADCMdwTAgAAAAwwLDEyODQ2MzgyMDgAtAXxrOtH3ghfzRW260feCClDSVEuQ0xFTU8uSVFfTEFTVFNBTEVQUklDRS4wMy8wNC8yMDI0LlVTRAEAAADCMdwTAgAAAA0wLDEwNDI5ODQxMDUyALQF8azrR94IX80VtutH3ggpQ0lRLkNMRU1PLklRX0xBU1RTQUxFUFJJQ0UuMTcvMDQvMjAyNC5VU0QBAAAAwjHcEwIAAAALMCwxMzQ2MzU0MTUAtAXxrOtH3ghfzRW260feCClDSVEuQUxJU0EuSVFfTEFTVFNBTEVQUklDRS4wOS8wNC8yMDI0LlVTRAEAAAD1nAMSAgAAAA8wLDE5MTU5NzkxNTcyMzUAtAXxrOtH3gjX+BW260feCClDSVEuQUxJU0EuSVFfTEFTVFNBTEVQUklDRS4wOC8wNC8yMDI0LlVTRAEAAAD1nAMSAgAAAA8wLDE5MTU5NzkxNTcyMzUAtAXxrOtH3ghfzRW260feCClDSVEuQUxJU0EuSVFfTEFTVFNBTEVQUklDRS4wNy8wNC8yMDI0LlVTRAEAAAD1nAMSAgAAAA4wLDE4NTE2NTEzMjY0MwC0BfGs60feCF/N</t>
  </si>
  <si>
    <t>FbbrR94IKUNJUS5BTElTQS5JUV9MQVNUU0FMRVBSSUNFLjA2LzA0LzIwMjQuVVNEAQAAAPWcAxICAAAADjAsMTg1MTY1MTMyNjQzALQF8azrR94IX80VtutH3ggpQ0lRLkFMSVNBLklRX0xBU1RTQUxFUFJJQ0UuMTEvMDQvMjAyNC5VU0QBAAAA9ZwDEgIAAAAOMCwyMTM2NjYwNTk2OTEAtAXxrOtH3ghfzRW260feCClDSVEuQUxJU0EuSVFfTEFTVFNBTEVQUklDRS4xMi8wNC8yMDI0LlVTRAEAAAD1nAMSAgAAAA4wLDIxMTY3OTYwODU3NAC0BfGs60feCNf4FbbrR94IKUNJUS5BTElTQS5JUV9MQVNUU0FMRVBSSUNFLjEzLzA0LzIwMjQuVVNEAQAAAPWcAxICAAAADjAsMjExNjc5NjA4NTc0ALQF8azrR94IX80VtutH3ggpQ0lRLkFMSVNBLklRX0xBU1RTQUxFUFJJQ0UuMTQvMDQvMjAyNC5VU0QBAAAA9ZwDEgIAAAAOMCwyMTE2Nzk2MDg1NzQAtAXxrOtH3ghfzRW260feCClDSVEuQUxJU0EuSVFfTEFTVFNBTEVQUklDRS4wMy8wNC8yMDI0LlVTRAEAAAD1nAMSAgAAAA4wLDE5NzA5NzY4MjQxOAC0BfGs60feCF/NFbbrR94IKUNJUS5BTElTQS5JUV9MQVNUU0FMRVBSSUNFLjE3LzA0LzIwMjQuVVNEAQAAAPWcAxICAAAADzAsMjA5MDY0Nzk0MTk0NQC0BfGs60feCF/NFbbrR94IKENJUS5VTFRILklRX0xBU1RTQUxFUFJJQ0UuMDgvMDQvMjAyNC5VU0QBAAAAj+fDHwIAAAAMMCwyNzIzNTgyMTczALQF8azr</t>
  </si>
  <si>
    <t>R94IUiMWtutH3ggoQ0lRLlVMVEguSVFfTEFTVFNBTEVQUklDRS4wNy8wNC8yMDI0LlVTRAEAAACP58MfAgAAAA0wLDI3MjIwMDkyODQ1ALQF8azrR94I1/gVtutH3ggoQ0lRLlVMVEguSVFfTEFTVFNBTEVQUklDRS4wNi8wNC8yMDI0LlVTRAEAAACP58MfAgAAAA0wLDI3MjIwMDkyODQ1ALQF8azrR94IUiMWtutH3ggoQ0lRLlVMVEguSVFfTEFTVFNBTEVQUklDRS4wNS8wNC8yMDI0LlVTRAEAAACP58MfAgAAAA0wLDI3MjIwMDkyODQ1ALQF8azrR94I1/gVtutH3ggoQ0lRLlVMVEguSVFfTEFTVFNBTEVQUklDRS4xMC8wNC8yMDI0LlVTRAEAAACP58MfAgAAAA0wLDI3MzkzNDU3NzI1ALQF8azrR94IUiMWtutH3ggoQ0lRLlVMVEguSVFfTEFTVFNBTEVQUklDRS4xMS8wNC8yMDI0LlVTRAEAAACP58MfAgAAAA0wLDI1NTA1MTg0ODQ1ALQF8azrR94IUiMWtutH3ggoQ0lRLlVMVEguSVFfTEFTVFNBTEVQUklDRS4xMi8wNC8yMDI0LlVTRAEAAACP58MfAgAAAAswLDI1NDM1MzA3MQC0BfGs60feCNf4FbbrR94IKENJUS5VTFRILklRX0xBU1RTQUxFUFJJQ0UuMTMvMDQvMjAyNC5VU0QBAAAAj+fDHwIAAAALMCwyNTQzNTMwNzEAtAXxrOtH3ghSIxa260feCChDSVEuVUxUSC5JUV9MQVNUU0FMRVBSSUNFLjAyLzA0LzIwMjQuVVNEAQAAAI/nwx8CAAAADTAsMjc5ODYyNDI1NDYAtAXxrOtH3gjX+BW260feCChD</t>
  </si>
  <si>
    <t>SVEuVUxUSC5JUV9MQVNUU0FMRVBSSUNFLjE2LzA0LzIwMjQuVVNEAQAAAI/nwx8CAAAADjAsMjU2ODEyNzcyNjU1ALQF8azrR94I8k0WtutH3ggpQ0lRLkFMTERMLklRX0xBU1RTQUxFUFJJQ0UuMDQvMDQvMjAyNC5VU0QBAAAAKJU2AQIAAAANMTcsNzA1ODQ0MDEzNwC0BfGs60feCFIjFrbrR94IKUNJUS5BTExETC5JUV9MQVNUU0FMRVBSSUNFLjAzLzA0LzIwMjQuVVNEAQAAACiVNgECAAAADjE3LDYwODgzNjkwMTc0ALQF8azrR94IUiMWtutH3ggpQ0lRLkFMTERMLklRX0xBU1RTQUxFUFJJQ0UuMDIvMDQvMjAyNC5VU0QBAAAAKJU2AQIAAAAOMTcsNDAyNTQxNDYyNzIAtAXxrOtH3gjyTRa260feCClDSVEuQUxMREwuSVFfTEFTVFNBTEVQUklDRS4wMS8wNC8yMDI0LlVTRAEAAAAolTYBAgAAAA0xNiw4NjM1ODc1MzkyALQF8azrR94I8k0WtutH3ggpQ0lRLkFMTERMLklRX0xBU1RTQUxFUFJJQ0UuMDYvMDQvMjAyNC5VU0QBAAAAKJU2AQIAAAAOMTcsNzE1MjEzODU5ODgAtAXxrOtH3gjyTRa260feCClDSVEuQUxMREwuSVFfTEFTVFNBTEVQUklDRS4wNy8wNC8yMDI0LlVTRAEAAAAolTYBAgAAAA4xNyw3MTUyMTM4NTk4OAC0BfGs60feCPJNFrbrR94IKUNJUS5BTExETC5JUV9MQVNUU0FMRVBSSUNFLjA4LzA0LzIwMjQuVVNEAQAAACiVNgECAAAADjE3LDk5ODI2MzEzMTQyALQF8azrR94I8k0WtutH</t>
  </si>
  <si>
    <t>3ggpQ0lRLkFMTERMLklRX0xBU1RTQUxFUFJJQ0UuMDkvMDQvMjAyNC5VU0QBAAAAKJU2AQIAAAAOMTgsMTcxOTQ5NjI3MjYAtAXxrOtH3gjyTRa260feCClDSVEuQUxMREwuSVFfTEFTVFNBTEVQUklDRS4yOS8wMy8yMDI0LlVTRAEAAAAolTYBAgAAAA0xNiw5MzgxODEwMzM4ALQF8azrR94I8k0WtutH3ggpQ0lRLkFMTERMLklRX0xBU1RTQUxFUFJJQ0UuMTIvMDQvMjAyNC5VU0QBAAAAKJU2AQIAAAAOMTgsMjMyMTAyOTY5NjQAtAXxrOtH3gjyTRa260feCCpDSVEuWEFOTyBCLklRX0xBU1RTQUxFUFJJQ0UuMDQvMDQvMjAyNC5VU0QBAAAA62wNAAIAAAALOCwxMzEzODgwNjQAtAXxrOtH3ghReBa260feCCpDSVEuWEFOTyBCLklRX0xBU1RTQUxFUFJJQ0UuMDMvMDQvMjAyNC5VU0QBAAAA62wNAAIAAAALOCwxNzQ3NDAyODQAtAXxrOtH3ghReBa260feCCpDSVEuWEFOTyBCLklRX0xBU1RTQUxFUFJJQ0UuMDIvMDQvMjAyNC5VU0QBAAAA62wNAAIAAAALNyw4MzQwNzQyNzYAtAXxrOtH3ghReBa260feCCpDSVEuWEFOTyBCLklRX0xBU1RTQUxFUFJJQ0UuMDEvMDQvMjAyNC5VU0QBAAAA62wNAAIAAAAMNyw4MjE3NjAwMDMyALQF8azrR94IUXgWtutH3ggqQ0lRLlhBTk8gQi5JUV9MQVNUU0FMRVBSSUNFLjA2LzA0LzIwMjQuVVNEAQAAAOtsDQACAAAADDgsMjg5MTY5ODg3NgC0BfGs60feCFF4FrbrR94I</t>
  </si>
  <si>
    <t>KkNJUS5YQU5PIEIuSVFfTEFTVFNBTEVQUklDRS4wNy8wNC8yMDI0LlVTRAEAAADrbA0AAgAAAAw4LDI4OTE2OTg4NzYAtAXxrOtH3ghReBa260feCCpDSVEuWEFOTyBCLklRX0xBU1RTQUxFUFJJQ0UuMDgvMDQvMjAyNC5VU0QBAAAA62wNAAIAAAALOCw3NTkwNTQ5NTUAtAXxrOtH3ghReBa260feCCpDSVEuWEFOTyBCLklRX0xBU1RTQUxFUFJJQ0UuMDkvMDQvMjAyNC5VU0QBAAAA62wNAAIAAAAMOSwzMzkyODU3NTcyALQF8azrR94IUXgWtutH3ggqQ0lRLlhBTk8gQi5JUV9MQVNUU0FMRVBSSUNFLjI5LzAzLzIwMjQuVVNEAQAAAOtsDQACAAAADDcsOTEyMzE3MjgxNAC0BfGs60feCFF4FrbrR94IKkNJUS5YQU5PIEIuSVFfTEFTVFNBTEVQUklDRS4xMi8wNC8yMDI0LlVTRAEAAADrbA0AAgAAAAw5LDA3NTA1MTM0MDgAtAXxrOtH3ghReBa260feCCdDSVEuRklOLklRX0xBU1RTQUxFUFJJQ0UuMDQvMDQvMjAyNC5VU0QBAAAA40x1KQIAAAANMCw0MzA2NTc3NjYyNgC0BfGs60feCOiiFrbrR94IJ0NJUS5GSU4uSVFfTEFTVFNBTEVQUklDRS4wMy8wNC8yMDI0LlVTRAEAAADjTHUpAgAAAA0wLDM5Nzg5MzA2MTQ0ALQF8azrR94I6KIWtutH3ggnQ0lRLkZJTi5JUV9MQVNUU0FMRVBSSUNFLjAyLzA0LzIwMjQuVVNEAQAAAONMdSkCAAAADTAsMzgyMjE2ODU3NjgAtAXxrOtH3ghReBa260feCCdDSVEuRklO</t>
  </si>
  <si>
    <t>LklRX0xBU1RTQUxFUFJJQ0UuMDEvMDQvMjAyNC5VU0QBAAAA40x1KQIAAAAMMCwzNzY1NTgwMDg5ALQF8azrR94I6KIWtutH3ggnQ0lRLkZJTi5JUV9MQVNUU0FMRVBSSUNFLjA2LzA0LzIwMjQuVVNEAQAAAONMdSkCAAAADTAsNDQxNzkwODkzOTUAtAXxrOtH3gi/zRa260feCCdDSVEuRklOLklRX0xBU1RTQUxFUFJJQ0UuMDcvMDQvMjAyNC5VU0QBAAAA40x1KQIAAAANMCw0NDE3OTA4OTM5NQC0BfGs60feCL/NFrbrR94IJ0NJUS5GSU4uSVFfTEFTVFNBTEVQUklDRS4wOC8wNC8yMDI0LlVTRAEAAADjTHUpAgAAAA4wLDUwMDk0ODc2NjY0OAC0BfGs60feCOiiFrbrR94IJ0NJUS5GSU4uSVFfTEFTVFNBTEVQUklDRS4wOS8wNC8yMDI0LlVTRAEAAADjTHUpAgAAAA0wLDQ4Nzc4MDE1NjcxALQF8azrR94Iv80WtutH3ggnQ0lRLkZJTi5JUV9MQVNUU0FMRVBSSUNFLjI5LzAzLzIwMjQuVVNEAQAAAONMdSkCAAAACzAsMzc4ODkzMTI3ALQF8azrR94I6KIWtutH3ggnQ0lRLkZJTi5JUV9MQVNUU0FMRVBSSUNFLjEyLzA0LzIwMjQuVVNEAQAAAONMdSkCAAAADDAsNDk3OTE0OTgxMgC0BfGs60feCL/NFrbrR94IJ0NJUS5LRVIuSVFfTEFTVFNBTEVQUklDRS4wMy8wNC8yMDI0LlVTRAEAAAAwLAoAAgAAAA8zOTYsODQ4NjAyODY4NTUAtAXxrOtH3gi/zRa260feCCdDSVEuS0VSLklRX0xBU1RTQUxFUFJJQ0Uu</t>
  </si>
  <si>
    <t>MDIvMDQvMjAyNC5VU0QBAAAAMCwKAAIAAAAOMzk1LDA1NzA3NTIyMjcAtAXxrOtH3ghT+Ba260feCCdDSVEuS0VSLklRX0xBU1RTQUxFUFJJQ0UuMDEvMDQvMjAyNC5VU0QBAAAAMCwKAAIAAAAOMzkzLDUwMTYxMTE0NTYAtAXxrOtH3gi/zRa260feCCdDSVEuS0VSLklRX0xBU1RTQUxFUFJJQ0UuMzEvMDMvMjAyNC5VU0QBAAAAMCwKAAIAAAAOMzk1LDI0MjIwNTIwNTkAtAXxrOtH3ghT+Ba260feCCdDSVEuS0VSLklRX0xBU1RTQUxFUFJJQ0UuMDUvMDQvMjAyNC5VU0QBAAAAMCwKAAIAAAAOMzkyLDg1MzI3NTU3MjQAtAXxrOtH3ghT+Ba260feCCdDSVEuS0VSLklRX0xBU1RTQUxFUFJJQ0UuMDYvMDQvMjAyNC5VU0QBAAAAMCwKAAIAAAAOMzkyLDg1MzI3NTU3MjQAtAXxrOtH3gi/zRa260feCCdDSVEuS0VSLklRX0xBU1RTQUxFUFJJQ0UuMDcvMDQvMjAyNC5VU0QBAAAAMCwKAAIAAAAOMzkyLDg1MzI3NTU3MjQAtAXxrOtH3ghT+Ba260feCCdDSVEuS0VSLklRX0xBU1RTQUxFUFJJQ0UuMDgvMDQvMjAyNC5VU0QBAAAAMCwKAAIAAAAOMzk2LDQzOTQyNjc1NDgAtAXxrOtH3ghT+Ba260feCCdDSVEuS0VSLklRX0xBU1RTQUxFUFJJQ0UuMjgvMDMvMjAyNC5VU0QBAAAAMCwKAAIAAAANMzk1LDcxMTgxNjgxNQC0BfGs60feCFP4FrbrR94IJ0NJUS5LRVIuSVFfTEFTVFNBTEVQUklDRS4xMS8wNC8yMDI0</t>
  </si>
  <si>
    <t>LlVTRAEAAAAwLAoAAgAAAA4zODAsMzE0ODc2MTcxOAC0BfGs60feCFP4FrbrR94IKENJUS5NSFBDLklRX0xBU1RTQUxFUFJJQ0UuMDMvMDQvMjAyNC5VU0QBAAAA2+E6IAIAAAAFMCw4MzIAtAXxrOtH3ghT+Ba260feCChDSVEuTUhQQy5JUV9MQVNUU0FMRVBSSUNFLjAyLzA0LzIwMjQuVVNEAQAAANvhOiACAAAABTAsODMyALQF8azrR94IAiMXtutH3ggoQ0lRLk1IUEMuSVFfTEFTVFNBTEVQUklDRS4wMS8wNC8yMDI0LlVTRAEAAADb4TogAgAAAAUwLDgzMgC0BfGs60feCAIjF7brR94IKENJUS5NSFBDLklRX0xBU1RTQUxFUFJJQ0UuMzEvMDMvMjAyNC5VU0QBAAAA2+E6IAIAAAAFMCw4MzIAtAXxrOtH3ggCIxe260feCChDSVEuTUhQQy5JUV9MQVNUU0FMRVBSSUNFLjA1LzA0LzIwMjQuVVNEAQAAANvhOiACAAAABTAsODMyALQF8azrR94IU/gWtutH3ggoQ0lRLk1IUEMuSVFfTEFTVFNBTEVQUklDRS4wNi8wNC8yMDI0LlVTRAEAAADb4TogAgAAAAUwLDgzMgC0BfGs60feCAIjF7brR94IKENJUS5NSFBDLklRX0xBU1RTQUxFUFJJQ0UuMDcvMDQvMjAyNC5VU0QBAAAA2+E6IAIAAAAFMCw4MzIAtAXxrOtH3ggCIxe260feCChDSVEuTUhQQy5JUV9MQVNUU0FMRVBSSUNFLjA4LzA0LzIwMjQuVVNEAQAAANvhOiACAAAABTAsODMyALQF8azrR94IAiMXtutH3ggoQ0lRLk1IUEMuSVFfTEFTVFNBTEVQUklD</t>
  </si>
  <si>
    <t>RS4yOC8wMy8yMDI0LlVTRAEAAADb4TogAgAAAAUwLDgzMgC0BfGs60feCFP4FrbrR94IKENJUS5NSFBDLklRX0xBU1RTQUxFUFJJQ0UuMTEvMDQvMjAyNC5VU0QBAAAA2+E6IAIAAAAFMCw4MzIAtAXxrOtH3ggCIxe260feCChDSVEuQVRTSS5JUV9MQVNUU0FMRVBSSUNFLjAzLzA0LzIwMjQuVVNEAQAAAJ1cXQYCAAAADTMsMzEzODQwMTU0OTQAtAXxrOtH3giKURe260feCChDSVEuQVRTSS5JUV9MQVNUU0FMRVBSSUNFLjAyLzA0LzIwMjQuVVNEAQAAAJ1cXQYCAAAADTMsMjk1MjgzMjIyNTIAwizxrOtH3giKURe260feCChDSVEuQVRTSS5JUV9MQVNUU0FMRVBSSUNFLjAxLzA0LzIwMjQuVVNEAQAAAJ1cXQYCAAAADTMsMjg2Nzg4Mzk5MzYAwizxrOtH3ggCIxe260feCChDSVEuQVRTSS5JUV9MQVNUU0FMRVBSSUNFLjMxLzAzLzIwMjQuVVNEAQAAAJ1cXQYCAAAADTMsMzAxMzI3MDA0MDQAwizxrOtH3giKURe260feCChDSVEuQVRTSS5JUV9MQVNUU0FMRVBSSUNFLjA1LzA0LzIwMjQuVVNEAQAAAJ1cXQYCAAAADTMsMjkxODI0NTgwMzIAwizxrOtH3ghTfBe260feCChDSVEuQVRTSS5JUV9MQVNUU0FMRVBSSUNFLjA2LzA0LzIwMjQuVVNEAQAAAJ1cXQYCAAAADTMsMjkxODI0NTgwMzIAwizxrOtH3ghTfBe260feCChDSVEuQVRTSS5JUV9MQVNUU0FMRVBSSUNFLjA3LzA0LzIwMjQuVVNEAQAAAJ1cXQYC</t>
  </si>
  <si>
    <t>AAAADTMsMjkxODI0NTgwMzIAwizxrOtH3ghTfBe260feCChDSVEuQVRTSS5JUV9MQVNUU0FMRVBSSUNFLjA4LzA0LzIwMjQuVVNEAQAAAJ1cXQYCAAAADTMsMzAwMDQzNDIwOTYAwizxrOtH3giKURe260feCChDSVEuQVRTSS5JUV9MQVNUU0FMRVBSSUNFLjI4LzAzLzIwMjQuVVNEAQAAAJ1cXQYCAAAACzMsMzA1MjQ5NTE0AMIs8azrR94IilEXtutH3ggoQ0lRLkFUU0kuSVFfTEFTVFNBTEVQUklDRS4xMS8wNC8yMDI0LlVTRAEAAACdXF0GAgAAAA0zLDE0ODc2Mjk4NDkyAMIs8azrR94IU3wXtutH3ggnQ0lRLkFTVC5JUV9MQVNUU0FMRVBSSUNFLjAyLzA0LzIwMjQuVVNEAQAAAIdCNgECAAAADjAsMDMxNDMyMzA3Mzc1AMIs8azrR94IU3wXtutH3ggnQ0lRLkFTVC5JUV9MQVNUU0FMRVBSSUNFLjAxLzA0LzIwMjQuVVNEAQAAAIdCNgECAAAADjAsMDMxMzc5ODM0MDc1AMIs8azrR94IraMXtutH3ggnQ0lRLkFTVC5JUV9MQVNUU0FMRVBSSUNFLjMxLzAzLzIwMjQuVVNEAQAAAIdCNgECAAAADTAsMDMxNTc0NDI3MjUAwizxrOtH3ghTfBe260feCCdDSVEuQVNULklRX0xBU1RTQUxFUFJJQ0UuMzAvMDMvMjAyNC5VU0QBAAAAh0I2AQIAAAANMCwwMzE1NzQ0MjcyNQDCLPGs60feCK2jF7brR94IJ0NJUS5BU1QuSVFfTEFTVFNBTEVQUklDRS4wNC8wNC8yMDI0LlVTRAEAAACHQjYBAgAAAA4wLDAzMDM5OTM3</t>
  </si>
  <si>
    <t>MTczNgDCLPGs60feCK2jF7brR94IJ0NJUS5BU1QuSVFfTEFTVFNBTEVQUklDRS4wNS8wNC8yMDI0LlVTRAEAAACHQjYBAgAAAA4wLDAyOTAzMTk3MzAzMQDCLPGs60feCFN8F7brR94IJ0NJUS5BU1QuSVFfTEFTVFNBTEVQUklDRS4wNi8wNC8yMDI0LlVTRAEAAACHQjYBAgAAAA4wLDAyOTAzMTk3MzAzMQDCLPGs60feCK2jF7brR94IJ0NJUS5BU1QuSVFfTEFTVFNBTEVQUklDRS4wNy8wNC8yMDI0LlVTRAEAAACHQjYBAgAAAA4wLDAyOTAzMTk3MzAzMQDCLPGs60feCK2jF7brR94IJ0NJUS5BU1QuSVFfTEFTVFNBTEVQUklDRS4yNy8wMy8yMDI0LlVTRAEAAACHQjYBAgAAAA8wLDAzMjk1NDEyOTM3ODEAwizxrOtH3gitoxe260feCCdDSVEuQVNULklRX0xBU1RTQUxFUFJJQ0UuMTAvMDQvMjAyNC5VU0QBAAAAh0I2AQIAAAAOMCwwMjg4NjI5MjYyMDUAwizxrOtH3gitoxe260feCCdDSVEuS0NSLklRX0xBU1RTQUxFUFJJQ0UuMDIvMDQvMjAyNC5VU0QBAAAA24kGAAIAAAAONTEsNTYxNDkwNDIyOTYAwizxrOtH3ggh0Re260feCCdDSVEuS0NSLklRX0xBU1RTQUxFUFJJQ0UuMDEvMDQvMjAyNC5VU0QBAAAA24kGAAIAAAAONTEsNjc1NjE3NjEyMTYAwizxrOtH3ggh0Re260feCCdDSVEuS0NSLklRX0xBU1RTQUxFUFJJQ0UuMzEvMDMvMjAyNC5VU0QBAAAA24kGAAIAAAAONTEsOTA0MTk2Nzg1NzQAwizx</t>
  </si>
  <si>
    <t>rOtH3ggh0Re260feCCdDSVEuS0NSLklRX0xBU1RTQUxFUFJJQ0UuMzAvMDMvMjAyNC5VU0QBAAAA24kGAAIAAAAONTEsOTA0MTk2Nzg1NzQAwizxrOtH3ggh0Re260feCCdDSVEuS0NSLklRX0xBU1RTQUxFUFJJQ0UuMDQvMDQvMjAyNC5VU0QBAAAA24kGAAIAAAAONTQsMDA4MjU1NDgyMjgAwizxrOtH3gitoxe260feCCdDSVEuS0NSLklRX0xBU1RTQUxFUFJJQ0UuMDUvMDQvMjAyNC5VU0QBAAAA24kGAAIAAAAONTIsNzU1ODIwMjQ3NzYAwizxrOtH3ggh0Re260feCCdDSVEuS0NSLklRX0xBU1RTQUxFUFJJQ0UuMDYvMDQvMjAyNC5VU0QBAAAA24kGAAIAAAAONTIsNzU1ODIwMjQ3NzYAwizxrOtH3gitoxe260feCCdDSVEuS0NSLklRX0xBU1RTQUxFUFJJQ0UuMDcvMDQvMjAyNC5VU0QBAAAA24kGAAIAAAAONTIsNzU1ODIwMjQ3NzYAwizxrOtH3gitoxe260feCCdDSVEuS0NSLklRX0xBU1RTQUxFUFJJQ0UuMjcvMDMvMjAyNC5VU0QBAAAA24kGAAIAAAANNTMsODg0NDQwNTc0MgDCLPGs60feCCHRF7brR94IJ0NJUS5LQ1IuSVFfTEFTVFNBTEVQUklDRS4xMC8wNC8yMDI0LlVTRAEAAADbiQYAAgAAAA41Miw4NDc2MjUyMDQ3NADCLPGs60feCCHRF7brR94IJkNJUS5JUi5JUV9MQVNUU0FMRVBSSUNFLjAyLzA0LzIwMjQuVVNEAQAAAE4ZBQACAAAABTkyLDU1AMIs8azrR94IePgXtutH3ggmQ0lRLklS</t>
  </si>
  <si>
    <t>LklRX0xBU1RTQUxFUFJJQ0UuMDEvMDQvMjAyNC5VU0QBAAAAThkFAAIAAAAFOTMsNjIAwizxrOtH3ggh0Re260feCCZDSVEuSVIuSVFfTEFTVFNBTEVQUklDRS4zMS8wMy8yMDI0LlVTRAEAAABOGQUAAgAAAAU5NCw5NQDCLPGs60feCHj4F7brR94IJkNJUS5JUi5JUV9MQVNUU0FMRVBSSUNFLjMwLzAzLzIwMjQuVVNEAQAAAE4ZBQACAAAABTk0LDk1AMIs8azrR94IePgXtutH3ggmQ0lRLklSLklRX0xBU1RTQUxFUFJJQ0UuMDQvMDQvMjAyNC5VU0QBAAAAThkFAAIAAAAEOTIsMwDCLPGs60feCM4fGLbrR94IJkNJUS5JUi5JUV9MQVNUU0FMRVBSSUNFLjA1LzA0LzIwMjQuVVNEAQAAAE4ZBQACAAAABTk0LDgxAMIs8azrR94Izh8YtutH3ggmQ0lRLklSLklRX0xBU1RTQUxFUFJJQ0UuMDYvMDQvMjAyNC5VU0QBAAAAThkFAAIAAAAFOTQsODEAwizxrOtH3gjOHxi260feCCZDSVEuSVIuSVFfTEFTVFNBTEVQUklDRS4wNy8wNC8yMDI0LlVTRAEAAABOGQUAAgAAAAU5NCw4MQDCLPGs60feCHj4F7brR94IJkNJUS5JUi5JUV9MQVNUU0FMRVBSSUNFLjI3LzAzLzIwMjQuVVNEAQAAAE4ZBQACAAAABTk1LDI2AMIs8azrR94IePgXtutH3ggmQ0lRLklSLklRX0xBU1RTQUxFUFJJQ0UuMTAvMDQvMjAyNC5VU0QBAAAAThkFAAIAAAAFOTIsOTkAwizxrOtH3gjOHxi260feCCdDSVEuTE5OLklRX0xBU1RTQUxFUFJJ</t>
  </si>
  <si>
    <t>Q0UuMDIvMDQvMjAyNC5VU0QBAAAAWFkEAAIAAAAGMTE0LDc5AMIs8azrR94Izh8YtutH3ggnQ0lRLkxOTi5JUV9MQVNUU0FMRVBSSUNFLjAxLzA0LzIwMjQuVVNEAQAAAFhZBAACAAAABjExNSw2MwDCLPGs60feCCZHGLbrR94IJ0NJUS5MTk4uSVFfTEFTVFNBTEVQUklDRS4zMS8wMy8yMDI0LlVTRAEAAABYWQQAAgAAAAYxMTcsNjYAwizxrOtH3ggmRxi260feCCdDSVEuTE5OLklRX0xBU1RTQUxFUFJJQ0UuMzAvMDMvMjAyNC5VU0QBAAAAWFkEAAIAAAAGMTE3LDY2AMIs8azrR94Izh8YtutH3ggnQ0lRLkxOTi5JUV9MQVNUU0FMRVBSSUNFLjA0LzA0LzIwMjQuVVNEAQAAAFhZBAACAAAABjExNCw0OQDCLPGs60feCCZHGLbrR94IJ0NJUS5MTk4uSVFfTEFTVFNBTEVQUklDRS4wNS8wNC8yMDI0LlVTRAEAAABYWQQAAgAAAAYxMTYsMjUAwizxrOtH3ggmRxi260feCCdDSVEuTE5OLklRX0xBU1RTQUxFUFJJQ0UuMDYvMDQvMjAyNC5VU0QBAAAAWFkEAAIAAAAGMTE2LDI1AMIs8azrR94IJkcYtutH3ggnQ0lRLkxOTi5JUV9MQVNUU0FMRVBSSUNFLjA3LzA0LzIwMjQuVVNEAQAAAFhZBAACAAAABjExNiwyNQDCLPGs60feCCZHGLbrR94IJ0NJUS5MTk4uSVFfTEFTVFNBTEVQUklDRS4yNy8wMy8yMDI0LlVTRAEAAABYWQQAAgAAAAYxMTgsMTEAwizxrOtH3ggmRxi260feCCdDSVEuTE5OLklRX0xBU1RTQUxF</t>
  </si>
  <si>
    <t>UFJJQ0UuMTAvMDQvMjAyNC5VU0QBAAAAWFkEAAIAAAAFMTE1LDEAwizxrOtH3ggmRxi260feCCdDSVEuVEtBLklRX0xBU1RTQUxFUFJJQ0UuMDIvMDQvMjAyNC5VU0QBAAAAINcMAAIAAAAONSwzODIyOTU5MzAxMTYAwizxrOtH3gh9bhi260feCCdDSVEuVEtBLklRX0xBU1RTQUxFUFJJQ0UuMDEvMDQvMjAyNC5VU0QBAAAAINcMAAIAAAAONSwzNDI2NDIzMTk3NDQAwizxrOtH3ggmRxi260feCCdDSVEuVEtBLklRX0xBU1RTQUxFUFJJQ0UuMzEvMDMvMjAyNC5VU0QBAAAAINcMAAIAAAAONSwzNjYyNzQ2NzkxMTYAwizxrOtH3gh9bhi260feCCdDSVEuVEtBLklRX0xBU1RTQUxFUFJJQ0UuMzAvMDMvMjAyNC5VU0QBAAAAINcMAAIAAAAONSwzNjYyNzQ2NzkxMTYAwizxrOtH3gh9bhi260feCCdDSVEuVEtBLklRX0xBU1RTQUxFUFJJQ0UuMDQvMDQvMjAyNC5VU0QBAAAAINcMAAIAAAAONSw2OTQxMTI1MzQ5NTgAwizxrOtH3gh9bhi260feCCdDSVEuVEtBLklRX0xBU1RTQUxFUFJJQ0UuMDUvMDQvMjAyNC5VU0QBAAAAINcMAAIAAAAONSw2NTY3NDA2NjAzOTIAwizxrOtH3gh9bhi260feCCdDSVEuVEtBLklRX0xBU1RTQUxFUFJJQ0UuMDYvMDQvMjAyNC5VU0QBAAAAINcMAAIAAAAONSw2NTY3NDA2NjAzOTIAwizxrOtH3gh9bhi260feCCdDSVEuVEtBLklRX0xBU1RTQUxFUFJJQ0UuMDcvMDQvMjAyNC5V</t>
  </si>
  <si>
    <t>U0QBAAAAINcMAAIAAAAONSw2NTY3NDA2NjAzOTIAwizxrOtH3gh9bhi260feCCdDSVEuVEtBLklRX0xBU1RTQUxFUFJJQ0UuMjcvMDMvMjAyNC5VU0QBAAAAINcMAAIAAAAONSw0MjczOTY2NjUwNjQAwizxrOtH3gh9bhi260feCCdDSVEuVEtBLklRX0xBU1RTQUxFUFJJQ0UuMTAvMDQvMjAyNC5VU0QBAAAAINcMAAIAAAANNSw2NjMwMTMxMTE2MQDCLPGs60feCH1uGLbrR94IKENJUS5TUEFOLklRX0xBU1RTQUxFUFJJQ0UuMDEvMDQvMjAyNC5VU0QBAAAA8SSZAQIAAAAMNTEsNTU3NDY1MDg4AMIs8azrR94I1ZUYtutH3ggoQ0lRLlNQQU4uSVFfTEFTVFNBTEVQUklDRS4zMS8wMy8yMDI0LlVTRAEAAADxJJkBAgAAAAw1MSw3ODU1MjE2MzIAwizxrOtH3gh9bhi260feCChDSVEuU1BBTi5JUV9MQVNUU0FMRVBSSUNFLjMwLzAzLzIwMjQuVVNEAQAAAPEkmQECAAAADDUxLDc4NTUyMTYzMgDCLPGs60feCNWVGLbrR94IKENJUS5TUEFOLklRX0xBU1RTQUxFUFJJQ0UuMjkvMDMvMjAyNC5VU0QBAAAA8SSZAQIAAAAMNTEsNzg1NTIxNjMyAMIs8azrR94I1ZUYtutH3ggoQ0lRLlNQQU4uSVFfTEFTVFNBTEVQUklDRS4wMy8wNC8yMDI0LlVTRAEAAADxJJkBAgAAAA01MCw3OTA1NTY2MjMxAMIs8azrR94INb0YtutH3ggoQ0lRLlNQQU4uSVFfTEFTVFNBTEVQUklDRS4wNC8wNC8yMDI0LlVTRAEAAADxJJkBAgAA</t>
  </si>
  <si>
    <t>AA01MCw4MzY0MTEwMzMyAMIs8azrR94INb0YtutH3ggoQ0lRLlNQQU4uSVFfTEFTVFNBTEVQUklDRS4wNS8wNC8yMDI0LlVTRAEAAADxJJkBAgAAAA00OSw5MTg3ODcyMjEzAMIs8azrR94I1ZUYtutH3ggoQ0lRLlNQQU4uSVFfTEFTVFNBTEVQUklDRS4wNi8wNC8yMDI0LlVTRAEAAADxJJkBAgAAAA00OSw5MTg3ODcyMjEzAMIs8azrR94INb0YtutH3ggoQ0lRLlNQQU4uSVFfTEFTVFNBTEVQUklDRS4yNi8wMy8yMDI0LlVTRAEAAADxJJkBAgAAAA01MSw4NTY2NjM0MzgzAMIs8azrR94I1ZUYtutH3ggoQ0lRLlNQQU4uSVFfTEFTVFNBTEVQUklDRS4wOS8wNC8yMDI0LlVTRAEAAADxJJkBAgAAAA01MCwzNjkwODM3OTM2AMIs8azrR94Im+QYtutH3ggpQ0lRLlZJTUFCLklRX0xBU1RTQUxFUFJJQ0UuMDIvMDQvMjAyNC5VU0QBAAAAxiWrIgIAAAANMCw5MDY1MTQzMDkwOADoevGs60feCJlfH7brR94IKUNJUS5WSU1BQi5JUV9MQVNUU0FMRVBSSUNFLjAxLzA0LzIwMjQuVVNEAQAAAMYlqyICAAAADDAsOTA2MDY2NzYxNgDCLPGs60feCJvkGLbrR94IKUNJUS5WSU1BQi5JUV9MQVNUU0FMRVBSSUNFLjMxLzAzLzIwMjQuVVNEAQAAAMYlqyICAAAADDAsOTE2NTU2ODQ4MgDCLPGs60feCJvkGLbrR94IKUNJUS5WSU1BQi5JUV9MQVNUU0FMRVBSSUNFLjMwLzAzLzIwMjQuVVNEAQAAAMYlqyICAAAADDAsOTE2</t>
  </si>
  <si>
    <t>NTU2ODQ4MgDoevGs60feCJlfH7brR94IKUNJUS5WSU1BQi5JUV9MQVNUU0FMRVBSSUNFLjI5LzAzLzIwMjQuVVNEAQAAAMYlqyICAAAADDAsOTE2NTU2ODQ4MgDoevGs60feCJlfH7brR94IKUNJUS5WSU1BQi5JUV9MQVNUU0FMRVBSSUNFLjAzLzA0LzIwMjQuVVNEAQAAAMYlqyICAAAADTAsOTAzOTE5NTU3ODQAwizxrOtH3gg1vRi260feCClDSVEuVklNQUIuSVFfTEFTVFNBTEVQUklDRS4wNC8wNC8yMDI0LlVTRAEAAADGJasiAgAAAA0wLDkwNTc5ODgwOTkyAMIs8azrR94Im+QYtutH3ggpQ0lRLlZJTUFCLklRX0xBU1RTQUxFUFJJQ0UuMDUvMDQvMjAyNC5VU0QBAAAAxiWrIgIAAAANMCw5MDk3NDEwOTQyNADCLPGs60feCJvkGLbrR94IKUNJUS5WSU1BQi5JUV9MQVNUU0FMRVBSSUNFLjA2LzA0LzIwMjQuVVNEAQAAAMYlqyICAAAADTAsOTA5NzQxMDk0MjQAwizxrOtH3ggDDBm260feCClDSVEuVklNQUIuSVFfTEFTVFNBTEVQUklDRS4yNi8wMy8yMDI0LlVTRAEAAADGJasiAgAAAAwwLDkzMTE0MDk0ODYA6HrxrOtH3ggDDBm260feCClDSVEuVklNQUIuSVFfTEFTVFNBTEVQUklDRS4wOS8wNC8yMDI0LlVTRAEAAADGJasiAgAAAA0wLDk0NDMzNzEwMDg4AMIs8azrR94IAwwZtutH3ggnQ0lRLldCUy5JUV9MQVNUU0FMRVBSSUNFLjAxLzA0LzIwMjQuVVNEAQAAAJunAQACAAAABTQ5LDU0AMIs8azr</t>
  </si>
  <si>
    <t>R94IbjMZtutH3ggnQ0lRLldCUy5JUV9MQVNUU0FMRVBSSUNFLjMxLzAzLzIwMjQuVVNEAQAAAJunAQACAAAABTUwLDc3AMIs8azrR94IbjMZtutH3ggnQ0lRLldCUy5JUV9MQVNUU0FMRVBSSUNFLjMwLzAzLzIwMjQuVVNEAQAAAJunAQACAAAABTUwLDc3AMIs8azrR94IbjMZtutH3ggnQ0lRLldCUy5JUV9MQVNUU0FMRVBSSUNFLjI5LzAzLzIwMjQuVVNEAQAAAJunAQACAAAABTUwLDc3AMIs8azrR94IbjMZtutH3ggnQ0lRLldCUy5JUV9MQVNUU0FMRVBSSUNFLjAzLzA0LzIwMjQuVVNEAQAAAJunAQACAAAABDQ4LDUAwizxrOtH3ggDDBm260feCCdDSVEuV0JTLklRX0xBU1RTQUxFUFJJQ0UuMDQvMDQvMjAyNC5VU0QBAAAAm6cBAAIAAAAFNDgsMDIAwizxrOtH3ghuMxm260feCCdDSVEuV0JTLklRX0xBU1RTQUxFUFJJQ0UuMDUvMDQvMjAyNC5VU0QBAAAAm6cBAAIAAAAFNDcsOTkAwizxrOtH3ghuMxm260feCCdDSVEuV0JTLklRX0xBU1RTQUxFUFJJQ0UuMDYvMDQvMjAyNC5VU0QBAAAAm6cBAAIAAAAFNDcsOTkAwizxrOtH3ghuMxm260feCCdDSVEuV0JTLklRX0xBU1RTQUxFUFJJQ0UuMjYvMDMvMjAyNC5VU0QBAAAAm6cBAAIAAAAFNDksNTQAwizxrOtH3ggDDBm260feCCdDSVEuV0JTLklRX0xBU1RTQUxFUFJJQ0UuMDkvMDQvMjAyNC5VU0QBAAAAm6cBAAIAAAAFNDgsNjEAwizxrOtH3ggDDBm2</t>
  </si>
  <si>
    <t>60feCClDSVEuU1RMQU0uSVFfTEFTVFNBTEVQUklDRS4wMS8wNC8yMDI0LlVTRAEAAACFVQ0AAgAAAA4yOCwyOTc1Mjk1MzYzMgDCLPGs60feCECCGbbrR94IKUNJUS5TVExBTS5JUV9MQVNUU0FMRVBSSUNFLjMxLzAzLzIwMjQuVVNEAQAAAIVVDQACAAAADjI4LDQyMjY5OTMyMDczAMIs8azrR94IQIIZtutH3ggpQ0lRLlNUTEFNLklRX0xBU1RTQUxFUFJJQ0UuMzAvMDMvMjAyNC5VU0QBAAAAhVUNAAIAAAAOMjgsNDIyNjk5MzIwNzMAwizxrOtH3ghuMxm260feCClDSVEuU1RMQU0uSVFfTEFTVFNBTEVQUklDRS4yOS8wMy8yMDI0LlVTRAEAAACFVQ0AAgAAAA4yOCw0MjI2OTkzMjA3MwDCLPGs60feCNdaGbbrR94IKUNJUS5TVExBTS5JUV9MQVNUU0FMRVBSSUNFLjAzLzA0LzIwMjQuVVNEAQAAAIVVDQACAAAADzI3LDA5MDEwMTc4OTQ4NQDCLPGs60feCECCGbbrR94IKUNJUS5TVExBTS5JUV9MQVNUU0FMRVBSSUNFLjA0LzA0LzIwMjQuVVNEAQAAAIVVDQACAAAADjI3LDIxMDUxNDg3OTk1AMIs8azrR94IQIIZtutH3ggpQ0lRLlNUTEFNLklRX0xBU1RTQUxFUFJJQ0UuMDUvMDQvMjAyNC5VU0QBAAAAhVUNAAIAAAANMjYsNjM3NzkxMDExOADCLPGs60feCECCGbbrR94IKUNJUS5TVExBTS5JUV9MQVNUU0FMRVBSSUNFLjA2LzA0LzIwMjQuVVNEAQAAAIVVDQACAAAADTI2LDYzNzc5MTAxMTgAwizxrOtH</t>
  </si>
  <si>
    <t>3gjXWhm260feCClDSVEuU1RMQU0uSVFfTEFTVFNBTEVQUklDRS4yNi8wMy8yMDI0LlVTRAEAAACFVQ0AAgAAAA4yOCw3NzU1NzY0OTY2NgDCLPGs60feCNdaGbbrR94IKUNJUS5TVExBTS5JUV9MQVNUU0FMRVBSSUNFLjA5LzA0LzIwMjQuVVNEAQAAAIVVDQACAAAADzI3LDIxOTkzMDUxOTkyNQDCLPGs60feCLipGbbrR94IKkNJUS5GV09OLksuSVFfTEFTVFNBTEVQUklDRS4zMS8wMy8yMDI0LlVTRAEAAADDnsUTAgAAAAQ2NSw2AMIs8azrR94IuKkZtutH3ggqQ0lRLkZXT04uSy5JUV9MQVNUU0FMRVBSSUNFLjMwLzAzLzIwMjQuVVNEAQAAAMOexRMCAAAABDY1LDYAwizxrOtH3ghD0Rm260feCCpDSVEuRldPTi5LLklRX0xBU1RTQUxFUFJJQ0UuMjkvMDMvMjAyNC5VU0QBAAAAw57FEwIAAAAENjUsNgDCLPGs60feCLipGbbrR94IKkNJUS5GV09OLksuSVFfTEFTVFNBTEVQUklDRS4yOC8wMy8yMDI0LlVTRAEAAADDnsUTAgAAAAQ2NSw2AM9T8azrR94IQ9EZtutH3ggqQ0lRLkZXT04uSy5JUV9MQVNUU0FMRVBSSUNFLjAyLzA0LzIwMjQuVVNEAQAAAMOexRMCAAAABTY2LDE3AM9T8azrR94IQIIZtutH3ggqQ0lRLkZXT04uSy5JUV9MQVNUU0FMRVBSSUNFLjAzLzA0LzIwMjQuVVNEAQAAAMOexRMCAAAABTY3LDA0AM9T8azrR94IQ9EZtutH3ggqQ0lRLkZXT04uSy5JUV9MQVNUU0FMRVBSSUNFLjA0LzA0</t>
  </si>
  <si>
    <t>LzIwMjQuVVNEAQAAAMOexRMCAAAABTY3LDI1AM9T8azrR94IQ9EZtutH3ggqQ0lRLkZXT04uSy5JUV9MQVNUU0FMRVBSSUNFLjA1LzA0LzIwMjQuVVNEAQAAAMOexRMCAAAABTY4LDQ5AM9T8azrR94IzvgZtutH3ggqQ0lRLkZXT04uSy5JUV9MQVNUU0FMRVBSSUNFLjI1LzAzLzIwMjQuVVNEAQAAAMOexRMCAAAABTY3LDA4AM9T8azrR94IzvgZtutH3ggqQ0lRLkZXT04uSy5JUV9MQVNUU0FMRVBSSUNFLjA4LzA0LzIwMjQuVVNEAQAAAMOexRMCAAAABTY4LDMxAM9T8azrR94IzvgZtutH3ggoQ0lRLkZMR0MuSVFfTEFTVFNBTEVQUklDRS4zMS8wMy8yMDI0LlVTRAEAAAChNywmAgAAAAg5MCwwOTAwOQDPU/Gs60feCM74GbbrR94IKENJUS5GTEdDLklRX0xBU1RTQUxFUFJJQ0UuMzAvMDMvMjAyNC5VU0QBAAAAoTcsJgIAAAAIOTAsMDkwMDkAz1PxrOtH3gh5Jhq260feCChDSVEuRkxHQy5JUV9MQVNUU0FMRVBSSUNFLjI5LzAzLzIwMjQuVVNEAQAAAKE3LCYCAAAACDkwLDA5MDA5AM9T8azrR94IeSYatutH3ggoQ0lRLkZMR0MuSVFfTEFTVFNBTEVQUklDRS4yOC8wMy8yMDI0LlVTRAEAAAChNywmAgAAAAg5MCwwOTAwOQDPU/Gs60feCHkmGrbrR94IKENJUS5GTEdDLklRX0xBU1RTQUxFUFJJQ0UuMDIvMDQvMjAyNC5VU0QBAAAAoTcsJgIAAAAJNzksOTUwMDc5AM9T8azrR94IDk4atutH3ggoQ0lRLkZM</t>
  </si>
  <si>
    <t>R0MuSVFfTEFTVFNBTEVQUklDRS4wMy8wNC8yMDI0LlVTRAEAAAChNywmAgAAAAoxMDQsMTMwMTA0AM9T8azrR94IzvgZtutH3ggoQ0lRLkZMR0MuSVFfTEFTVFNBTEVQUklDRS4wNC8wNC8yMDI0LlVTRAEAAAChNywmAgAAAAk4NSw4MDAwODUAz1PxrOtH3gh5Jhq260feCChDSVEuRkxHQy5JUV9MQVNUU0FMRVBSSUNFLjA1LzA0LzIwMjQuVVNEAQAAAKE3LCYCAAAACTkyLDgyMDA5MgDPU/Gs60feCHkmGrbrR94IKENJUS5GTEdDLklRX0xBU1RTQUxFUFJJQ0UuMjUvMDMvMjAyNC5VU0QBAAAAoTcsJgIAAAAJNjUsOTEwMDY1AM9T8azrR94IzvgZtutH3ggoQ0lRLkZMR0MuSVFfTEFTVFNBTEVQUklDRS4wOC8wNC8yMDI0LlVTRAEAAAChNywmAgAAAAk4OCw1MzAwODgAz1PxrOtH3ggOThq260feCChDSVEuQUtPTS5JUV9MQVNUU0FMRVBSSUNFLjI4LzAzLzIwMjQuVVNEAQAAAAcJOBECAAAABDIsNTgAz1PxrOtH3ggOThq260feCChDSVEuQUtPTS5JUV9MQVNUU0FMRVBSSUNFLjI3LzAzLzIwMjQuVVNEAQAAAAcJOBECAAAABDIsNTgAz1PxrOtH3ggknRq260feCChDSVEuQUtPTS5JUV9MQVNUU0FMRVBSSUNFLjI2LzAzLzIwMjQuVVNEAQAAAAcJOBECAAAABDIsNTgAz1PxrOtH3giUdRq260feCChDSVEuQUtPTS5JUV9MQVNUU0FMRVBSSUNFLjI1LzAzLzIwMjQuVVNEAQAAAAcJOBECAAAABDIsNTgAz1Px</t>
  </si>
  <si>
    <t>rOtH3giUdRq260feCChDSVEuQUtPTS5JUV9MQVNUU0FMRVBSSUNFLjMwLzAzLzIwMjQuVVNEAQAAAAcJOBECAAAABDIsNTgAz1PxrOtH3giUdRq260feCChDSVEuQUtPTS5JUV9MQVNUU0FMRVBSSUNFLjMxLzAzLzIwMjQuVVNEAQAAAAcJOBECAAAABDIsNTgAz1PxrOtH3ggknRq260feCChDSVEuQUtPTS5JUV9MQVNUU0FMRVBSSUNFLjAxLzA0LzIwMjQuVVNEAQAAAAcJOBECAAAABDIsNTgAz1PxrOtH3ggknRq260feCChDSVEuQUtPTS5JUV9MQVNUU0FMRVBSSUNFLjAyLzA0LzIwMjQuVVNEAQAAAAcJOBECAAAABDIsNTgAz1PxrOtH3gi9xBq260feCChDSVEuQUtPTS5JUV9MQVNUU0FMRVBSSUNFLjIyLzAzLzIwMjQuVVNEAQAAAAcJOBECAAAABDIsNTgAz1PxrOtH3giUdRq260feCChDSVEuQUtPTS5JUV9MQVNUU0FMRVBSSUNFLjA1LzA0LzIwMjQuVVNEAQAAAAcJOBECAAAABDIsNTgAz1PxrOtH3ghW7Bq260feCChDSVEuV0lORS5JUV9MQVNUU0FMRVBSSUNFLjI4LzAzLzIwMjQuVVNEAQAAALBxDQACAAAADTAsNzEwNDMwMTc2ODcAz1PxrOtH3gi9xBq260feCChDSVEuV0lORS5JUV9MQVNUU0FMRVBSSUNFLjI3LzAzLzIwMjQuVVNEAQAAALBxDQACAAAADjAsNzI2MDAwOTM0NTc1AM9T8azrR94IVuwatutH3ggoQ0lRLldJTkUuSVFfTEFTVFNBTEVQUklDRS4yNi8wMy8yMDI0LlVTRAEAAACwcQ0A</t>
  </si>
  <si>
    <t>AgAAAA4wLDcyNzM4MjkzNzAyNADPU/Gs60feCFbsGrbrR94IKENJUS5XSU5FLklRX0xBU1RTQUxFUFJJQ0UuMjUvMDMvMjAyNC5VU0QBAAAAsHENAAIAAAAOMCw3MTY4MjMyMjE1NjIAz1PxrOtH3ghW7Bq260feCChDSVEuV0lORS5JUV9MQVNUU0FMRVBSSUNFLjMwLzAzLzIwMjQuVVNEAQAAALBxDQACAAAADTAsNzA5NzkzMTI0NTgAz1PxrOtH3ghW7Bq260feCChDSVEuV0lORS5JUV9MQVNUU0FMRVBSSUNFLjMxLzAzLzIwMjQuVVNEAQAAALBxDQACAAAADTAsNzA5NzkzMTI0NTgAz1PxrOtH3gi9xBq260feCChDSVEuV0lORS5JUV9MQVNUU0FMRVBSSUNFLjAxLzA0LzIwMjQuVVNEAQAAALBxDQACAAAADjAsNzA1NDE4NjcwMDA2AM9T8azrR94I/xMbtutH3ggoQ0lRLldJTkUuSVFfTEFTVFNBTEVQUklDRS4wMi8wNC8yMDI0LlVTRAEAAACwcQ0AAgAAAA4wLDcxNzkxMzkwMDQ0NQDPU/Gs60feCP8TG7brR94IKENJUS5XSU5FLklRX0xBU1RTQUxFUFJJQ0UuMjIvMDMvMjAyNC5VU0QBAAAAsHENAAIAAAANMCw2OTM2MzA2OTM2MwDPU/Gs60feCP8TG7brR94IKENJUS5XSU5FLklRX0xBU1RTQUxFUFJJQ0UuMDUvMDQvMjAyNC5VU0QBAAAAsHENAAIAAAAOMCw3MjgzMjM4NDUxNjkAz1PxrOtH3giuOxu260feCChDSVEuMTgwMC5JUV9MQVNUU0FMRVBSSUNFLjI4LzAzLzIwMjQuVVNEAQAAAFc+kgECAAAA</t>
  </si>
  <si>
    <t>DTAsNDcxNDk4NjEzMzgAz1PxrOtH3giuOxu260feCChDSVEuMTgwMC5JUV9MQVNUU0FMRVBSSUNFLjI3LzAzLzIwMjQuVVNEAQAAAFc+kgECAAAADTAsNDcxNjM0ODA3NTkAz1PxrOtH3giuOxu260feCChDSVEuMTgwMC5JUV9MQVNUU0FMRVBSSUNFLjI2LzAzLzIwMjQuVVNEAQAAAFc+kgECAAAADDAsNDc1NDgyNjA2NgDPU/Gs60feCFxjG7brR94IKENJUS4xODAwLklRX0xBU1RTQUxFUFJJQ0UuMjUvMDMvMjAyNC5VU0QBAAAAVz6SAQIAAAANMCw0NzY4ODY5NjQwOQDPU/Gs60feCFxjG7brR94IKENJUS4xODAwLklRX0xBU1RTQUxFUFJJQ0UuMzAvMDMvMjAyNC5VU0QBAAAAVz6SAQIAAAANMCw0NzE1MDg4NTMxMwDPU/Gs60feCK47G7brR94IKENJUS4xODAwLklRX0xBU1RTQUxFUFJJQ0UuMzEvMDMvMjAyNC5VU0QBAAAAVz6SAQIAAAANMCw0NzE1MDg4NTMxMwDPU/Gs60feCFxjG7brR94IKENJUS4xODAwLklRX0xBU1RTQUxFUFJJQ0UuMDEvMDQvMjAyNC5VU0QBAAAAVz6SAQIAAAANMCw0NzE1MDQ2MzU0NgDPU/Gs60feCFxjG7brR94IKENJUS4xODAwLklRX0xBU1RTQUxFUFJJQ0UuMDIvMDQvMjAyNC5VU0QBAAAAVz6SAQIAAAANMCw1MTQ3NDg4OTc2NQDPU/Gs60feCK47G7brR94IKENJUS4xODAwLklRX0xBU1RTQUxFUFJJQ0UuMjIvMDMvMjAyNC5VU0QBAAAAVz6SAQIAAAANMCw0NzgxNzcw</t>
  </si>
  <si>
    <t>OTc4NgDPU/Gs60feCFxjG7brR94IKENJUS4xODAwLklRX0xBU1RTQUxFUFJJQ0UuMDUvMDQvMjAyNC5VU0QBAAAAVz6SAQIAAAANMCw1MDgzOTU1NTI0OADPU/Gs60feCFxjG7brR94IJ0NJUS5QT1IuSVFfTEFTVFNBTEVQUklDRS4yOC8wMy8yMDI0LlVTRAEAAAA2igQAAgAAAAI0MgDPU/Gs60feCGLbG7brR94IJ0NJUS5QT1IuSVFfTEFTVFNBTEVQUklDRS4yNy8wMy8yMDI0LlVTRAEAAAA2igQAAgAAAAU0MSw2OADPU/Gs60feCGLbG7brR94IJ0NJUS5QT1IuSVFfTEFTVFNBTEVQUklDRS4yNi8wMy8yMDI0LlVTRAEAAAA2igQAAgAAAAQ0MCw1AM9T8azrR94IBosbtutH3ggnQ0lRLlBPUi5JUV9MQVNUU0FMRVBSSUNFLjI1LzAzLzIwMjQuVVNEAQAAADaKBAACAAAABTQwLDY1AM9T8azrR94IYtsbtutH3ggnQ0lRLlBPUi5JUV9MQVNUU0FMRVBSSUNFLjMwLzAzLzIwMjQuVVNEAQAAADaKBAACAAAAAjQyAM9T8azrR94IggMctutH3ggnQ0lRLlBPUi5JUV9MQVNUU0FMRVBSSUNFLjMxLzAzLzIwMjQuVVNEAQAAADaKBAACAAAAAjQyAM9T8azrR94IggMctutH3ggnQ0lRLlBPUi5JUV9MQVNUU0FMRVBSSUNFLjAxLzA0LzIwMjQuVVNEAQAAADaKBAACAAAABTQxLDk1AM9T8azrR94I3bIbtutH3ggnQ0lRLlBPUi5JUV9MQVNUU0FMRVBSSUNFLjAyLzA0LzIwMjQuVVNEAQAAADaKBAACAAAABTQyLDAxAM9T</t>
  </si>
  <si>
    <t>8azrR94I3bIbtutH3ggnQ0lRLlBPUi5JUV9MQVNUU0FMRVBSSUNFLjIyLzAzLzIwMjQuVVNEAQAAADaKBAACAAAABTQwLDczAM9T8azrR94I3bIbtutH3ggnQ0lRLlBPUi5JUV9MQVNUU0FMRVBSSUNFLjA1LzA0LzIwMjQuVVNEAQAAADaKBAACAAAABTQxLDM1AM9T8azrR94IBysctutH3ggoQ0lRLktJVFcuSVFfTEFTVFNBTEVQUklDRS4yNy8wMy8yMDI0LlVTRAEAAABbpsolAgAAAA00LDQ5NDg5Mjc0Mjc2AM9T8azrR94IggMctutH3ggoQ0lRLktJVFcuSVFfTEFTVFNBTEVQUklDRS4yNi8wMy8yMDI0LlVTRAEAAABbpsolAgAAAA00LDQzMjQ4OTc3MjQ5AM9T8azrR94IggMctutH3ggoQ0lRLktJVFcuSVFfTEFTVFNBTEVQUklDRS4yNS8wMy8yMDI0LlVTRAEAAABbpsolAgAAAA00LDM4NjkwNzU0NjQyAM9T8azrR94IBysctutH3ggoQ0lRLktJVFcuSVFfTEFTVFNBTEVQUklDRS4yNC8wMy8yMDI0LlVTRAEAAABbpsolAgAAAAw0LDM3MjIwNDM3MjIAz1PxrOtH3ggHKxy260feCChDSVEuS0lUVy5JUV9MQVNUU0FMRVBSSUNFLjI5LzAzLzIwMjQuVVNEAQAAAFumyiUCAAAADDQsNjg1NjQ1MDAzOQDPU/Gs60feCAcrHLbrR94IKENJUS5LSVRXLklRX0xBU1RTQUxFUFJJQ0UuMzAvMDMvMjAyNC5VU0QBAAAAW6bKJQIAAAAMNCw2ODU2NDUwMDM5AM9T8azrR94IBysctutH3ggoQ0lRLktJVFcuSVFfTEFT</t>
  </si>
  <si>
    <t>VFNBTEVQUklDRS4zMS8wMy8yMDI0LlVTRAEAAABbpsolAgAAAAw0LDY4NTY0NTAwMzkAz1PxrOtH3ggHKxy260feCChDSVEuS0lUVy5JUV9MQVNUU0FMRVBSSUNFLjAxLzA0LzIwMjQuVVNEAQAAAFumyiUCAAAADTQsNjU2NzY3Mzc2NzMAz1PxrOtH3ghzeRy260feCChDSVEuS0lUVy5JUV9MQVNUU0FMRVBSSUNFLjIxLzAzLzIwMjQuVVNEAQAAAFumyiUCAAAADDQsMzcwNzk1NDg0OQDPU/Gs60feCHN5HLbrR94IKENJUS5LSVRXLklRX0xBU1RTQUxFUFJJQ0UuMDQvMDQvMjAyNC5VU0QBAAAAW6bKJQIAAAANNCw1OTc5MDQ5NzUwNwDPU/Gs60feCHN5HLbrR94IKENJUS5LRVlTLklRX0xBU1RTQUxFUFJJQ0UuMjcvMDMvMjAyNC5VU0QBAAAAgzG5DgIAAAAGMTU1LDg0AM9T8azrR94Ic3kctutH3ggoQ0lRLktFWVMuSVFfTEFTVFNBTEVQUklDRS4yNi8wMy8yMDI0LlVTRAEAAACDMbkOAgAAAAYxNTIsMjcAz1PxrOtH3giBoBy260feCChDSVEuS0VZUy5JUV9MQVNUU0FMRVBSSUNFLjI1LzAzLzIwMjQuVVNEAQAAAIMxuQ4CAAAABjE1Miw1OADPU/Gs60feCIGgHLbrR94IKENJUS5LRVlTLklRX0xBU1RTQUxFUFJJQ0UuMjQvMDMvMjAyNC5VU0QBAAAAgzG5DgIAAAAGMTU0LDM5AM9T8azrR94IgaActutH3ggoQ0lRLktFWVMuSVFfTEFTVFNBTEVQUklDRS4yOS8wMy8yMDI0LlVTRAEAAACDMbkOAgAAAAYx</t>
  </si>
  <si>
    <t>NTYsMzgAz1PxrOtH3ghzeRy260feCChDSVEuS0VZUy5JUV9MQVNUU0FMRVBSSUNFLjMwLzAzLzIwMjQuVVNEAQAAAIMxuQ4CAAAABjE1NiwzOADPU/Gs60feCIGgHLbrR94IKENJUS5LRVlTLklRX0xBU1RTQUxFUFJJQ0UuMzEvMDMvMjAyNC5VU0QBAAAAgzG5DgIAAAAGMTU2LDM4AM9T8azrR94IgaActutH3ggoQ0lRLktFWVMuSVFfTEFTVFNBTEVQUklDRS4wMS8wNC8yMDI0LlVTRAEAAACDMbkOAgAAAAMxNTUAz1PxrOtH3ghzeRy260feCChDSVEuS0VZUy5JUV9MQVNUU0FMRVBSSUNFLjIxLzAzLzIwMjQuVVNEAQAAAIMxuQ4CAAAABjE1NCwyNADPU/Gs60feCIGgHLbrR94IKENJUS5LRVlTLklRX0xBU1RTQUxFUFJJQ0UuMDQvMDQvMjAyNC5VU0QBAAAAgzG5DgIAAAAGMTU0LDg1AM9T8azrR94Ic3kctutH3ggoQ0lRLk9HS0IuSVFfTEFTVFNBTEVQUklDRS4yNy8wMy8yMDI0LlVTRAEAAADOWaoBAgAAAA8wLDAwNjM0Mzc4NTkzNDIAz1PxrOtH3gic7hy260feCChDSVEuT0dLQi5JUV9MQVNUU0FMRVBSSUNFLjI2LzAzLzIwMjQuVVNEAQAAAM5ZqgECAAAADzAsMDA2MzA0Mjg3NDg5NQDPU/Gs60feCJzuHLbrR94IKENJUS5PR0tCLklRX0xBU1RTQUxFUFJJQ0UuMjUvMDMvMjAyNC5VU0QBAAAAzlmqAQIAAAAOMCwwMDYzMTYxODY0NDgAz1PxrOtH3giLxxy260feCChDSVEuT0dLQi5JUV9MQVNUU0FM</t>
  </si>
  <si>
    <t>RVBSSUNFLjI0LzAzLzIwMjQuVVNEAQAAAM5ZqgECAAAADzAsMDA2MzUwNTkyMjkwOQDPU/Gs60feCJzuHLbrR94IKENJUS5PR0tCLklRX0xBU1RTQUxFUFJJQ0UuMjkvMDMvMjAyNC5VU0QBAAAAzlmqAQIAAAAPMCwwMDYzMzkwMzYzMTc5AM9T8azrR94IqxUdtutH3ggoQ0lRLk9HS0IuSVFfTEFTVFNBTEVQUklDRS4zMC8wMy8yMDI0LlVTRAEAAADOWaoBAgAAAA8wLDAwNjMzOTAzNjMxNzkAz1PxrOtH3girFR2260feCChDSVEuT0dLQi5JUV9MQVNUU0FMRVBSSUNFLjMxLzAzLzIwMjQuVVNEAQAAAM5ZqgECAAAADzAsMDA2MzM5MDM2MzE3OQDPU/Gs60feCIvHHLbrR94IKENJUS5PR0tCLklRX0xBU1RTQUxFUFJJQ0UuMDEvMDQvMjAyNC5VU0QBAAAAzlmqAQIAAAAOMCwwMDYzNDExNjg2OTEAz1PxrOtH3gic7hy260feCChDSVEuT0dLQi5JUV9MQVNUU0FMRVBSSUNFLjIxLzAzLzIwMjQuVVNEAQAAAM5ZqgECAAAADzAsMDA2Mzc1NDEwOTU2MgDPU/Gs60feCIvHHLbrR94IKENJUS5PR0tCLklRX0xBU1RTQUxFUFJJQ0UuMDQvMDQvMjAyNC5VU0QBAAAAzlmqAQIAAAAPMCwwMDYzNTM4MzMzNTczAM9T8azrR94IqxUdtutH3ggnQ0lRLkhPTi5JUV9MQVNUU0FMRVBSSUNFLjI2LzAzLzIwMjQuVVNEAQAAAER1FAACAAAAAzIwMQDPU/Gs60feCKsVHbbrR94IJ0NJUS5IT04uSVFfTEFTVFNBTEVQUklDRS4y</t>
  </si>
  <si>
    <t>NS8wMy8yMDI0LlVTRAEAAABEdRQAAgAAAAYxOTgsNDgAz1PxrOtH3gi9PB2260feCCdDSVEuSE9OLklRX0xBU1RTQUxFUFJJQ0UuMjQvMDMvMjAyNC5VU0QBAAAARHUUAAIAAAAGMjAwLDczAM9T8azrR94IvTwdtutH3ggnQ0lRLkhPTi5JUV9MQVNUU0FMRVBSSUNFLjIzLzAzLzIwMjQuVVNEAQAAAER1FAACAAAABjIwMCw3MwDoevGs60feCL08HbbrR94IJ0NJUS5IT04uSVFfTEFTVFNBTEVQUklDRS4yOC8wMy8yMDI0LlVTRAEAAABEdRQAAgAAAAYyMDUsMjUA6HrxrOtH3gi9PB2260feCCdDSVEuSE9OLklRX0xBU1RTQUxFUFJJQ0UuMjkvMDMvMjAyNC5VU0QBAAAARHUUAAIAAAAGMjA1LDI1AOh68azrR94IqxUdtutH3ggnQ0lRLkhPTi5JUV9MQVNUU0FMRVBSSUNFLjMwLzAzLzIwMjQuVVNEAQAAAER1FAACAAAABjIwNSwyNQDoevGs60feCL08HbbrR94IJ0NJUS5IT04uSVFfTEFTVFNBTEVQUklDRS4zMS8wMy8yMDI0LlVTRAEAAABEdRQAAgAAAAYyMDUsMjUA6HrxrOtH3gjPYx2260feCCdDSVEuSE9OLklRX0xBU1RTQUxFUFJJQ0UuMjAvMDMvMjAyNC5VU0QBAAAARHUUAAIAAAAGMjAxLDE4AOh68azrR94Iz2MdtutH3ggnQ0lRLkhPTi5JUV9MQVNUU0FMRVBSSUNFLjAzLzA0LzIwMjQuVVNEAQAAAER1FAACAAAABjE5Nyw5NwDoevGs60feCM9jHbbrR94IJkNJUS5HTy5JUV9MQVNUU0FMRVBSSUNF</t>
  </si>
  <si>
    <t>LjI2LzAzLzIwMjQuVVNEAQAAAFFqGAACAAAABTI3LDg2AOh68azrR94Iz2MdtutH3ggmQ0lRLkdPLklRX0xBU1RTQUxFUFJJQ0UuMjUvMDMvMjAyNC5VU0QBAAAAUWoYAAIAAAAEMjcsNwDoevGs60feCNyKHbbrR94IJkNJUS5HTy5JUV9MQVNUU0FMRVBSSUNFLjI0LzAzLzIwMjQuVVNEAQAAAFFqGAACAAAABTI4LDIyAOh68azrR94Iz2MdtutH3ggmQ0lRLkdPLklRX0xBU1RTQUxFUFJJQ0UuMjMvMDMvMjAyNC5VU0QBAAAAUWoYAAIAAAAFMjgsMjIA6HrxrOtH3gjcih2260feCCZDSVEuR08uSVFfTEFTVFNBTEVQUklDRS4yOC8wMy8yMDI0LlVTRAEAAABRahgAAgAAAAUyOCw3OADoevGs60feCNyKHbbrR94IJkNJUS5HTy5JUV9MQVNUU0FMRVBSSUNFLjI5LzAzLzIwMjQuVVNEAQAAAFFqGAACAAAABTI4LDc4AOh68azrR94I3IodtutH3ggmQ0lRLkdPLklRX0xBU1RTQUxFUFJJQ0UuMzAvMDMvMjAyNC5VU0QBAAAAUWoYAAIAAAAFMjgsNzgA6HrxrOtH3gjcih2260feCCZDSVEuR08uSVFfTEFTVFNBTEVQUklDRS4zMS8wMy8yMDI0LlVTRAEAAABRahgAAgAAAAUyOCw3OADoevGs60feCNyKHbbrR94IJkNJUS5HTy5JUV9MQVNUU0FMRVBSSUNFLjIwLzAzLzIwMjQuVVNEAQAAAFFqGAACAAAABTI4LDE4AOh68azrR94Iz2MdtutH3ggmQ0lRLkdPLklRX0xBU1RTQUxFUFJJQ0UuMDMvMDQvMjAyNC5VU0QB</t>
  </si>
  <si>
    <t>AAAAUWoYAAIAAAAFMjYsNTkA6HrxrOtH3gjPYx2260feCChDSVEuRE1FVC5JUV9MQVNUU0FMRVBSSUNFLjI2LzAzLzIwMjQuVVNEAQAAAPm0HCkCAAAADTAsNDI3MzcyNDY5ODgA6HrxrOtH3gjosR2260feCChDSVEuRE1FVC5JUV9MQVNUU0FMRVBSSUNFLjI1LzAzLzIwMjQuVVNEAQAAAPm0HCkCAAAADDAsNDQxODM1OTc1OADoevGs60feCOixHbbrR94IKENJUS5ETUVULklRX0xBU1RTQUxFUFJJQ0UuMjQvMDMvMjAyNC5VU0QBAAAA+bQcKQIAAAANMCw0NTU3ODE4MTI3MgDoevGs60feCNyKHbbrR94IKENJUS5ETUVULklRX0xBU1RTQUxFUFJJQ0UuMjMvMDMvMjAyNC5VU0QBAAAA+bQcKQIAAAANMCw0NTU3ODE4MTI3MgDoevGs60feCPjYHbbrR94IKENJUS5ETUVULklRX0xBU1RTQUxFUFJJQ0UuMjgvMDMvMjAyNC5VU0QBAAAA+bQcKQIAAAAMMCw1MTcyNTAyOTcyAOh68azrR94I+NgdtutH3ggoQ0lRLkRNRVQuSVFfTEFTVFNBTEVQUklDRS4yOS8wMy8yMDI0LlVTRAEAAAD5tBwpAgAAAAwwLDUxNjk0MDg5MTYA6HrxrOtH3gj42B2260feCChDSVEuRE1FVC5JUV9MQVNUU0FMRVBSSUNFLjMwLzAzLzIwMjQuVVNEAQAAAPm0HCkCAAAADDAsNTE2OTQwODkxNgDoevGs60feCOixHbbrR94IKENJUS5ETUVULklRX0xBU1RTQUxFUFJJQ0UuMzEvMDMvMjAyNC5VU0QBAAAA+bQcKQIAAAAMMCw1MTY5NDA4</t>
  </si>
  <si>
    <t>OTE2AOh68azrR94I6LEdtutH3ggoQ0lRLkRNRVQuSVFfTEFTVFNBTEVQUklDRS4yMC8wMy8yMDI0LlVTRAEAAAD5tBwpAgAAAA0wLDQ5NDExNDg3MDk0AOh68azrR94I6LEdtutH3ggoQ0lRLkRNRVQuSVFfTEFTVFNBTEVQUklDRS4wMy8wNC8yMDI0LlVTRAEAAAD5tBwpAgAAAA0wLDU0MDA2NDY1OTQ2AOh68azrR94IBwAetutH3ggqQ0lRLkNBTFZJSy5JUV9MQVNUU0FMRVBSSUNFLjI2LzAzLzIwMjQuVVNEAQAAAGxmxSgCAAAADDEsODgxMTg4MzEyNADoevGs60feCPjYHbbrR94IKkNJUS5DQUxWSUsuSVFfTEFTVFNBTEVQUklDRS4yNS8wMy8yMDI0LlVTRAEAAABsZsUoAgAAAAoxLDg5MjI2OTMyAOh68azrR94IBwAetutH3ggqQ0lRLkNBTFZJSy5JUV9MQVNUU0FMRVBSSUNFLjI0LzAzLzIwMjQuVVNEAQAAAGxmxSgCAAAACjEsODkzNjQxNzIA6HrxrOtH3ggHAB6260feCCpDSVEuQ0FMVklLLklRX0xBU1RTQUxFUFJJQ0UuMjMvMDMvMjAyNC5VU0QBAAAAbGbFKAIAAAAKMSw4OTM2NDE3MgDoevGs60feCAcAHrbrR94IKkNJUS5DQUxWSUsuSVFfTEFTVFNBTEVQUklDRS4yOC8wMy8yMDI0LlVTRAEAAABsZsUoAgAAAAwxLDg1MzE1MTc1NTQA6HrxrOtH3ggHAB6260feCCpDSVEuQ0FMVklLLklRX0xBU1RTQUxFUFJJQ0UuMjkvMDMvMjAyNC5VU0QBAAAAbGbFKAIAAAAMMSw4NTE4MTg5MzgyAOh68azr</t>
  </si>
  <si>
    <t>R94I+NgdtutH3ggqQ0lRLkNBTFZJSy5JUV9MQVNUU0FMRVBSSUNFLjMwLzAzLzIwMjQuVVNEAQAAAGxmxSgCAAAADDEsODUxODE4OTM4MgDoevGs60feCAcAHrbrR94IKkNJUS5DQUxWSUsuSVFfTEFTVFNBTEVQUklDRS4zMS8wMy8yMDI0LlVTRAEAAABsZsUoAgAAAAwxLDg1MTgxODkzODIA6HrxrOtH3ggHAB6260feCCpDSVEuQ0FMVklLLklRX0xBU1RTQUxFUFJJQ0UuMjAvMDMvMjAyNC5VU0QBAAAAbGbFKAIAAAAMMSw5NjY3MzkxODU2AOh68azrR94IGScetutH3ggqQ0lRLkNBTFZJSy5JUV9MQVNUU0FMRVBSSUNFLjAzLzA0LzIwMjQuVVNEAQAAAGxmxSgCAAAACjEsODc5MjUwNjQA6HrxrOtH3ggZJx6260feCCdDSVEuU0xWLklRX0xBU1RTQUxFUFJJQ0UuMjYvMDMvMjAyNC5VU0QBAAAA7nBbAQIAAAAFMjIsMzQA6HrxrOtH3ggZJx6260feCCdDSVEuU0xWLklRX0xBU1RTQUxFUFJJQ0UuMjUvMDMvMjAyNC5VU0QBAAAA7nBbAQIAAAAFMjIsNTgA6HrxrOtH3ggrTh6260feCCdDSVEuU0xWLklRX0xBU1RTQUxFUFJJQ0UuMjQvMDMvMjAyNC5VU0QBAAAA7nBbAQIAAAAFMjIsNTYA6HrxrOtH3ggZJx6260feCCdDSVEuU0xWLklRX0xBU1RTQUxFUFJJQ0UuMjMvMDMvMjAyNC5VU0QBAAAA7nBbAQIAAAAFMjIsNTYA6HrxrOtH3ggrTh6260feCCdDSVEuU0xWLklRX0xBU1RTQUxFUFJJQ0UuMjgvMDMv</t>
  </si>
  <si>
    <t>MjAyNC5VU0QBAAAA7nBbAQIAAAAFMjIsNzUA6HrxrOtH3ggZJx6260feCCdDSVEuU0xWLklRX0xBU1RTQUxFUFJJQ0UuMjkvMDMvMjAyNC5VU0QBAAAA7nBbAQIAAAAFMjIsNzUA6HrxrOtH3ggZJx6260feCCdDSVEuU0xWLklRX0xBU1RTQUxFUFJJQ0UuMzAvMDMvMjAyNC5VU0QBAAAA7nBbAQIAAAAFMjIsNzUA6HrxrOtH3ggrTh6260feCCdDSVEuU0xWLklRX0xBU1RTQUxFUFJJQ0UuMzEvMDMvMjAyNC5VU0QBAAAA7nBbAQIAAAAFMjIsNzUA6HrxrOtH3ggrTh6260feCCdDSVEuU0xWLklRX0xBU1RTQUxFUFJJQ0UuMjAvMDMvMjAyNC5VU0QBAAAA7nBbAQIAAAAFMjMsMjkA6HrxrOtH3ggrTh6260feCCdDSVEuU0xWLklRX0xBU1RTQUxFUFJJQ0UuMDMvMDQvMjAyNC5VU0QBAAAA7nBbAQIAAAAFMjQsNzMA6HrxrOtH3ggZJx6260feCCdDSVEuTVBLLklRX0xBU1RTQUxFUFJJQ0UuMjUvMDMvMjAyNC5VU0QBAAAAtCP7KAIAAAAOMCwwNDc3MzczNzkwMjcA6HrxrOtH3gg6dR6260feCCdDSVEuTVBLLklRX0xBU1RTQUxFUFJJQ0UuMjQvMDMvMjAyNC5VU0QBAAAAtCP7KAIAAAAOMCwwNDc1Nzg3MDAzODcA6HrxrOtH3gg6dR6260feCCdDSVEuTVBLLklRX0xBU1RTQUxFUFJJQ0UuMjMvMDMvMjAyNC5VU0QBAAAAtCP7KAIAAAAOMCwwNDc1Nzg3MDAzODcA6HrxrOtH3ggrTh6260feCCdDSVEuTVBLLklR</t>
  </si>
  <si>
    <t>X0xBU1RTQUxFUFJJQ0UuMjIvMDMvMjAyNC5VU0QBAAAAtCP7KAIAAAAOMCwwNDc1Nzg3MDAzODcA6HrxrOtH3gg6dR6260feCCdDSVEuTVBLLklRX0xBU1RTQUxFUFJJQ0UuMjcvMDMvMjAyNC5VU0QBAAAAtCP7KAIAAAAOMCwxMzM3MzM0NDYzNzUA6HrxrOtH3ghInB6260feCCdDSVEuTVBLLklRX0xBU1RTQUxFUFJJQ0UuMjgvMDMvMjAyNC5VU0QBAAAAtCP7KAIAAAAOMCwxMzM3NTA4OTcyMDUA6HrxrOtH3ghInB6260feCCdDSVEuTVBLLklRX0xBU1RTQUxFUFJJQ0UuMjkvMDMvMjAyNC5VU0QBAAAAtCP7KAIAAAANMCwxMzM2ODExMjE1NgDoevGs60feCDp1HrbrR94IJ0NJUS5NUEsuSVFfTEFTVFNBTEVQUklDRS4zMC8wMy8yMDI0LlVTRAEAAAC0I/soAgAAAA0wLDEzMzY4MTEyMTU2AOh68azrR94IOnUetutH3ggnQ0lRLk1QSy5JUV9MQVNUU0FMRVBSSUNFLjE5LzAzLzIwMjQuVVNEAQAAALQj+ygCAAAADjAsMDU1NTA0NzY2ODQ1AOh68azrR94IOnUetutH3ggnQ0lRLk1QSy5JUV9MQVNUU0FMRVBSSUNFLjAyLzA0LzIwMjQuVVNEAQAAALQj+ygCAAAADTAsMTMzNDg5NjEzODQA6HrxrOtH3ghInB6260feCChDSVEuRk5UTC5JUV9MQVNUU0FMRVBSSUNFLjI1LzAzLzIwMjQuVVNEAQAAAF/D5xUCAAAADDMsMjIzODA4MTM5MwDoevGs60feCEicHrbrR94IKENJUS5GTlRMLklRX0xBU1RTQUxFUFJJ</t>
  </si>
  <si>
    <t>Q0UuMjQvMDMvMjAyNC5VU0QBAAAAX8PnFQIAAAAMMywyODg2MDMyODg2AOh68azrR94ISJwetutH3ggoQ0lRLkZOVEwuSVFfTEFTVFNBTEVQUklDRS4yMy8wMy8yMDI0LlVTRAEAAABfw+cVAgAAAAwzLDI4ODYwMzI4ODYA6HrxrOtH3ghInB6260feCChDSVEuRk5UTC5JUV9MQVNUU0FMRVBSSUNFLjIyLzAzLzIwMjQuVVNEAQAAAF/D5xUCAAAADDMsMjg4NjAzMjg4NgDoevGs60feCEicHrbrR94IKENJUS5GTlRMLklRX0xBU1RTQUxFUFJJQ0UuMjcvMDMvMjAyNC5VU0QBAAAAX8PnFQIAAAANMyw2MjM2OTE2MjEyNwDoevGs60feCEicHrbrR94IKENJUS5GTlRMLklRX0xBU1RTQUxFUFJJQ0UuMjgvMDMvMjAyNC5VU0QBAAAAX8PnFQIAAAANMyw2MDI3MTUzMDk3NQDoevGs60feCFjDHrbrR94IKENJUS5GTlRMLklRX0xBU1RTQUxFUFJJQ0UuMjkvMDMvMjAyNC5VU0QBAAAAX8PnFQIAAAAMMyw1OTk0ODQ3MDY1AOh68azrR94IWMMetutH3ggoQ0lRLkZOVEwuSVFfTEFTVFNBTEVQUklDRS4zMC8wMy8yMDI0LlVTRAEAAABfw+cVAgAAAAwzLDU5OTQ4NDcwNjUA6HrxrOtH3ghYwx6260feCChDSVEuRk5UTC5JUV9MQVNUU0FMRVBSSUNFLjE5LzAzLzIwMjQuVVNEAQAAAF/D5xUCAAAADTMsMzcxMjAxMDM3NzUA6HrxrOtH3ghYwx6260feCChDSVEuRk5UTC5JUV9MQVNUU0FMRVBSSUNFLjAyLzA0LzIwMjQu</t>
  </si>
  <si>
    <t>VVNEAQAAAF/D5xUCAAAADDMsNDk1MjcyNTgwMQDoevGs60feCFjDHrbrR94IJ0NJUS5SRVAuSVFfTEFTVFNBTEVQUklDRS4yNS8wMy8yMDI0LlVTRAEAAACu7wQAAgAAAA4xNiw2NDMxODk5NDQzMgDoevGs60feCGnqHrbrR94IJ0NJUS5SRVAuSVFfTEFTVFNBTEVQUklDRS4yNC8wMy8yMDI0LlVTRAEAAACu7wQAAgAAAA0xNiw1MTcxMzMyODE2AOh68azrR94IaeoetutH3ggnQ0lRLlJFUC5JUV9MQVNUU0FMRVBSSUNFLjIzLzAzLzIwMjQuVVNEAQAAAK7vBAACAAAADTE2LDUxNzEzMzI4MTYA6HrxrOtH3ghYwx6260feCCdDSVEuUkVQLklRX0xBU1RTQUxFUFJJQ0UuMjIvMDMvMjAyNC5VU0QBAAAAru8EAAIAAAANMTYsNTE3MTMzMjgxNgDoevGs60feCGnqHrbrR94IJ0NJUS5SRVAuSVFfTEFTVFNBTEVQUklDRS4yNy8wMy8yMDI0LlVTRAEAAACu7wQAAgAAAA4xNiw2MzA1OTk0MzAyMwDoevGs60feCFjDHrbrR94IJ0NJUS5SRVAuSVFfTEFTVFNBTEVQUklDRS4yOC8wMy8yMDI0LlVTRAEAAACu7wQAAgAAAAwxNiw2Nzc0NjgxMzYA6HrxrOtH3ghp6h6260feCCdDSVEuUkVQLklRX0xBU1RTQUxFUFJJQ0UuMjkvMDMvMjAyNC5VU0QBAAAAru8EAAIAAAAOMTYsNjU3Njc2MTI0OTYA6HrxrOtH3ghp6h6260feCCdDSVEuUkVQLklRX0xBU1RTQUxFUFJJQ0UuMzAvMDMvMjAyNC5VU0QBAAAAru8EAAIAAAAO</t>
  </si>
  <si>
    <t>MTYsNjU3Njc2MTI0OTYA6HrxrOtH3ghp6h6260feCCdDSVEuUkVQLklRX0xBU1RTQUxFUFJJQ0UuMTkvMDMvMjAyNC5VU0QBAAAAru8EAAIAAAAPMTYsNzczNDU3ODU3NTM1AOh68azrR94IaeoetutH3ggnQ0lRLlJFUC5JUV9MQVNUU0FMRVBSSUNFLjAyLzA0LzIwMjQuVVNEAQAAAK7vBAACAAAADjE3LDE2MDI0MTIyNTc3AOh68azrR94IWMMetutH3ggoQ0lRLldJSVQuSVFfTEFTVFNBTEVQUklDRS4yNS8wMy8yMDI0LlVTRAEAAABf1OMKAgAAAA4xOSwyMjIwMTc1NTI4OADoevGs60feCHkRH7brR94IKENJUS5XSUlULklRX0xBU1RTQUxFUFJJQ0UuMjQvMDMvMjAyNC5VU0QBAAAAX9TjCgIAAAANMTksMDQ2NTg5NTU2NADoevGs60feCHkRH7brR94IKENJUS5XSUlULklRX0xBU1RTQUxFUFJJQ0UuMjMvMDMvMjAyNC5VU0QBAAAAX9TjCgIAAAANMTksMDQ2NTg5NTU2NADoevGs60feCGnqHrbrR94IKENJUS5XSUlULklRX0xBU1RTQUxFUFJJQ0UuMjIvMDMvMjAyNC5VU0QBAAAAX9TjCgIAAAANMTksMDQ2NTg5NTU2NADoevGs60feCIo4H7brR94IKENJUS5XSUlULklRX0xBU1RTQUxFUFJJQ0UuMjcvMDMvMjAyNC5VU0QBAAAAX9TjCgIAAAAMMTksNDc2MzAzODIyAOh68azrR94IijgftutH3ggoQ0lRLldJSVQuSVFfTEFTVFNBTEVQUklDRS4yOC8wMy8yMDI0LlVTRAEAAABf1OMKAgAAAAwxOSw1MDc0</t>
  </si>
  <si>
    <t>NTMwMTQA6HrxrOtH3giKOB+260feCChDSVEuV0lJVC5JUV9MQVNUU0FMRVBSSUNFLjI5LzAzLzIwMjQuVVNEAQAAAF/U4woCAAAADjE5LDQ4NDMwMjUxNDA0AOh68azrR94IeREftutH3ggoQ0lRLldJSVQuSVFfTEFTVFNBTEVQUklDRS4zMC8wMy8yMDI0LlVTRAEAAABf1OMKAgAAAA4xOSw0ODQzMDI1MTQwNADoevGs60feCHkRH7brR94IKENJUS5XSUlULklRX0xBU1RTQUxFUFJJQ0UuMTkvMDMvMjAyNC5VU0QBAAAAX9TjCgIAAAAOMTksMDkyMDkzODI1NTQA6HrxrOtH3gh5ER+260feCChDSVEuV0lJVC5JUV9MQVNUU0FMRVBSSUNFLjAyLzA0LzIwMjQuVVNEAQAAAF/U4woCAAAADDE4LDg0NTU3Mzk4NQDoevGs60feCIo4H7brR94IKUNJUS5WSU1BQi5JUV9MQVNUU0FMRVBSSUNFLjI1LzAzLzIwMjQuVVNEAQAAAMYlqyICAAAADDAsOTI3MjExOTY2OADoevGs60feCIo4H7brR94IKUNJUS5WSU1BQi5JUV9MQVNUU0FMRVBSSUNFLjI0LzAzLzIwMjQuVVNEAQAAAMYlqyICAAAADTAsOTE3NDY5NDEzMzQA6HrxrOtH3giZXx+260feCClDSVEuVklNQUIuSVFfTEFTVFNBTEVQUklDRS4yMy8wMy8yMDI0LlVTRAEAAADGJasiAgAAAA0wLDkxNzQ2OTQxMzM0AOh68azrR94ImV8ftutH3ggpQ0lRLlZJTUFCLklRX0xBU1RTQUxFUFJJQ0UuMjIvMDMvMjAyNC5VU0QBAAAAxiWrIgIAAAANMCw5MTc0Njk0MTMz</t>
  </si>
  <si>
    <t>NADoevGs60feCJlfH7brR94IKUNJUS5WSU1BQi5JUV9MQVNUU0FMRVBSSUNFLjI3LzAzLzIwMjQuVVNEAQAAAMYlqyICAAAACzAsOTA4NTIyNjAzAOh68azrR94ImV8ftutH3ggpQ0lRLlZJTUFCLklRX0xBU1RTQUxFUFJJQ0UuMjgvMDMvMjAyNC5VU0QBAAAAxiWrIgIAAAAMMCw5MTcyMTY1MjU0AOh68azrR94IijgftutH3ggpQ0lRLlZJTUFCLklRX0xBU1RTQUxFUFJJQ0UuMTkvMDMvMjAyNC5VU0QBAAAAxiWrIgIAAAAMMCw5MjQ4OTQ3MTU4AOh68azrR94ImV8ftutH3ggmQ0lRLklQLklRX0xBU1RTQUxFUFJJQ0UuMjUvMDMvMjAyNC5VU0QBAAAAbO4AAAIAAAAFNDAsODUA6HrxrOtH3giqhh+260feCCZDSVEuSVAuSVFfTEFTVFNBTEVQUklDRS4yNC8wMy8yMDI0LlVTRAEAAABs7gAAAgAAAAUzOSw1MwDoevGs60feCKqGH7brR94IJkNJUS5JUC5JUV9MQVNUU0FMRVBSSUNFLjIzLzAzLzIwMjQuVVNEAQAAAGzuAAACAAAABTM5LDUzAOh68azrR94IqoYftutH3ggmQ0lRLklQLklRX0xBU1RTQUxFUFJJQ0UuMjIvMDMvMjAyNC5VU0QBAAAAbO4AAAIAAAAFMzksNTMA6HrxrOtH3giqhh+260feCCZDSVEuSVAuSVFfTEFTVFNBTEVQUklDRS4yNy8wMy8yMDI0LlVTRAEAAABs7gAAAgAAAAUzOSwzOQDoevGs60feCKqGH7brR94IJkNJUS5JUC5JUV9MQVNUU0FMRVBSSUNFLjI4LzAzLzIwMjQuVVNEAQAA</t>
  </si>
  <si>
    <t>AGzuAAACAAAABTM5LDAyAOh68azrR94IqoYftutH3ggmQ0lRLklQLklRX0xBU1RTQUxFUFJJQ0UuMjkvMDMvMjAyNC5VU0QBAAAAbO4AAAIAAAAFMzksMDIA6HrxrOtH3giZXx+260feCCZDSVEuSVAuSVFfTEFTVFNBTEVQUklDRS4zMC8wMy8yMDI0LlVTRAEAAABs7gAAAgAAAAUzOSwwMgDoevGs60feCKqGH7brR94IJkNJUS5JUC5JUV9MQVNUU0FMRVBSSUNFLjE5LzAzLzIwMjQuVVNEAQAAAGzuAAACAAAABTM4LDc3AOh68azrR94IqoYftutH3ggmQ0lRLklQLklRX0xBU1RTQUxFUFJJQ0UuMDIvMDQvMjAyNC5VU0QBAAAAbO4AAAIAAAAEMzgsNwDoevGs60feCKqGH7brR94IKENJUS5UT1JHLklRX0xBU1RTQUxFUFJJQ0UuMjQvMDMvMjAyNC5VU0QBAAAAL/l2AgIAAAAKNiw2OTY5NzY2OAD0ofGs60feCLitH7brR94IKENJUS5UT1JHLklRX0xBU1RTQUxFUFJJQ0UuMjMvMDMvMjAyNC5VU0QBAAAAL/l2AgIAAAAKNiw2OTY5NzY2OAD0ofGs60feCLitH7brR94IKENJUS5UT1JHLklRX0xBU1RTQUxFUFJJQ0UuMjIvMDMvMjAyNC5VU0QBAAAAL/l2AgIAAAAKNiw2OTY5NzY2OAD0ofGs60feCLitH7brR94IKENJUS5UT1JHLklRX0xBU1RTQUxFUFJJQ0UuMjEvMDMvMjAyNC5VU0QBAAAAL/l2AgIAAAALNiwwOTQ5ODgwNTUA9KHxrOtH3gjK1B+260feCChDSVEuVE9SRy5JUV9MQVNUU0FMRVBSSUNFLjI2</t>
  </si>
  <si>
    <t>LzAzLzIwMjQuVVNEAQAAAC/5dgICAAAACjYsNTE2NTkyNjcA9KHxrOtH3gjK1B+260feCChDSVEuVE9SRy5JUV9MQVNUU0FMRVBSSUNFLjI3LzAzLzIwMjQuVVNEAQAAAC/5dgICAAAACjYsNDg0NjM5NzcA9KHxrOtH3gjK1B+260feCChDSVEuVE9SRy5JUV9MQVNUU0FMRVBSSUNFLjI4LzAzLzIwMjQuVVNEAQAAAC/5dgICAAAACjYsNDU3NzMxMzUA9KHxrOtH3gi4rR+260feCChDSVEuVE9SRy5JUV9MQVNUU0FMRVBSSUNFLjI5LzAzLzIwMjQuVVNEAQAAAC/5dgICAAAACjYsNDYzMzE4MzMA9KHxrOtH3gi4rR+260feCChDSVEuVE9SRy5JUV9MQVNUU0FMRVBSSUNFLjE4LzAzLzIwMjQuVVNEAQAAAC/5dgICAAAACzYsOTQzMDk1NzMyAPSh8azrR94IuK0ftutH3ggoQ0lRLlRPUkcuSVFfTEFTVFNBTEVQUklDRS4wMS8wNC8yMDI0LlVTRAEAAAAv+XYCAgAAAAo2LDM4MzM2MDk3APSh8azrR94I2PsftutH3ggnQ0lRLlNTRS5JUV9MQVNUU0FMRVBSSUNFLjI0LzAzLzIwMjQuVVNEAQAAAKNiDQACAAAADTIwLDM5OTQyMDM5OTQA9KHxrOtH3gjK1B+260feCCdDSVEuU1NFLklRX0xBU1RTQUxFUFJJQ0UuMjMvMDMvMjAyNC5VU0QBAAAAo2INAAIAAAANMjAsMzk5NDIwMzk5NAD0ofGs60feCNj7H7brR94IJ0NJUS5TU0UuSVFfTEFTVFNBTEVQUklDRS4yMi8wMy8yMDI0LlVTRAEAAACjYg0AAgAAAA0yMCwz</t>
  </si>
  <si>
    <t>OTk0MjAzOTk0APSh8azrR94I2PsftutH3ggnQ0lRLlNTRS5JUV9MQVNUU0FMRVBSSUNFLjIxLzAzLzIwMjQuVVNEAQAAAKNiDQACAAAADjIwLDUxMTA2NjM0Nzk4APSh8azrR94I2PsftutH3ggnQ0lRLlNTRS5JUV9MQVNUU0FMRVBSSUNFLjI2LzAzLzIwMjQuVVNEAQAAAKNiDQACAAAADjIwLDM2OTI0Nzg3MTg3APSh8azrR94I2PsftutH3ggnQ0lRLlNTRS5JUV9MQVNUU0FMRVBSSUNFLjI3LzAzLzIwMjQuVVNEAQAAAKNiDQACAAAADjIwLDkzNDA3OTEyMjE4APSh8azrR94IytQftutH3ggnQ0lRLlNTRS5JUV9MQVNUU0FMRVBSSUNFLjI4LzAzLzIwMjQuVVNEAQAAAKNiDQACAAAADTIwLDg1NzgyNTQ3NzUA9KHxrOtH3gjY+x+260feCCdDSVEuU1NFLklRX0xBU1RTQUxFUFJJQ0UuMjkvMDMvMjAyNC5VU0QBAAAAo2INAAIAAAAMMjAsODM5MTIxOTg1APSh8azrR94I2PsftutH3ggnQ0lRLlNTRS5JUV9MQVNUU0FMRVBSSUNFLjE4LzAzLzIwMjQuVVNEAQAAAKNiDQACAAAADjIwLDQ2ODkxNDk4MDE1APSh8azrR94I2PsftutH3ggnQ0lRLlNTRS5JUV9MQVNUU0FMRVBSSUNFLjAxLzA0LzIwMjQuVVNEAQAAAKNiDQACAAAADTIwLDcxMDY5MDQ4OTUA9KHxrOtH3gjpIiC260feCChDSVEuTVlDUi5JUV9MQVNUU0FMRVBSSUNFLjIxLzAzLzIwMjQuVVNEAQAAAHliBgACAAAADTE2LDg0OTExOTE4NTQA9KHx</t>
  </si>
  <si>
    <t>rOtH3gjpIiC260feCChDSVEuTVlDUi5JUV9MQVNUU0FMRVBSSUNFLjIwLzAzLzIwMjQuVVNEAQAAAHliBgACAAAADDE2LDUxNjc5MDI0OAD0ofGs60feCOkiILbrR94IKENJUS5NWUNSLklRX0xBU1RTQUxFUFJJQ0UuMTkvMDMvMjAyNC5VU0QBAAAAeWIGAAIAAAANMTYsNjM4NTIwNDgzMgD0ofGs60feCOkiILbrR94IKENJUS5NWUNSLklRX0xBU1RTQUxFUFJJQ0UuMTgvMDMvMjAyNC5VU0QBAAAAeWIGAAIAAAAMMTYsNzk3Mjc0ODM5APSh8azrR94I+UkgtutH3ggoQ0lRLk1ZQ1IuSVFfTEFTVFNBTEVQUklDRS4yMy8wMy8yMDI0LlVTRAEAAAB5YgYAAgAAAA0xNiw2MjYxNzQzMDE2APSh8azrR94I6SIgtutH3ggoQ0lRLk1ZQ1IuSVFfTEFTVFNBTEVQUklDRS4yNC8wMy8yMDI0LlVTRAEAAAB5YgYAAgAAAA0xNiw2MjYxNzQzMDE2APSh8azrR94I6SIgtutH3ggoQ0lRLk1ZQ1IuSVFfTEFTVFNBTEVQUklDRS4yNS8wMy8yMDI0LlVTRAEAAAB5YgYAAgAAAA0xNiw1NzYyNzkyNDMyAPSh8azrR94I6SIgtutH3ggoQ0lRLk1ZQ1IuSVFfTEFTVFNBTEVQUklDRS4yNi8wMy8yMDI0LlVTRAEAAAB5YgYAAgAAAA0xNiw1MTQ3NTM2NzcyAPSh8azrR94I6SIgtutH3ggoQ0lRLk1ZQ1IuSVFfTEFTVFNBTEVQUklDRS4xNS8wMy8yMDI0LlVTRAEAAAB5YgYAAgAAAA0xNiw4NTM0NDQ0ODg4APSh8azrR94I+UkgtutH</t>
  </si>
  <si>
    <t>3ggoQ0lRLk1ZQ1IuSVFfTEFTVFNBTEVQUklDRS4yOS8wMy8yMDI0LlVTRAEAAAB5YgYAAgAAAAwxNyw2NzY0NTM1MDEA9KHxrOtH3gjpIiC260feCChDSVEuUk9BRC5JUV9MQVNUU0FMRVBSSUNFLjIxLzAzLzIwMjQuVVNEAQAAADJ9VAACAAAABTUzLDk2APSh8azrR94ICXEgtutH3ggoQ0lRLlJPQUQuSVFfTEFTVFNBTEVQUklDRS4yMC8wMy8yMDI0LlVTRAEAAAAyfVQAAgAAAAU1MywwMwD0ofGs60feCAlxILbrR94IKENJUS5ST0FELklRX0xBU1RTQUxFUFJJQ0UuMTkvMDMvMjAyNC5VU0QBAAAAMn1UAAIAAAAFNTEsOTYA9KHxrOtH3gj5SSC260feCChDSVEuUk9BRC5JUV9MQVNUU0FMRVBSSUNFLjE4LzAzLzIwMjQuVVNEAQAAADJ9VAACAAAABTUxLDIxAPSh8azrR94ICXEgtutH3ggoQ0lRLlJPQUQuSVFfTEFTVFNBTEVQUklDRS4yMy8wMy8yMDI0LlVTRAEAAAAyfVQAAgAAAAU1NCw3NQD0ofGs60feCAlxILbrR94IKENJUS5ST0FELklRX0xBU1RTQUxFUFJJQ0UuMjQvMDMvMjAyNC5VU0QBAAAAMn1UAAIAAAAFNTQsNzUA9KHxrOtH3ggJcSC260feCChDSVEuUk9BRC5JUV9MQVNUU0FMRVBSSUNFLjI1LzAzLzIwMjQuVVNEAQAAADJ9VAACAAAABDU1LDUA9KHxrOtH3gj5SSC260feCChDSVEuUk9BRC5JUV9MQVNUU0FMRVBSSUNFLjI2LzAzLzIwMjQuVVNEAQAAADJ9VAACAAAABTU1LDg4APSh8azr</t>
  </si>
  <si>
    <t>R94I+UkgtutH3ggoQ0lRLlJPQUQuSVFfTEFTVFNBTEVQUklDRS4xNS8wMy8yMDI0LlVTRAEAAAAyfVQAAgAAAAQ1MSw0APSh8azrR94I+UkgtutH3ggoQ0lRLlJPQUQuSVFfTEFTVFNBTEVQUklDRS4yOS8wMy8yMDI0LlVTRAEAAAAyfVQAAgAAAAU1NiwxNQD0ofGs60feCBuYILbrR94IKkNJUS5CQUhOIEIuSVFfTEFTVFNBTEVQUklDRS4yMS8wMy8yMDI0LlVTRAEAAAC08BIAAgAAAAw0LDAyNTgxMTExMDcA9KHxrOtH3ggbmCC260feCCpDSVEuQkFITiBCLklRX0xBU1RTQUxFUFJJQ0UuMjAvMDMvMjAyNC5VU0QBAAAAtPASAAIAAAALNCwwMDk4NTY1OTIA9KHxrOtH3ggbmCC260feCCpDSVEuQkFITiBCLklRX0xBU1RTQUxFUFJJQ0UuMTkvMDMvMjAyNC5VU0QBAAAAtPASAAIAAAAMNCwxMTY1MDAzMTU0APSh8azrR94IG5ggtutH3ggqQ0lRLkJBSE4gQi5JUV9MQVNUU0FMRVBSSUNFLjE4LzAzLzIwMjQuVVNEAQAAALTwEgACAAAADTQsMDY1MjQ2OTYwNzUA9KHxrOtH3ggbmCC260feCCpDSVEuQkFITiBCLklRX0xBU1RTQUxFUFJJQ0UuMjMvMDMvMjAyNC5VU0QBAAAAtPASAAIAAAAMNCwwNjE4NjE0ODk0APSh8azrR94ICXEgtutH3ggqQ0lRLkJBSE4gQi5JUV9MQVNUU0FMRVBSSUNFLjI0LzAzLzIwMjQuVVNEAQAAALTwEgACAAAADDQsMDYxODYxNDg5NAD0ofGs60feCBuYILbrR94IKkNJUS5CQUhO</t>
  </si>
  <si>
    <t>IEIuSVFfTEFTVFNBTEVQUklDRS4yNS8wMy8yMDI0LlVTRAEAAAC08BIAAgAAAAw0LDAzOTk5NDk5ODIA9KHxrOtH3ggbmCC260feCCpDSVEuQkFITiBCLklRX0xBU1RTQUxFUFJJQ0UuMjYvMDMvMjAyNC5VU0QBAAAAtPASAAIAAAAMNCwwMDgxNjAwMjI0APSh8azrR94IKr8gtutH3ggqQ0lRLkJBSE4gQi5JUV9MQVNUU0FMRVBSSUNFLjE1LzAzLzIwMjQuVVNEAQAAALTwEgACAAAADDQsMDQ5MjY2ODc0NgD0ofGs60feCCq/ILbrR94IKkNJUS5CQUhOIEIuSVFfTEFTVFNBTEVQUklDRS4yOS8wMy8yMDI0LlVTRAEAAAC08BIAAgAAAAw0LDE0MzIxMTA1ODcA9KHxrOtH3ggqvyC260feCCpDSVEuSEVNUC5JUV9FQklUREEuMjAwMC4wMS8wMS8yMDI0Li4uVVNELkgBAAAAJ/KWAwMAAAAAAPSh8azrR94IdPoTtutH3ggxQ0lRLkhFTVAuSVFfRUJJVERBX01BUkdJTi4yMDAwLjAxLzAxLzIwMjQuLi5VU0QuSAEAAAAn8pYDAwAAAAAA9KHxrOtH3gh0+hO260feCDBDSVEuSEVNUC5JUV9UT1RBTF9BU1NFVFMuMjAwMC4wMS8wMS8yMDI0Li4uVVNELkgBAAAAJ/KWAwIAAAAJNDQsMzQ2MDM3AQgAAAAFAAAAATEBAAAACy0yMDE4MDU1MzU1AwAAAAMxNjACAAAABDEwMDcEAAAAATAHAAAACDEvMS8yMDI0CAAAAAoxMi8zMS8yMDIyCQAAAAEw9KHxrOtH3ghiJRS260feCC5DSVEuSEVNUC5JUV9DQVNIX0VRVUlWLjIw</t>
  </si>
  <si>
    <t>MDAuMDEvMDEvMjAyNC4uLlVTRC5IAQAAACfylgMCAAAACDAsMDk2MTYzAQgAAAAFAAAAATEBAAAACy0yMDE4MDU1MzU1AwAAAAMxNjACAAAABDEwOTYEAAAAATAHAAAACDEvMS8yMDI0CAAAAAoxMi8zMS8yMDIyCQAAAAEw9KHxrOtH3ghiJRS260feCCxDSVEuSEVNUC5JUV9ORVRfREVCVC4yMDAwLjAxLzAxLzIwMjQuLi5VU0QuSAEAAAAn8pYDAgAAAAkzMCw2NzkyNzIBCAAAAAUAAAABMQEAAAALLTIwMTgwNTUzNTUDAAAAAzE2MAIAAAAENDM2NAQAAAABMAcAAAAIMS8xLzIwMjQIAAAACjEyLzMxLzIwMjIJAAAAATD0ofGs60feCGIlFLbrR94IKUNJUS5IVUQuSVFfRUJJVERBLjIwMDAuMDEvMDEvMjAyNC4uLlVTRC5IAQAAAKX4iCACAAAACS0yLDMzODYxNQEIAAAABQAAAAExAQAAAAstMTk0NDUxOTQwMAMAAAADMTYwAgAAAAQ0MDUxBAAAAAEwBwAAAAgxLzEvMjAyNAgAAAAKMTIvMzEvMjAyMwkAAAABMPSh8azrR94IYiUUtutH3ggwQ0lRLkhVRC5JUV9FQklUREFfTUFSR0lOLjIwMDAuMDEvMDEvMjAyNC4uLlVTRC5IAQAAAKX4iCACAAAACC03NSw3NzM4AQgAAAAFAAAAATEBAAAACy0xOTQ0NTE5NDAwAwAAAAI1NQIAAAAENDA0NwQAAAABMAcAAAAIMS8xLzIwMjQIAAAACjEyLzMxLzIwMjMJAAAAATD0ofGs60feCGIlFLbrR94IL0NJUS5IVUQuSVFfVE9UQUxfQVNTRVRTLjIwMDAuMDEvMDEvMjAy</t>
  </si>
  <si>
    <t>NC4uLlVTRC5IAQAAAKX4iCACAAAACTE0LDA3NDk5OQEIAAAABQAAAAExAQAAAAstMTk0NDUxOTQwMAMAAAADMTYwAgAAAAQxMDA3BAAAAAEwBwAAAAgxLzEvMjAyNAgAAAAKMTIvMzEvMjAyMwkAAAABMPSh8azrR94IyU8UtutH3ggtQ0lRLkhVRC5JUV9DQVNIX0VRVUlWLjIwMDAuMDEvMDEvMjAyNC4uLlVTRC5IAQAAAKX4iCACAAAACDUsNDM2Mzg5AQgAAAAFAAAAATEBAAAACy0xOTQ0NTE5NDAwAwAAAAMxNjACAAAABDEwOTYEAAAAATAHAAAACDEvMS8yMDI0CAAAAAoxMi8zMS8yMDIzCQAAAAEw9KHxrOtH3gjJTxS260feCCtDSVEuSFVELklRX05FVF9ERUJULjIwMDAuMDEvMDEvMjAyNC4uLlVTRC5IAQAAAKX4iCACAAAACS01LDQwMDcyMwEIAAAABQAAAAExAQAAAAstMTk0NDUxOTQwMAMAAAADMTYwAgAAAAQ0MzY0BAAAAAEwBwAAAAgxLzEvMjAyNAgAAAAKMTIvMzEvMjAyMwkAAAABMPSh8azrR94IyU8UtutH3ggqQ0lRLk5DQUIuSVFfRUJJVERBLjIwMDAuMDEvMDEvMjAyNC4uLlVTRC5IAQAAANZe/wQCAAAACTYzLDI0NzkxMQEIAAAABQAAAAExAQAAAAstMTk1MTk1MjE3MwMAAAADMTYwAgAAAAQ0MDUxBAAAAAEwBwAAAAgxLzEvMjAyNAgAAAAKMTIvMzEvMjAyMwkAAAABMAY/La7rR94IhKQUtutH3ggxQ0lRLk5DQUIuSVFfRUJJVERBX01BUkdJTi4yMDAwLjAxLzAxLzIwMjQuLi5VU0QuSAEA</t>
  </si>
  <si>
    <t>AADWXv8EAgAAAAcxNSw1NTk5AQgAAAAFAAAAATEBAAAACy0xOTUxOTUyMTczAwAAAAMxMzcCAAAABDQwNDcEAAAAATAHAAAACDEvMS8yMDI0CAAAAAoxMi8zMS8yMDIzCQAAAAEwBj8trutH3giEpBS260feCDBDSVEuTkNBQi5JUV9UT1RBTF9BU1NFVFMuMjAwMC4wMS8wMS8yMDI0Li4uVVNELkgBAAAA1l7/BAIAAAAKMzIwLDMxODgzNAEIAAAABQAAAAExAQAAAAstMTk1MTk1MjE3MwMAAAADMTYwAgAAAAQxMDA3BAAAAAEwBwAAAAgxLzEvMjAyNAgAAAAKMTIvMzEvMjAyMwkAAAABMAY/La7rR94IhKQUtutH3gguQ0lRLk5DQUIuSVFfQ0FTSF9FUVVJVi4yMDAwLjAxLzAxLzIwMjQuLi5VU0QuSAEAAADWXv8EAgAAAAk0Nyw1OTI3NDUBCAAAAAUAAAABMQEAAAALLTE5NTE5NTIxNzMDAAAAAzE2MAIAAAAEMTA5NgQAAAABMAcAAAAIMS8xLzIwMjQIAAAACjEyLzMxLzIwMjMJAAAAATAGPy2u60feCOPOFLbrR94ILENJUS5OQ0FCLklRX05FVF9ERUJULjIwMDAuMDEvMDEvMjAyNC4uLlVTRC5IAQAAANZe/wQCAAAACTU4LDg1Nzc5NAEIAAAABQAAAAExAQAAAAstMTk1MTk1MjE3MwMAAAADMTYwAgAAAAQ0MzY0BAAAAAEwBwAAAAgxLzEvMjAyNAgAAAAKMTIvMzEvMjAyMwkAAAABMAY/La7rR94I484UtutH3ggsQ0lRLkFUVElDQS5JUV9FQklUREEuMjAwMC4wMS8wMS8yMDI0Li4uVVNELkgBAAAAX3gNAAIA</t>
  </si>
  <si>
    <t>AAAKMTMzLDI1MDgwMQEIAAAABQAAAAExAQAAAAstMTk1NjExNjM3OAMAAAADMTYwAgAAAAQ0MDUxBAAAAAEwBwAAAAgxLzEvMjAyNAgAAAAKMTIvMzEvMjAyMwkAAAABMPSh8azrR94I484UtutH3ggzQ0lRLkFUVElDQS5JUV9FQklUREFfTUFSR0lOLjIwMDAuMDEvMDEvMjAyNC4uLlVTRC5IAQAAAF94DQACAAAABzIwLDQ5MTMBCAAAAAUAAAABMQEAAAALLTE5NTYxMTYzNzgDAAAAAjUwAgAAAAQ0MDQ3BAAAAAEwBwAAAAgxLzEvMjAyNAgAAAAKMTIvMzEvMjAyMwkAAAABMPSh8azrR94I484UtutH3ggyQ0lRLkFUVElDQS5JUV9UT1RBTF9BU1NFVFMuMjAwMC4wMS8wMS8yMDI0Li4uVVNELkgBAAAAX3gNAAIAAAALMTM3Niw4OTI4OTIBCAAAAAUAAAABMQEAAAALLTE5NTYxMTYzNzgDAAAAAzE2MAIAAAAEMTAwNwQAAAABMAcAAAAIMS8xLzIwMjQIAAAACjEyLzMxLzIwMjMJAAAAATD0ofGs60feCKP5FLbrR94IMENJUS5BVFRJQ0EuSVFfQ0FTSF9FUVVJVi4yMDAwLjAxLzAxLzIwMjQuLi5VU0QuSAEAAABfeA0AAgAAAAoxMTQsMjY5OTI0AQgAAAAFAAAAATEBAAAACy0xOTU2MTE2Mzc4AwAAAAMxNjACAAAABDEwOTYEAAAAATAHAAAACDEvMS8yMDI0CAAAAAoxMi8zMS8yMDIzCQAAAAEw9KHxrOtH3gij+RS260feCC5DSVEuQVRUSUNBLklRX05FVF9ERUJULjIwMDAuMDEvMDEvMjAyNC4uLlVTRC5IAQAA</t>
  </si>
  <si>
    <t>AF94DQACAAAACjUzNiwxMjQ2ODIBCAAAAAUAAAABMQEAAAALLTE5NTYxMTYzNzgDAAAAAzE2MAIAAAAENDM2NAQAAAABMAcAAAAIMS8xLzIwMjQIAAAACjEyLzMxLzIwMjMJAAAAATD0ofGs60feCKP5FLbrR94IKUNJUS5QTE4uSVFfRUJJVERBLjIwMDAuMDEvMDEvMjAyNC4uLlVTRC5IAQAAANqB4QoCAAAACDksMDExNjM5AQgAAAAFAAAAATEBAAAACy0xOTUwODk5NjQ1AwAAAAMxNjACAAAABDQwNTEEAAAAATAHAAAACDEvMS8yMDI0CAAAAAoxMi8zMS8yMDIzCQAAAAEw9KHxrOtH3gij+RS260feCDBDSVEuUExOLklRX0VCSVREQV9NQVJHSU4uMjAwMC4wMS8wMS8yMDI0Li4uVVNELkgBAAAA2oHhCgIAAAAHMjMsNDI3NwEIAAAABQAAAAExAQAAAAstMTk1MDg5OTY0NQMAAAACNTACAAAABDQwNDcEAAAAATAHAAAACDEvMS8yMDI0CAAAAAoxMi8zMS8yMDIzCQAAAAEw9KHxrOtH3gi7IxW260feCC9DSVEuUExOLklRX1RPVEFMX0FTU0VUUy4yMDAwLjAxLzAxLzIwMjQuLi5VU0QuSAEAAADageEKAgAAAAk2NiwxOTc4NDcBCAAAAAUAAAABMQEAAAALLTE5NTA4OTk2NDUDAAAAAzE2MAIAAAAEMTAwNwQAAAABMAcAAAAIMS8xLzIwMjQIAAAACjEyLzMxLzIwMjMJAAAAATD0ofGs60feCLsjFbbrR94ILUNJUS5QTE4uSVFfQ0FTSF9FUVVJVi4yMDAwLjAxLzAxLzIwMjQuLi5VU0QuSAEAAADageEKAgAAAAc1</t>
  </si>
  <si>
    <t>LDcwNjE5AQgAAAAFAAAAATEBAAAACy0xOTUwODk5NjQ1AwAAAAMxNjACAAAABDEwOTYEAAAAATAHAAAACDEvMS8yMDI0CAAAAAoxMi8zMS8yMDIzCQAAAAEw9KHxrOtH3gi7IxW260feCCtDSVEuUExOLklRX05FVF9ERUJULjIwMDAuMDEvMDEvMjAyNC4uLlVTRC5IAQAAANqB4QoCAAAACDE0LDY3ODIzAQgAAAAFAAAAATEBAAAACy0xOTUwODk5NjQ1AwAAAAMxNjACAAAABDQzNjQEAAAAATAHAAAACDEvMS8yMDI0CAAAAAoxMi8zMS8yMDIzCQAAAAEw9KHxrOtH3gi7IxW260feCChDSVEuREUuSVFfRUJJVERBLjIwMDAuMDEvMDEvMjAyNC4uLlVTRC5IAQAAAIAPBAACAAAABTE1MjU0AQgAAAAFAAAAATEBAAAACy0xOTExNTg2NzQ5AwAAAAMxNjACAAAABDQwNTEEAAAAATAHAAAACDEvMS8yMDI0CAAAAAoxMC8yOS8yMDIzCQAAAAEw9KHxrOtH3ggWThW260feCC9DSVEuREUuSVFfRUJJVERBX01BUkdJTi4yMDAwLjAxLzAxLzIwMjQuLi5VU0QuSAEAAACADwQAAgAAAAcyNCw5MTU4AQgAAAAFAAAAATEBAAAACy0xOTExNTg2NzQ5AwAAAAMxNjACAAAABDQwNDcEAAAAATAHAAAACDEvMS8yMDI0CAAAAAoxMC8yOS8yMDIzCQAAAAEw9KHxrOtH3ggWThW260feCC5DSVEuREUuSVFfVE9UQUxfQVNTRVRTLjIwMDAuMDEvMDEvMjAyNC4uLlVTRC5IAQAAAIAPBAACAAAABjEwNDA4NwEIAAAABQAAAAExAQAAAAst</t>
  </si>
  <si>
    <t>MTkxMTU4Njc0OQMAAAADMTYwAgAAAAQxMDA3BAAAAAEwBwAAAAgxLzEvMjAyNAgAAAAKMTAvMjkvMjAyMwkAAAABMPSh8azrR94IFk4VtutH3ggsQ0lRLkRFLklRX0NBU0hfRVFVSVYuMjAwMC4wMS8wMS8yMDI0Li4uVVNELkgBAAAAgA8EAAIAAAAENTcyMAEIAAAABQAAAAExAQAAAAstMTkxMTU4Njc0OQMAAAADMTYwAgAAAAQxMDk2BAAAAAEwBwAAAAgxLzEvMjAyNAgAAAAKMTAvMjkvMjAyMwkAAAABMPSh8azrR94IFk4VtutH3ggqQ0lRLkRFLklRX05FVF9ERUJULjIwMDAuMDEvMDEvMjAyNC4uLlVTRC5IAQAAAIAPBAACAAAABTU4NzI3AQgAAAAFAAAAATEBAAAACy0xOTExNTg2NzQ5AwAAAAMxNjACAAAABDQzNjQEAAAAATAHAAAACDEvMS8yMDI0CAAAAAoxMC8yOS8yMDIzCQAAAAEw9KHxrOtH3ggWThW260feCCtDSVEuQ0xFTU8uSVFfRUJJVERBLjIwMDAuMDEvMDEvMjAyNC4uLlVTRC5IAQAAAMIx3BMCAAAACS0wLDI5OTEyMgEIAAAABQAAAAExAQAAAAstMTk1MTE0NTI0OAMAAAADMTYwAgAAAAQ0MDUxBAAAAAEwBwAAAAgxLzEvMjAyNAgAAAAKMTIvMzEvMjAyMwkAAAABMPSh8azrR94IPH0VtutH3ggyQ0lRLkNMRU1PLklRX0VCSVREQV9NQVJHSU4uMjAwMC4wMS8wMS8yMDI0Li4uVVNELkgBAAAAwjHcEwIAAAAILTIwLDI2NjMBCAAAAAUAAAABMQEAAAALLTE5NTExNDUyNDgDAAAAAzEzNwIA</t>
  </si>
  <si>
    <t>AAAENDA0NwQAAAABMAcAAAAIMS8xLzIwMjQIAAAACjEyLzMxLzIwMjMJAAAAATD0ofGs60feCDx9FbbrR94IMUNJUS5DTEVNTy5JUV9UT1RBTF9BU1NFVFMuMjAwMC4wMS8wMS8yMDI0Li4uVVNELkgBAAAAwjHcEwIAAAAINCw5Mjk5NDIBCAAAAAUAAAABMQEAAAALLTE5NTExNDUyNDgDAAAAAzE2MAIAAAAEMTAwNwQAAAABMAcAAAAIMS8xLzIwMjQIAAAACjEyLzMxLzIwMjMJAAAAATD0ofGs60feCDx9FbbrR94IL0NJUS5DTEVNTy5JUV9DQVNIX0VRVUlWLjIwMDAuMDEvMDEvMjAyNC4uLlVTRC5IAQAAAMIx3BMCAAAACDAsMDg2NjM4AQgAAAAFAAAAATEBAAAACy0xOTUxMTQ1MjQ4AwAAAAMxNjACAAAABDEwOTYEAAAAATAHAAAACDEvMS8yMDI0CAAAAAoxMi8zMS8yMDIzCQAAAAEw9KHxrOtH3gg8fRW260feCC1DSVEuQ0xFTU8uSVFfTkVUX0RFQlQuMjAwMC4wMS8wMS8yMDI0Li4uVVNELkgBAAAAwjHcEwIAAAAIMCwyMTE1OTIBCAAAAAUAAAABMQEAAAALLTE5NTExNDUyNDgDAAAAAzE2MAIAAAAENDM2NAQAAAABMAcAAAAIMS8xLzIwMjQIAAAACjEyLzMxLzIwMjMJAAAAATD0ofGs60feCBGmFbbrR94IK0NJUS5BTElTQS5JUV9FQklUREEuMjAwMC4wMS8wMS8yMDI0Li4uVVNELkgBAAAA9ZwDEgIAAAAINiwzNDc5NjEBCAAAAAUAAAABMQEAAAALLTE5NTY3MTYxNDEDAAAAAzE2MAIAAAAENDA1MQQA</t>
  </si>
  <si>
    <t>AAABMAcAAAAIMS8xLzIwMjQIAAAACjEyLzMxLzIwMjMJAAAAATD0ofGs60feCBGmFbbrR94IMkNJUS5BTElTQS5JUV9FQklUREFfTUFSR0lOLjIwMDAuMDEvMDEvMjAyNC4uLlVTRC5IAQAAAPWcAxICAAAABjI0LDY2NgEIAAAABQAAAAExAQAAAAstMTk1NjcxNjE0MQMAAAACNTACAAAABDQwNDcEAAAAATAHAAAACDEvMS8yMDI0CAAAAAoxMi8zMS8yMDIzCQAAAAEw9KHxrOtH3ghfzRW260feCDFDSVEuQUxJU0EuSVFfVE9UQUxfQVNTRVRTLjIwMDAuMDEvMDEvMjAyNC4uLlVTRC5IAQAAAPWcAxICAAAACjM0NSwzMDU2MjYBCAAAAAUAAAABMQEAAAALLTE5NTY3MTYxNDEDAAAAAzE2MAIAAAAEMTAwNwQAAAABMAcAAAAIMS8xLzIwMjQIAAAACjEyLzMxLzIwMjMJAAAAATD0ofGs60feCF/NFbbrR94IL0NJUS5BTElTQS5JUV9DQVNIX0VRVUlWLjIwMDAuMDEvMDEvMjAyNC4uLlVTRC5IAQAAAPWcAxICAAAACjE0OSwwMjczMDIBCAAAAAUAAAABMQEAAAALLTE5NTY3MTYxNDEDAAAAAzE2MAIAAAAEMTA5NgQAAAABMAcAAAAIMS8xLzIwMjQIAAAACjEyLzMxLzIwMjMJAAAAATD0ofGs60feCBGmFbbrR94ILUNJUS5BTElTQS5JUV9ORVRfREVCVC4yMDAwLjAxLzAxLzIwMjQuLi5VU0QuSAEAAAD1nAMSAgAAAAoxNTcsNTQ2MTQ4AQgAAAAFAAAAATEBAAAACy0xOTU2NzE2MTQxAwAAAAMxNjACAAAABDQzNjQE</t>
  </si>
  <si>
    <t>AAAAATAHAAAACDEvMS8yMDI0CAAAAAoxMi8zMS8yMDIzCQAAAAEw9KHxrOtH3ghfzRW260feCCpDSVEuVUxUSC5JUV9FQklUREEuMjAwMC4wMS8wMS8yMDI0Li4uVVNELkgBAAAAj+fDHwIAAAAJLTEsMjYyODczAQgAAAAFAAAAATEBAAAACy0xOTY0NDc5NjYwAwAAAAMxNjACAAAABDQwNTEEAAAAATAHAAAACDEvMS8yMDI0CAAAAAoxMC8zMS8yMDIzCQAAAAEw7mX4rOtH3gjX+BW260feCDFDSVEuVUxUSC5JUV9FQklUREFfTUFSR0lOLjIwMDAuMDEvMDEvMjAyNC4uLlVTRC5IAQAAAI/nwx8DAAAAAADuZfis60feCNf4FbbrR94IMENJUS5VTFRILklRX1RPVEFMX0FTU0VUUy4yMDAwLjAxLzAxLzIwMjQuLi5VU0QuSAEAAACP58MfAgAAAAg5LDI2NzI5MgEIAAAABQAAAAExAQAAAAstMTk2NDQ3OTY2MAMAAAADMTYwAgAAAAQxMDA3BAAAAAEwBwAAAAgxLzEvMjAyNAgAAAAKMTAvMzEvMjAyMwkAAAABMO5l+KzrR94I1/gVtutH3gguQ0lRLlVMVEguSVFfQ0FTSF9FUVVJVi4yMDAwLjAxLzAxLzIwMjQuLi5VU0QuSAEAAACP58MfAgAAAAgyLDUxNTcwOAEIAAAABQAAAAExAQAAAAstMTk2NDQ3OTY2MAMAAAADMTYwAgAAAAQxMDk2BAAAAAEwBwAAAAgxLzEvMjAyNAgAAAAKMTAvMzEvMjAyMwkAAAABMO5l+KzrR94I1/gVtutH3ggsQ0lRLlVMVEguSVFfTkVUX0RFQlQuMjAwMC4wMS8wMS8yMDI0Li4uVVNE</t>
  </si>
  <si>
    <t>LkgBAAAAj+fDHwIAAAAJLTIsNDE4OTY5AQgAAAAFAAAAATEBAAAACy0xOTY0NDc5NjYwAwAAAAMxNjACAAAABDQzNjQEAAAAATAHAAAACDEvMS8yMDI0CAAAAAoxMC8zMS8yMDIzCQAAAAEw7mX4rOtH3gjX+BW260feCCtDSVEuQUxMREwuSVFfRUJJVERBLjIwMDAuMDEvMDEvMjAyNC4uLlVTRC5IAQAAACiVNgECAAAACTEzLDUwMzM3MQEIAAAABQAAAAExAQAAAAstMTkzNTc1NDAzMQMAAAADMTYwAgAAAAQ0MDUxBAAAAAEwBwAAAAgxLzEvMjAyNAgAAAAKMTIvMzEvMjAyMwkAAAABMADJ8azrR94IUiMWtutH3ggyQ0lRLkFMTERMLklRX0VCSVREQV9NQVJHSU4uMjAwMC4wMS8wMS8yMDI0Li4uVVNELkgBAAAAKJU2AQIAAAAGMiwxMjEyAQgAAAAFAAAAATEBAAAACy0xOTM1NzU0MDMxAwAAAAI1MAIAAAAENDA0NwQAAAABMAcAAAAIMS8xLzIwMjQIAAAACjEyLzMxLzIwMjMJAAAAATAAyfGs60feCFIjFrbrR94IMUNJUS5BTExETC5JUV9UT1RBTF9BU1NFVFMuMjAwMC4wMS8wMS8yMDI0Li4uVVNELkgBAAAAKJU2AQIAAAAJMjkxLDk5MTgyAQgAAAAFAAAAATEBAAAACy0xOTM1NzU0MDMxAwAAAAMxNjACAAAABDEwMDcEAAAAATAHAAAACDEvMS8yMDI0CAAAAAoxMi8zMS8yMDIzCQAAAAEwAMnxrOtH3ghSIxa260feCC9DSVEuQUxMREwuSVFfQ0FTSF9FUVVJVi4yMDAwLjAxLzAxLzIwMjQuLi5VU0QuSAEA</t>
  </si>
  <si>
    <t>AAAolTYBAgAAAAkzNiw3OTc4MzQBCAAAAAUAAAABMQEAAAALLTE5MzU3NTQwMzEDAAAAAzE2MAIAAAAEMTA5NgQAAAABMAcAAAAIMS8xLzIwMjQIAAAACjEyLzMxLzIwMjMJAAAAATAAyfGs60feCFIjFrbrR94ILUNJUS5BTExETC5JUV9ORVRfREVCVC4yMDAwLjAxLzAxLzIwMjQuLi5VU0QuSAEAAAAolTYBAgAAAAgzLDkyOTQ3OQEIAAAABQAAAAExAQAAAAstMTkzNTc1NDAzMQMAAAADMTYwAgAAAAQ0MzY0BAAAAAEwBwAAAAgxLzEvMjAyNAgAAAAKMTIvMzEvMjAyMwkAAAABMADJ8azrR94IUiMWtutH3ggsQ0lRLlhBTk8gQi5JUV9FQklUREEuMjAwMC4wMS8wMS8yMDI0Li4uVVNELkgBAAAA62wNAAIAAAAJMzksMTA5MzI5AQgAAAAFAAAAATEBAAAACy0xOTUzMDUxMDE0AwAAAAMxNjACAAAABDQwNTEEAAAAATAHAAAACDEvMS8yMDI0CAAAAAoxMi8zMS8yMDIzCQAAAAEwAMnxrOtH3gjyTRa260feCDNDSVEuWEFOTyBCLklRX0VCSVREQV9NQVJHSU4uMjAwMC4wMS8wMS8yMDI0Li4uVVNELkgBAAAA62wNAAIAAAAHMTEsNDYxOQEIAAAABQAAAAExAQAAAAstMTk1MzA1MTAxNAMAAAADMTM3AgAAAAQ0MDQ3BAAAAAEwBwAAAAgxLzEvMjAyNAgAAAAKMTIvMzEvMjAyMwkAAAABMADJ8azrR94IUXgWtutH3ggyQ0lRLlhBTk8gQi5JUV9UT1RBTF9BU1NFVFMuMjAwMC4wMS8wMS8yMDI0Li4uVVNELkgBAAAA</t>
  </si>
  <si>
    <t>62wNAAIAAAAKMzczLDk1MDQ1MQEIAAAABQAAAAExAQAAAAstMTk1MzA1MTAxNAMAAAADMTYwAgAAAAQxMDA3BAAAAAEwBwAAAAgxLzEvMjAyNAgAAAAKMTIvMzEvMjAyMwkAAAABMADJ8azrR94IUXgWtutH3ggwQ0lRLlhBTk8gQi5JUV9DQVNIX0VRVUlWLjIwMDAuMDEvMDEvMjAyNC4uLlVTRC5IAQAAAOtsDQACAAAACTMwLDcxOTQ4MgEIAAAABQAAAAExAQAAAAstMTk1MzA1MTAxNAMAAAADMTYwAgAAAAQxMDk2BAAAAAEwBwAAAAgxLzEvMjAyNAgAAAAKMTIvMzEvMjAyMwkAAAABMADJ8azrR94I8k0WtutH3gguQ0lRLlhBTk8gQi5JUV9ORVRfREVCVC4yMDAwLjAxLzAxLzIwMjQuLi5VU0QuSAEAAADrbA0AAgAAAAk4MCwxNTUxODEBCAAAAAUAAAABMQEAAAALLTE5NTMwNTEwMTQDAAAAAzE2MAIAAAAENDM2NAQAAAABMAcAAAAIMS8xLzIwMjQIAAAACjEyLzMxLzIwMjMJAAAAATAAyfGs60feCPJNFrbrR94IKUNJUS5GSU4uSVFfRUJJVERBLjIwMDAuMDEvMDEvMjAyNC4uLlVTRC5IAQAAAONMdSkCAAAACDEsNjQ5MTk5AQgAAAAFAAAAATEBAAAACy0xOTQ4ODI3MzM4AwAAAAMxNjACAAAABDQwNTEEAAAAATAHAAAACDEvMS8yMDI0CAAAAAoxMi8zMS8yMDIzCQAAAAEwAMnxrOtH3gjooha260feCDBDSVEuRklOLklRX0VCSVREQV9NQVJHSU4uMjAwMC4wMS8wMS8yMDI0Li4uVVNELkgBAAAA40x1KQIA</t>
  </si>
  <si>
    <t>AAAHMTMsNDE4MQEIAAAABQAAAAExAQAAAAstMTk0ODgyNzMzOAMAAAACNTUCAAAABDQwNDcEAAAAATAHAAAACDEvMS8yMDI0CAAAAAoxMi8zMS8yMDIzCQAAAAEwAMnxrOtH3gjooha260feCC9DSVEuRklOLklRX1RPVEFMX0FTU0VUUy4yMDAwLjAxLzAxLzIwMjQuLi5VU0QuSAEAAADjTHUpAgAAAAg4LDU5MzEzMQEIAAAABQAAAAExAQAAAAstMTk0ODgyNzMzOAMAAAADMTYwAgAAAAQxMDA3BAAAAAEwBwAAAAgxLzEvMjAyNAgAAAAKMTIvMzEvMjAyMwkAAAABMADJ8azrR94I6KIWtutH3ggtQ0lRLkZJTi5JUV9DQVNIX0VRVUlWLjIwMDAuMDEvMDEvMjAyNC4uLlVTRC5IAQAAAONMdSkCAAAABzIsOTg0OTQBCAAAAAUAAAABMQEAAAALLTE5NDg4MjczMzgDAAAAAzE2MAIAAAAEMTA5NgQAAAABMAcAAAAIMS8xLzIwMjQIAAAACjEyLzMxLzIwMjMJAAAAATAAyfGs60feCOiiFrbrR94IK0NJUS5GSU4uSVFfTkVUX0RFQlQuMjAwMC4wMS8wMS8yMDI0Li4uVVNELkgBAAAA40x1KQIAAAAIMCw4MTAyMDIBCAAAAAUAAAABMQEAAAALLTE5NDg4MjczMzgDAAAAAzE2MAIAAAAENDM2NAQAAAABMAcAAAAIMS8xLzIwMjQIAAAACjEyLzMxLzIwMjMJAAAAATAAyfGs60feCOiiFrbrR94IKUNJUS5LRVIuSVFfRUJJVERBLjIwMDAuMDEvMDEvMjAyNC4uLlVTRC5IAQAAADAsCgACAAAACjYxOTEsMDAyNTQBCAAAAAUA</t>
  </si>
  <si>
    <t>AAABMQEAAAALLTE5NTUyNjI5ODUDAAAAAzE2MAIAAAAENDA1MQQAAAABMAcAAAAIMS8xLzIwMjQIAAAACjEyLzMxLzIwMjMJAAAAATAAyfGs60feCOiiFrbrR94IMENJUS5LRVIuSVFfRUJJVERBX01BUkdJTi4yMDAwLjAxLzAxLzIwMjQuLi5VU0QuSAEAAAAwLAoAAgAAAAcyOCw2MjYxAQgAAAAFAAAAATEBAAAACy0xOTU1MjYyOTg1AwAAAAI1MAIAAAAENDA0NwQAAAABMAcAAAAIMS8xLzIwMjQIAAAACjEyLzMxLzIwMjMJAAAAATAAyfGs60feCL/NFrbrR94IL0NJUS5LRVIuSVFfVE9UQUxfQVNTRVRTLjIwMDAuMDEvMDEvMjAyNC4uLlVTRC5IAQAAADAsCgACAAAACzQ1NzI0LDU0OTU2AQgAAAAFAAAAATEBAAAACy0xOTU1MjYyOTg1AwAAAAMxNjACAAAABDEwMDcEAAAAATAHAAAACDEvMS8yMDI0CAAAAAoxMi8zMS8yMDIzCQAAAAEwAMnxrOtH3gi/zRa260feCC1DSVEuS0VSLklRX0NBU0hfRVFVSVYuMjAwMC4wMS8wMS8yMDI0Li4uVVNELkgBAAAAMCwKAAIAAAALNDMzNSwxMzg3MTkBCAAAAAUAAAABMQEAAAALLTE5NTUyNjI5ODUDAAAAAzE2MAIAAAAEMTA5NgQAAAABMAcAAAAIMS8xLzIwMjQIAAAACjEyLzMxLzIwMjMJAAAAATAAyfGs60feCL/NFrbrR94IK0NJUS5LRVIuSVFfTkVUX0RFQlQuMjAwMC4wMS8wMS8yMDI0Li4uVVNELkgBAAAAMCwKAAIAAAAMMTUzNjMsMTAzNzg3AQgAAAAFAAAA</t>
  </si>
  <si>
    <t>ATEBAAAACy0xOTU1MjYyOTg1AwAAAAMxNjACAAAABDQzNjQEAAAAATAHAAAACDEvMS8yMDI0CAAAAAoxMi8zMS8yMDIzCQAAAAEwAMnxrOtH3gi/zRa260feCCpDSVEuTUhQQy5JUV9FQklUREEuMjAwMC4wMS8wMS8yMDI0Li4uVVNELkgBAAAA2+E6IAIAAAAINCw0MzEzNjQBCAAAAAUAAAABMQEAAAALLTIwMTk0MjM2MTEDAAAAAzE2MAIAAAAENDA1MQQAAAABMAcAAAAIMS8xLzIwMjQIAAAACTkvMzAvMjAyMwkAAAABMADJ8azrR94Iv80WtutH3ggxQ0lRLk1IUEMuSVFfRUJJVERBX01BUkdJTi4yMDAwLjAxLzAxLzIwMjQuLi5VU0QuSAEAAADb4TogAgAAAAcyNSw0MDQ5AQgAAAAFAAAAATEBAAAACy0yMDE5NDIzNjExAwAAAAMxNjACAAAABDQwNDcEAAAAATAHAAAACDEvMS8yMDI0CAAAAAk5LzMwLzIwMjMJAAAAATAAyfGs60feCAIjF7brR94IMENJUS5NSFBDLklRX1RPVEFMX0FTU0VUUy4yMDAwLjAxLzAxLzIwMjQuLi5VU0QuSAEAAADb4TogAgAAAAoxMTgsMTMzNDgxAQgAAAAFAAAAATEBAAAACy0yMDE5NDIzNjExAwAAAAMxNjACAAAABDEwMDcEAAAAATAHAAAACDEvMS8yMDI0CAAAAAk5LzMwLzIwMjMJAAAAATAAyfGs60feCAIjF7brR94ILkNJUS5NSFBDLklRX0NBU0hfRVFVSVYuMjAwMC4wMS8wMS8yMDI0Li4uVVNELkgBAAAA2+E6IAIAAAAIMSw5NjY2MzMBCAAAAAUAAAABMQEAAAALLTIw</t>
  </si>
  <si>
    <t>MTk0MjM2MTEDAAAAAzE2MAIAAAAEMTA5NgQAAAABMAcAAAAIMS8xLzIwMjQIAAAACTkvMzAvMjAyMwkAAAABMADJ8azrR94IU/gWtutH3ggsQ0lRLk1IUEMuSVFfTkVUX0RFQlQuMjAwMC4wMS8wMS8yMDI0Li4uVVNELkgBAAAA2+E6IAIAAAAKMTE5LDc2OTE1NQEIAAAABQAAAAExAQAAAAstMjAxOTQyMzYxMQMAAAADMTYwAgAAAAQ0MzY0BAAAAAEwBwAAAAgxLzEvMjAyNAgAAAAJOS8zMC8yMDIzCQAAAAEwAMnxrOtH3ghT+Ba260feCCpDSVEuQVRTSS5JUV9FQklUREEuMjAwMC4wMS8wMS8yMDI0Li4uVVNELkgBAAAAnVxdBgIAAAAJMTEsMDAyMjAzAQgAAAAFAAAAATEBAAAACy0xOTkwMDE2NjkzAwAAAAMxNjACAAAABDQwNTEEAAAAATAHAAAACDEvMS8yMDI0CAAAAAoxMi8zMS8yMDIzCQAAAAEw7mX4rOtH3ggCIxe260feCDFDSVEuQVRTSS5JUV9FQklUREFfTUFSR0lOLjIwMDAuMDEvMDEvMjAyNC4uLlVTRC5IAQAAAJ1cXQYCAAAABjUsODcyOQEIAAAABQAAAAExAQAAAAstMTk5MDAxNjY5MwMAAAACNTACAAAABDQwNDcEAAAAATAHAAAACDEvMS8yMDI0CAAAAAoxMi8zMS8yMDIzCQAAAAEw7mX4rOtH3ggCIxe260feCDBDSVEuQVRTSS5JUV9UT1RBTF9BU1NFVFMuMjAwMC4wMS8wMS8yMDI0Li4uVVNELkgBAAAAnVxdBgIAAAAINjYsODgxMjIBCAAAAAUAAAABMQEAAAALLTE5OTAwMTY2OTMDAAAA</t>
  </si>
  <si>
    <t>AzE2MAIAAAAEMTAwNwQAAAABMAcAAAAIMS8xLzIwMjQIAAAACjEyLzMxLzIwMjMJAAAAATDuZfis60feCIpRF7brR94ILkNJUS5BVFNJLklRX0NBU0hfRVFVSVYuMjAwMC4wMS8wMS8yMDI0Li4uVVNELkgBAAAAnVxdBgIAAAAHOCwyNjU2NgEIAAAABQAAAAExAQAAAAstMTk5MDAxNjY5MwMAAAADMTYwAgAAAAQxMDk2BAAAAAEwBwAAAAgxLzEvMjAyNAgAAAAKMTIvMzEvMjAyMwkAAAABMO5l+KzrR94IilEXtutH3ggsQ0lRLkFUU0kuSVFfTkVUX0RFQlQuMjAwMC4wMS8wMS8yMDI0Li4uVVNELkgBAAAAnVxdBgIAAAAJLTAsMTU4NTI5AQgAAAAFAAAAATEBAAAACy0xOTkwMDE2NjkzAwAAAAMxNjACAAAABDQzNjQEAAAAATAHAAAACDEvMS8yMDI0CAAAAAoxMi8zMS8yMDIzCQAAAAEw7mX4rOtH3giKURe260feCClDSVEuQVNULklRX0VCSVREQS4yMDAwLjAxLzAxLzIwMjQuLi5VU0QuSAEAAACHQjYBAgAAAAktMSwwMzMwMTYBCAAAAAUAAAABMQEAAAALLTE5Mzg5OTM4MjkDAAAAAzE2MAIAAAAENDA1MQQAAAABMAcAAAAIMS8xLzIwMjQIAAAACjEyLzMxLzIwMjMJAAAAATAAyfGs60feCIpRF7brR94IMENJUS5BU1QuSVFfRUJJVERBX01BUkdJTi4yMDAwLjAxLzAxLzIwMjQuLi5VU0QuSAEAAACHQjYBAgAAAAgtNTcsNDM2MgEIAAAABQAAAAExAQAAAAstMTkzODk5MzgyOQMAAAACNTUCAAAABDQwNDcE</t>
  </si>
  <si>
    <t>AAAAATAHAAAACDEvMS8yMDI0CAAAAAoxMi8zMS8yMDIzCQAAAAEwAMnxrOtH3giKURe260feCC9DSVEuQVNULklRX1RPVEFMX0FTU0VUUy4yMDAwLjAxLzAxLzIwMjQuLi5VU0QuSAEAAACHQjYBAgAAAAgxLDM1NDAwMgEIAAAABQAAAAExAQAAAAstMTkzODk5MzgyOQMAAAADMTYwAgAAAAQxMDA3BAAAAAEwBwAAAAgxLzEvMjAyNAgAAAAKMTIvMzEvMjAyMwkAAAABMADJ8azrR94IU3wXtutH3ggtQ0lRLkFTVC5JUV9DQVNIX0VRVUlWLjIwMDAuMDEvMDEvMjAyNC4uLlVTRC5IAQAAAIdCNgECAAAACDAsNjA1MDM0AQgAAAAFAAAAATEBAAAACy0xOTM4OTkzODI5AwAAAAMxNjACAAAABDEwOTYEAAAAATAHAAAACDEvMS8yMDI0CAAAAAoxMi8zMS8yMDIzCQAAAAEwAMnxrOtH3ghTfBe260feCCtDSVEuQVNULklRX05FVF9ERUJULjIwMDAuMDEvMDEvMjAyNC4uLlVTRC5IAQAAAIdCNgECAAAACS0wLDM2NDI5NAEIAAAABQAAAAExAQAAAAstMTkzODk5MzgyOQMAAAADMTYwAgAAAAQ0MzY0BAAAAAEwBwAAAAgxLzEvMjAyNAgAAAAKMTIvMzEvMjAyMwkAAAABMADJ8azrR94IU3wXtutH3ggpQ0lRLktDUi5JUV9FQklUREEuMjAwMC4wMS8wMS8yMDI0Li4uVVNELkgBAAAA24kGAAIAAAAKNTE0LDUzNTIwNQEIAAAABQAAAAExAQAAAAstMTk1NzMzNTYwNQMAAAADMTYwAgAAAAQ0MDUxBAAAAAEwBwAAAAgxLzEv</t>
  </si>
  <si>
    <t>MjAyNAgAAAAKMTIvMzEvMjAyMwkAAAABMAY/La7rR94IU3wXtutH3ggwQ0lRLktDUi5JUV9FQklUREFfTUFSR0lOLjIwMDAuMDEvMDEvMjAyNC4uLlVTRC5IAQAAANuJBgACAAAABzExLDczNjMBCAAAAAUAAAABMQEAAAALLTE5NTczMzU2MDUDAAAAAjUwAgAAAAQ0MDQ3BAAAAAEwBwAAAAgxLzEvMjAyNAgAAAAKMTIvMzEvMjAyMwkAAAABMAY/La7rR94IIdEXtutH3ggvQ0lRLktDUi5JUV9UT1RBTF9BU1NFVFMuMjAwMC4wMS8wMS8yMDI0Li4uVVNELkgBAAAA24kGAAIAAAALNTAzMSw5NDQyODkBCAAAAAUAAAABMQEAAAALLTE5NTczMzU2MDUDAAAAAzE2MAIAAAAEMTAwNwQAAAABMAcAAAAIMS8xLzIwMjQIAAAACjEyLzMxLzIwMjMJAAAAATAGPy2u60feCCHRF7brR94ILUNJUS5LQ1IuSVFfQ0FTSF9FUVVJVi4yMDAwLjAxLzAxLzIwMjQuLi5VU0QuSAEAAADbiQYAAgAAAAo2NDgsMzkxNzMyAQgAAAAFAAAAATEBAAAACy0xOTU3MzM1NjA1AwAAAAMxNjACAAAABDEwOTYEAAAAATAHAAAACDEvMS8yMDI0CAAAAAoxMi8zMS8yMDIzCQAAAAEwBj8trutH3gitoxe260feCCtDSVEuS0NSLklRX05FVF9ERUJULjIwMDAuMDEvMDEvMjAyNC4uLlVTRC5IAQAAANuJBgACAAAACjQwNiw0MzMwNzIBCAAAAAUAAAABMQEAAAALLTE5NTczMzU2MDUDAAAAAzE2MAIAAAAENDM2NAQAAAABMAcAAAAIMS8xLzIwMjQI</t>
  </si>
  <si>
    <t>AAAACjEyLzMxLzIwMjMJAAAAATAGPy2u60feCK2jF7brR94IKUNJUS5MTk4uSVFfRUJJVERBLjIwMDAuMDEvMDEvMjAyNC4uLlVTRC5IAQAAAFhZBAACAAAABzExNyw5NTYBCAAAAAUAAAABMQEAAAALLTE5NjMwNTE1OTMDAAAAAzE2MAIAAAAENDA1MQQAAAABMAcAAAAIMS8xLzIwMjQIAAAACjExLzMwLzIwMjMJAAAAATAAyfGs60feCHj4F7brR94IMENJUS5MTk4uSVFfRUJJVERBX01BUkdJTi4yMDAwLjAxLzAxLzIwMjQuLi5VU0QuSAEAAABYWQQAAgAAAAcxNyw4OTE1AQgAAAAFAAAAATEBAAAACy0xOTYzMDUxNTkzAwAAAAMxNjACAAAABDQwNDcEAAAAATAHAAAACDEvMS8yMDI0CAAAAAoxMS8zMC8yMDIzCQAAAAEwAMnxrOtH3gh4+Be260feCC9DSVEuTE5OLklRX1RPVEFMX0FTU0VUUy4yMDAwLjAxLzAxLzIwMjQuLi5VU0QuSAEAAABYWQQAAgAAAAc3NjMsOTE4AQgAAAAFAAAAATEBAAAACy0xOTYzMDUxNTkzAwAAAAMxNjACAAAABDEwMDcEAAAAATAHAAAACDEvMS8yMDI0CAAAAAoxMS8zMC8yMDIzCQAAAAEwAMnxrOtH3gjOHxi260feCC1DSVEuTE5OLklRX0NBU0hfRVFVSVYuMjAwMC4wMS8wMS8yMDI0Li4uVVNELkgBAAAAWFkEAAIAAAAHMTU5LDM4MQEIAAAABQAAAAExAQAAAAstMTk2MzA1MTU5MwMAAAADMTYwAgAAAAQxMDk2BAAAAAEwBwAAAAgxLzEvMjAyNAgAAAAKMTEvMzAvMjAyMwkA</t>
  </si>
  <si>
    <t>AAABMADJ8azrR94Izh8YtutH3ggrQ0lRLkxOTi5JUV9ORVRfREVCVC4yMDAwLjAxLzAxLzIwMjQuLi5VU0QuSAEAAABYWQQAAgAAAActMzksMTI5AQgAAAAFAAAAATEBAAAACy0xOTYzMDUxNTkzAwAAAAMxNjACAAAABDQzNjQEAAAAATAHAAAACDEvMS8yMDI0CAAAAAoxMS8zMC8yMDIzCQAAAAEwAMnxrOtH3gjOHxi260feCClDSVEuVEtBLklRX0VCSVREQS4yMDAwLjAxLzAxLzIwMjQuLi5VU0QuSAEAAAAg1wwAAgAAAAwtMTIzMywwMDU0MTYBCAAAAAUAAAABMQEAAAALLTE5NTkyNDk2NTQDAAAAAzE2MAIAAAAENDA1MQQAAAABMAcAAAAIMS8xLzIwMjQIAAAACjEyLzMxLzIwMjMJAAAAATAAyfGs60feCM4fGLbrR94IMENJUS5US0EuSVFfRUJJVERBX01BUkdJTi4yMDAwLjAxLzAxLzIwMjQuLi5VU0QuSAEAAAAg1wwAAgAAAActMywwMzk1AQgAAAAFAAAAATEBAAAACy0xOTU5MjQ5NjU0AwAAAAI1MAIAAAAENDA0NwQAAAABMAcAAAAIMS8xLzIwMjQIAAAACjEyLzMxLzIwMjMJAAAAATAAyfGs60feCH1uGLbrR94IL0NJUS5US0EuSVFfVE9UQUxfQVNTRVRTLjIwMDAuMDEvMDEvMjAyNC4uLlVTRC5IAQAAACDXDAACAAAADDM1NDQ2LDAwNDE4OQEIAAAABQAAAAExAQAAAAstMTk1OTI0OTY1NAMAAAADMTYwAgAAAAQxMDA3BAAAAAEwBwAAAAgxLzEvMjAyNAgAAAAKMTIvMzEvMjAyMwkAAAABMADJ8azr</t>
  </si>
  <si>
    <t>R94IfW4YtutH3ggtQ0lRLlRLQS5JUV9DQVNIX0VRVUlWLjIwMDAuMDEvMDEvMjAyNC4uLlVTRC5IAQAAACDXDAACAAAACzczMjcsMjkwODEyAQgAAAAFAAAAATEBAAAACy0xOTU5MjQ5NjU0AwAAAAMxNjACAAAABDEwOTYEAAAAATAHAAAACDEvMS8yMDI0CAAAAAoxMi8zMS8yMDIzCQAAAAEwAMnxrOtH3ggmRxi260feCCtDSVEuVEtBLklRX05FVF9ERUJULjIwMDAuMDEvMDEvMjAyNC4uLlVTRC5IAQAAACDXDAACAAAADC00MDg5LDc1MzUwOAEIAAAABQAAAAExAQAAAAstMTk1OTI0OTY1NAMAAAADMTYwAgAAAAQ0MzY0BAAAAAEwBwAAAAgxLzEvMjAyNAgAAAAKMTIvMzEvMjAyMwkAAAABMADJ8azrR94IJkcYtutH3ggqQ0lRLlNQQU4uSVFfRUJJVERBLjIwMDAuMDEvMDEvMjAyNC4uLlVTRC5IAQAAAPEkmQECAAAACDMsOTU4MjE4AQgAAAAFAAAAATEBAAAACy0xOTQ2MjczMzkxAwAAAAMxNjACAAAABDQwNTEEAAAAATAHAAAACDEvMS8yMDI0CAAAAAoxMi8zMS8yMDIzCQAAAAEwBj8trutH3gjVlRi260feCDFDSVEuU1BBTi5JUV9FQklUREFfTUFSR0lOLjIwMDAuMDEvMDEvMjAyNC4uLlVTRC5IAQAAAPEkmQECAAAABTIsNTA3AQgAAAAFAAAAATEBAAAACy0xOTQ2MjczMzkxAwAAAAI1MAIAAAAENDA0NwQAAAABMAcAAAAIMS8xLzIwMjQIAAAACjEyLzMxLzIwMjMJAAAAATAGPy2u60feCNWVGLbrR94I</t>
  </si>
  <si>
    <t>MENJUS5TUEFOLklRX1RPVEFMX0FTU0VUUy4yMDAwLjAxLzAxLzIwMjQuLi5VU0QuSAEAAADxJJkBAgAAAAk3OSw4NzI4ODYBCAAAAAUAAAABMQEAAAALLTE5NDYyNzMzOTEDAAAAAzE2MAIAAAAEMTAwNwQAAAABMAcAAAAIMS8xLzIwMjQIAAAACjEyLzMxLzIwMjMJAAAAATAGPy2u60feCNWVGLbrR94ILkNJUS5TUEFOLklRX0NBU0hfRVFVSVYuMjAwMC4wMS8wMS8yMDI0Li4uVVNELkgBAAAA8SSZAQIAAAAJMTUsODkzNjY2AQgAAAAFAAAAATEBAAAACy0xOTQ2MjczMzkxAwAAAAMxNjACAAAABDEwOTYEAAAAATAHAAAACDEvMS8yMDI0CAAAAAoxMi8zMS8yMDIzCQAAAAEwBj8trutH3gjVlRi260feCCxDSVEuU1BBTi5JUV9ORVRfREVCVC4yMDAwLjAxLzAxLzIwMjQuLi5VU0QuSAEAAADxJJkBAgAAAAotMTEsOTY0MTg3AQgAAAAFAAAAATEBAAAACy0xOTQ2MjczMzkxAwAAAAMxNjACAAAABDQzNjQEAAAAATAHAAAACDEvMS8yMDI0CAAAAAoxMi8zMS8yMDIzCQAAAAEwBj8trutH3gjVlRi260feCCtDSVEuVklNQUIuSVFfRUJJVERBLjIwMDAuMDEvMDEvMjAyNC4uLlVTRC5IAQAAAMYlqyICAAAABzIsNjcxMTYBCAAAAAUAAAABMQEAAAALLTE5MzkyNTY5MzkDAAAAAzE2MAIAAAAENDA1MQQAAAABMAcAAAAIMS8xLzIwMjQIAAAACjEyLzMxLzIwMjMJAAAAATAV8PGs60feCHkRH7brR94IMkNJUS5WSU1B</t>
  </si>
  <si>
    <t>Qi5JUV9FQklUREFfTUFSR0lOLjIwMDAuMDEvMDEvMjAyNC4uLlVTRC5IAQAAAMYlqyICAAAABjcsODQ2NgEIAAAABQAAAAExAQAAAAstMTkzOTI1NjkzOQMAAAADMTM3AgAAAAQ0MDQ3BAAAAAEwBwAAAAgxLzEvMjAyNAgAAAAKMTIvMzEvMjAyMwkAAAABMBXw8azrR94IijgftutH3ggxQ0lRLlZJTUFCLklRX1RPVEFMX0FTU0VUUy4yMDAwLjAxLzAxLzIwMjQuLi5VU0QuSAEAAADGJasiAgAAAAkzMyw2ODAxMDEBCAAAAAUAAAABMQEAAAALLTE5MzkyNTY5MzkDAAAAAzE2MAIAAAAEMTAwNwQAAAABMAcAAAAIMS8xLzIwMjQIAAAACjEyLzMxLzIwMjMJAAAAATAV8PGs60feCIo4H7brR94IL0NJUS5WSU1BQi5JUV9DQVNIX0VRVUlWLjIwMDAuMDEvMDEvMjAyNC4uLlVTRC5IAQAAAMYlqyICAAAACDMsMDEwMTM5AQgAAAAFAAAAATEBAAAACy0xOTM5MjU2OTM5AwAAAAMxNjACAAAABDEwOTYEAAAAATAHAAAACDEvMS8yMDI0CAAAAAoxMi8zMS8yMDIzCQAAAAEwFfDxrOtH3giKOB+260feCC1DSVEuVklNQUIuSVFfTkVUX0RFQlQuMjAwMC4wMS8wMS8yMDI0Li4uVVNELkgBAAAAxiWrIgIAAAAINSwwMTE4OTMBCAAAAAUAAAABMQEAAAALLTE5MzkyNTY5MzkDAAAAAzE2MAIAAAAENDM2NAQAAAABMAcAAAAIMS8xLzIwMjQIAAAACjEyLzMxLzIwMjMJAAAAATAV8PGs60feCIo4H7brR94IKUNJUS5XQlMuSVFf</t>
  </si>
  <si>
    <t>RUJJVERBLjIwMDAuMDEvMDEvMjAyNC4uLlVTRC5IAQAAAJunAQADAAAAAk5BAADJ8azrR94Im+QYtutH3ggwQ0lRLldCUy5JUV9FQklUREFfTUFSR0lOLjIwMDAuMDEvMDEvMjAyNC4uLlVTRC5IAQAAAJunAQADAAAAAk5BAADJ8azrR94IbjMZtutH3ggvQ0lRLldCUy5JUV9UT1RBTF9BU1NFVFMuMjAwMC4wMS8wMS8yMDI0Li4uVVNELkgBAAAAm6cBAAIAAAAJNzQ5NDUsMjQ5AQgAAAAFAAAAATEBAAAACy0xOTU3MTQ0NzIyAwAAAAMxNjACAAAABDEwMDcEAAAAATAHAAAACDEvMS8yMDI0CAAAAAoxMi8zMS8yMDIzCQAAAAEwAMnxrOtH3ghuMxm260feCC1DSVEuV0JTLklRX0NBU0hfRVFVSVYuMjAwMC4wMS8wMS8yMDI0Li4uVVNELkgBAAAAm6cBAAIAAAAIMTcxNSw3OTUBCAAAAAUAAAABMQEAAAALLTE5NTcxNDQ3MjIDAAAAAzE2MAIAAAAEMTA5NgQAAAABMAcAAAAIMS8xLzIwMjQIAAAACjEyLzMxLzIwMjMJAAAAATAAyfGs60feCAMMGbbrR94IK0NJUS5XQlMuSVFfTkVUX0RFQlQuMjAwMC4wMS8wMS8yMDI0Li4uVVNELkgBAAAAm6cBAAIAAAAIMjYxMSwyMzMBCAAAAAUAAAABMQEAAAALLTE5NTcxNDQ3MjIDAAAAAzE2MAIAAAAENDM2NAQAAAABMAcAAAAIMS8xLzIwMjQIAAAACjEyLzMxLzIwMjMJAAAAATAAyfGs60feCAMMGbbrR94IK0NJUS5TVExBTS5JUV9FQklUREEuMjAwMC4wMS8wMS8yMDI0</t>
  </si>
  <si>
    <t>Li4uVVNELkgBAAAAhVUNAAIAAAAMMzA2MzMsMzU5MTE1AQgAAAAFAAAAATEBAAAACy0xOTU3NzIyNzU2AwAAAAMxNjACAAAABDQwNTEEAAAAATAHAAAACDEvMS8yMDI0CAAAAAoxMi8zMS8yMDIzCQAAAAEwAMnxrOtH3gjXWhm260feCDJDSVEuU1RMQU0uSVFfRUJJVERBX01BUkdJTi4yMDAwLjAxLzAxLzIwMjQuLi5VU0QuSAEAAACFVQ0AAgAAAAcxNCw2MjE0AQgAAAAFAAAAATEBAAAACy0xOTU3NzIyNzU2AwAAAAI1MAIAAAAENDA0NwQAAAABMAcAAAAIMS8xLzIwMjQIAAAACjEyLzMxLzIwMjMJAAAAATAAyfGs60feCNdaGbbrR94IMUNJUS5TVExBTS5JUV9UT1RBTF9BU1NFVFMuMjAwMC4wMS8wMS8yMDI0Li4uVVNELkgBAAAAhVUNAAIAAAANMjIzNDE5LDkxODEzNwEIAAAABQAAAAExAQAAAAstMTk1NzcyMjc1NgMAAAADMTYwAgAAAAQxMDA3BAAAAAEwBwAAAAgxLzEvMjAyNAgAAAAKMTIvMzEvMjAyMwkAAAABMADJ8azrR94I11oZtutH3ggvQ0lRLlNUTEFNLklRX0NBU0hfRVFVSVYuMjAwMC4wMS8wMS8yMDI0Li4uVVNELkgBAAAAhVUNAAIAAAAMNDY4ODcsMzY1OTYzAQgAAAAFAAAAATEBAAAACy0xOTU3NzIyNzU2AwAAAAMxNjACAAAABDEwOTYEAAAAATAHAAAACDEvMS8yMDI0CAAAAAoxMi8zMS8yMDIzCQAAAAEwAMnxrOtH3gjXWhm260feCC1DSVEuU1RMQU0uSVFfTkVUX0RFQlQuMjAwMC4w</t>
  </si>
  <si>
    <t>MS8wMS8yMDI0Li4uVVNELkgBAAAAhVUNAAIAAAANLTE5NTE1LDg2MTYwNgEIAAAABQAAAAExAQAAAAstMTk1NzcyMjc1NgMAAAADMTYwAgAAAAQ0MzY0BAAAAAEwBwAAAAgxLzEvMjAyNAgAAAAKMTIvMzEvMjAyMwkAAAABMADJ8azrR94I11oZtutH3ggsQ0lRLkZXT04uSy5JUV9FQklUREEuMjAwMC4wMS8wMS8yMDI0Li4uVVNELkgBAAAAw57FEwIAAAADNjY2AQgAAAAFAAAAATEBAAAACy0xOTUyODI2ODE1AwAAAAMxNjACAAAABDQwNTEEAAAAATAHAAAACDEvMS8yMDI0CAAAAAoxMi8zMS8yMDIzCQAAAAEwAMnxrOtH3ghAghm260feCDNDSVEuRldPTi5LLklRX0VCSVREQV9NQVJHSU4uMjAwMC4wMS8wMS8yMDI0Li4uVVNELkgBAAAAw57FEwIAAAAHMjAsNjcwMwEIAAAABQAAAAExAQAAAAstMTk1MjgyNjgxNQMAAAADMTYwAgAAAAQ0MDQ3BAAAAAEwBwAAAAgxLzEvMjAyNAgAAAAKMTIvMzEvMjAyMwkAAAABMADJ8azrR94IQIIZtutH3ggyQ0lRLkZXT04uSy5JUV9UT1RBTF9BU1NFVFMuMjAwMC4wMS8wMS8yMDI0Li4uVVNELkgBAAAAw57FEwIAAAAFMTAyNjcBCAAAAAUAAAABMQEAAAALLTE5NTI4MjY4MTUDAAAAAzE2MAIAAAAEMTAwNwQAAAABMAcAAAAIMS8xLzIwMjQIAAAACjEyLzMxLzIwMjMJAAAAATAAyfGs60feCLipGbbrR94IMENJUS5GV09OLksuSVFfQ0FTSF9FUVVJVi4yMDAwLjAxLzAx</t>
  </si>
  <si>
    <t>LzIwMjQuLi5VU0QuSAEAAADDnsUTAgAAAAQxNDA4AQgAAAAFAAAAATEBAAAACy0xOTUyODI2ODE1AwAAAAMxNjACAAAABDEwOTYEAAAAATAHAAAACDEvMS8yMDI0CAAAAAoxMi8zMS8yMDIzCQAAAAEwAMnxrOtH3gi4qRm260feCC5DSVEuRldPTi5LLklRX05FVF9ERUJULjIwMDAuMDEvMDEvMjAyNC4uLlVTRC5IAQAAAMOexRMCAAAABDE1MzYBCAAAAAUAAAABMQEAAAALLTE5NTI4MjY4MTUDAAAAAzE2MAIAAAAENDM2NAQAAAABMAcAAAAIMS8xLzIwMjQIAAAACjEyLzMxLzIwMjMJAAAAATAAyfGs60feCLipGbbrR94IKkNJUS5GTEdDLklRX0VCSVREQS4yMDAwLjAxLzAxLzIwMjQuLi5VU0QuSAEAAAChNywmAgAAAAYtOCwzNjMBCAAAAAUAAAABMQEAAAALLTE5NTQ2MjQ3OTADAAAAAzE2MAIAAAAENDA1MQQAAAABMAcAAAAIMS8xLzIwMjQIAAAACjEyLzMxLzIwMjMJAAAAATAAyfGs60feCLipGbbrR94IMUNJUS5GTEdDLklRX0VCSVREQV9NQVJHSU4uMjAwMC4wMS8wMS8yMDI0Li4uVVNELkgBAAAAoTcsJgIAAAAILTEwLDk5MzYBCAAAAAUAAAABMQEAAAALLTE5NTQ2MjQ3OTADAAAAAzE2MAIAAAAENDA0NwQAAAABMAcAAAAIMS8xLzIwMjQIAAAACjEyLzMxLzIwMjMJAAAAATAAyfGs60feCHkmGrbrR94IMENJUS5GTEdDLklRX1RPVEFMX0FTU0VUUy4yMDAwLjAxLzAxLzIwMjQuLi5VU0QuSAEAAACh</t>
  </si>
  <si>
    <t>NywmAgAAAAYyMyw2MjYBCAAAAAUAAAABMQEAAAALLTE5NTQ2MjQ3OTADAAAAAzE2MAIAAAAEMTAwNwQAAAABMAcAAAAIMS8xLzIwMjQIAAAACjEyLzMxLzIwMjMJAAAAATAV8PGs60feCHkmGrbrR94ILkNJUS5GTEdDLklRX0NBU0hfRVFVSVYuMjAwMC4wMS8wMS8yMDI0Li4uVVNELkgBAAAAoTcsJgIAAAAENCwzNQEIAAAABQAAAAExAQAAAAstMTk1NDYyNDc5MAMAAAADMTYwAgAAAAQxMDk2BAAAAAEwBwAAAAgxLzEvMjAyNAgAAAAKMTIvMzEvMjAyMwkAAAABMBXw8azrR94IQ9EZtutH3ggsQ0lRLkZMR0MuSVFfTkVUX0RFQlQuMjAwMC4wMS8wMS8yMDI0Li4uVVNELkgBAAAAoTcsJgIAAAAGLTAsNjc4AQgAAAAFAAAAATEBAAAACy0xOTU0NjI0NzkwAwAAAAMxNjACAAAABDQzNjQEAAAAATAHAAAACDEvMS8yMDI0CAAAAAoxMi8zMS8yMDIzCQAAAAEwFfDxrOtH3ghD0Rm260feCCpDSVEuQUtPTS5JUV9FQklUREEuMjAwMC4wMS8wMS8yMDI0Li4uVVNELkgBAAAABwk4EQIAAAAKLTE2LDI5NzM4NAEIAAAABQAAAAExAQAAAAstMTkzMDExNzA3NAMAAAADMTYwAgAAAAQ0MDUxBAAAAAEwBwAAAAgxLzEvMjAyNAgAAAAKMTIvMzEvMjAyMwkAAAABMBXw8azrR94IDk4atutH3ggxQ0lRLkFLT00uSVFfRUJJVERBX01BUkdJTi4yMDAwLjAxLzAxLzIwMjQuLi5VU0QuSAEAAAAHCTgRAwAAAAJOTQEIAAAABQAA</t>
  </si>
  <si>
    <t>AAExAQAAAAstMTkzMDExNzA3NAMAAAADMTYwAgAAAAQ0MDQ3BAAAAAEwBwAAAAgxLzEvMjAyNAgAAAAKMTIvMzEvMjAyMwkAAAABMBXw8azrR94IDk4atutH3ggwQ0lRLkFLT00uSVFfVE9UQUxfQVNTRVRTLjIwMDAuMDEvMDEvMjAyNC4uLlVTRC5IAQAAAAcJOBECAAAACTg3LDg1MTYyMgEIAAAABQAAAAExAQAAAAstMTkzMDExNzA3NAMAAAADMTYwAgAAAAQxMDA3BAAAAAEwBwAAAAgxLzEvMjAyNAgAAAAKMTIvMzEvMjAyMwkAAAABMBXw8azrR94IlHUatutH3gguQ0lRLkFLT00uSVFfQ0FTSF9FUVVJVi4yMDAwLjAxLzAxLzIwMjQuLi5VU0QuSAEAAAAHCTgRAgAAAAg0LDIwMjc5NwEIAAAABQAAAAExAQAAAAstMTkzMDExNzA3NAMAAAADMTYwAgAAAAQxMDk2BAAAAAEwBwAAAAgxLzEvMjAyNAgAAAAKMTIvMzEvMjAyMwkAAAABMBXw8azrR94IlHUatutH3ggsQ0lRLkFLT00uSVFfTkVUX0RFQlQuMjAwMC4wMS8wMS8yMDI0Li4uVVNELkgBAAAABwk4EQIAAAAJMzQsNDExOTUzAQgAAAAFAAAAATEBAAAACy0xOTMwMTE3MDc0AwAAAAMxNjACAAAABDQzNjQEAAAAATAHAAAACDEvMS8yMDI0CAAAAAoxMi8zMS8yMDIzCQAAAAEwFfDxrOtH3giUdRq260feCCpDSVEuV0lORS5JUV9FQklUREEuMjAwMC4wMS8wMS8yMDI0Li4uVVNELkgBAAAAsHENAAIAAAAINiwxOTY4NDgBCAAAAAUAAAABMQEAAAALLTE5</t>
  </si>
  <si>
    <t>MzIxMjcwOTcDAAAAAzE2MAIAAAAENDA1MQQAAAABMAcAAAAIMS8xLzIwMjQIAAAACDEvMS8yMDI0CQAAAAEwFfDxrOtH3ggknRq260feCDFDSVEuV0lORS5JUV9FQklUREFfTUFSR0lOLjIwMDAuMDEvMDEvMjAyNC4uLlVTRC5IAQAAALBxDQACAAAABjEsNTkzMgEIAAAABQAAAAExAQAAAAstMTkzMjEyNzA5NwMAAAACNTUCAAAABDQwNDcEAAAAATAHAAAACDEvMS8yMDI0CAAAAAgxLzEvMjAyNAkAAAABMBXw8azrR94IJJ0atutH3ggwQ0lRLldJTkUuSVFfVE9UQUxfQVNTRVRTLjIwMDAuMDEvMDEvMjAyNC4uLlVTRC5IAQAAALBxDQACAAAACjI1Niw4MjYzOTkBCAAAAAUAAAABMQEAAAALLTE5MzIxMjcwOTcDAAAAAzE2MAIAAAAEMTAwNwQAAAABMAcAAAAIMS8xLzIwMjQIAAAACDEvMS8yMDI0CQAAAAEwFfDxrOtH3gi9xBq260feCC5DSVEuV0lORS5JUV9DQVNIX0VRVUlWLjIwMDAuMDEvMDEvMjAyNC4uLlVTRC5IAQAAALBxDQACAAAACTQwLDU0OTcyOAEIAAAABQAAAAExAQAAAAstMTkzMjEyNzA5NwMAAAADMTYwAgAAAAQxMDk2BAAAAAEwBwAAAAgxLzEvMjAyNAgAAAAIMS8xLzIwMjQJAAAAATAV8PGs60feCL3EGrbrR94ILENJUS5XSU5FLklRX05FVF9ERUJULjIwMDAuMDEvMDEvMjAyNC4uLlVTRC5IAQAAALBxDQACAAAACi0yMCwyODA1OTMBCAAAAAUAAAABMQEAAAALLTE5MzIxMjcwOTcDAAAA</t>
  </si>
  <si>
    <t>AzE2MAIAAAAENDM2NAQAAAABMAcAAAAIMS8xLzIwMjQIAAAACDEvMS8yMDI0CQAAAAEwFfDxrOtH3gi9xBq260feCCpDSVEuMTgwMC5JUV9FQklUREEuMjAwMC4wMS8wMS8yMDI0Li4uVVNELkgBAAAAVz6SAQIAAAALNzM2OCw1NjYyNzYBCAAAAAUAAAABMQEAAAALLTE5NDkyMjAzMTEDAAAAAzE2MAIAAAAENDA1MQQAAAABMAcAAAAIMS8xLzIwMjQIAAAACjEyLzMxLzIwMjMJAAAAATAV8PGs60feCFbsGrbrR94IMUNJUS4xODAwLklRX0VCSVREQV9NQVJHSU4uMjAwMC4wMS8wMS8yMDI0Li4uVVNELkgBAAAAVz6SAQIAAAAGNiw4ODY1AQgAAAAFAAAAATEBAAAACy0xOTQ5MjIwMzExAwAAAAIzMgIAAAAENDA0NwQAAAABMAcAAAAIMS8xLzIwMjQIAAAACjEyLzMxLzIwMjMJAAAAATAV8PGs60feCK47G7brR94IMENJUS4xODAwLklRX1RPVEFMX0FTU0VUUy4yMDAwLjAxLzAxLzIwMjQuLi5VU0QuSAEAAABXPpIBAgAAAA0yMzc1NDUsNjQwMTk1AQgAAAAFAAAAATEBAAAACy0xOTQ5MjIwMzExAwAAAAMxNjACAAAABDEwMDcEAAAAATAHAAAACDEvMS8yMDI0CAAAAAoxMi8zMS8yMDIzCQAAAAEwFfDxrOtH3ghcYxu260feCC5DSVEuMTgwMC5JUV9DQVNIX0VRVUlWLjIwMDAuMDEvMDEvMjAyNC4uLlVTRC5IAQAAAFc+kgECAAAACzE3MDYxLDc4NzY3AQgAAAAFAAAAATEBAAAACy0xOTQ5MjIwMzExAwAAAAMx</t>
  </si>
  <si>
    <t>NjACAAAABDEwOTYEAAAAATAHAAAACDEvMS8yMDI0CAAAAAoxMi8zMS8yMDIzCQAAAAEwFfDxrOtH3gj/Exu260feCCxDSVEuMTgwMC5JUV9ORVRfREVCVC4yMDAwLjAxLzAxLzIwMjQuLi5VU0QuSAEAAABXPpIBAgAAAAw1OTkwNCw0MDI4NDQBCAAAAAUAAAABMQEAAAALLTE5NDkyMjAzMTEDAAAAAzE2MAIAAAAENDM2NAQAAAABMAcAAAAIMS8xLzIwMjQIAAAACjEyLzMxLzIwMjMJAAAAATAV8PGs60feCP8TG7brR94IKUNJUS5QT1IuSVFfRUJJVERBLjIwMDAuMDEvMDEvMjAyNC4uLlVTRC5IAQAAADaKBAACAAAAAzg2MAEIAAAABQAAAAExAQAAAAstMTk1OTQ5MTc0MAMAAAADMTYwAgAAAAQ0MDUxBAAAAAEwBwAAAAgxLzEvMjAyNAgAAAAKMTIvMzEvMjAyMwkAAAABMBXw8azrR94IBosbtutH3ggwQ0lRLlBPUi5JUV9FQklUREFfTUFSR0lOLjIwMDAuMDEvMDEvMjAyNC4uLlVTRC5IAQAAADaKBAACAAAABzI5LDQyMTgBCAAAAAUAAAABMQEAAAALLTE5NTk0OTE3NDADAAAAAzE2MAIAAAAENDA0NwQAAAABMAcAAAAIMS8xLzIwMjQIAAAACjEyLzMxLzIwMjMJAAAAATAV8PGs60feCAaLG7brR94IL0NJUS5QT1IuSVFfVE9UQUxfQVNTRVRTLjIwMDAuMDEvMDEvMjAyNC4uLlVTRC5IAQAAADaKBAACAAAABTExMjA4AQgAAAAFAAAAATEBAAAACy0xOTU5NDkxNzQwAwAAAAMxNjACAAAABDEwMDcEAAAAATAH</t>
  </si>
  <si>
    <t>AAAACDEvMS8yMDI0CAAAAAoxMi8zMS8yMDIzCQAAAAEwFfDxrOtH3gjdshu260feCC1DSVEuUE9SLklRX0NBU0hfRVFVSVYuMjAwMC4wMS8wMS8yMDI0Li4uVVNELkgBAAAANooEAAIAAAABNQEIAAAABQAAAAExAQAAAAstMTk1OTQ5MTc0MAMAAAADMTYwAgAAAAQxMDk2BAAAAAEwBwAAAAgxLzEvMjAyNAgAAAAKMTIvMzEvMjAyMwkAAAABMBXw8azrR94I3bIbtutH3ggrQ0lRLlBPUi5JUV9ORVRfREVCVC4yMDAwLjAxLzAxLzIwMjQuLi5VU0QuSAEAAAA2igQAAgAAAAQ0NDU0AQgAAAAFAAAAATEBAAAACy0xOTU5NDkxNzQwAwAAAAMxNjACAAAABDQzNjQEAAAAATAHAAAACDEvMS8yMDI0CAAAAAoxMi8zMS8yMDIzCQAAAAEwFfDxrOtH3ghi2xu260feCCpDSVEuS0lUVy5JUV9FQklUREEuMjAwMC4wMS8wMS8yMDI0Li4uVVNELkgBAAAAW6bKJQIAAAAIMzksMzA1NzcBCAAAAAUAAAABMQEAAAALLTE5NTY1MjY4MDUDAAAAAzE2MAIAAAAENDA1MQQAAAABMAcAAAAIMS8xLzIwMjQIAAAACjEwLzMxLzIwMjMJAAAAATAV8PGs60feCGLbG7brR94IMUNJUS5LSVRXLklRX0VCSVREQV9NQVJHSU4uMjAwMC4wMS8wMS8yMDI0Li4uVVNELkgBAAAAW6bKJQIAAAAGNSwzODE0AQgAAAAFAAAAATEBAAAACy0xOTU2NTI2ODA1AwAAAAI1NQIAAAAENDA0NwQAAAABMAcAAAAIMS8xLzIwMjQIAAAACjEwLzMxLzIwMjMJ</t>
  </si>
  <si>
    <t>AAAAATAV8PGs60feCGLbG7brR94IMENJUS5LSVRXLklRX1RPVEFMX0FTU0VUUy4yMDAwLjAxLzAxLzIwMjQuLi5VU0QuSAEAAABbpsolAgAAAAgyNTQsMTkzNAEIAAAABQAAAAExAQAAAAstMTk1NjUyNjgwNQMAAAADMTYwAgAAAAQxMDA3BAAAAAEwBwAAAAgxLzEvMjAyNAgAAAAKMTAvMzEvMjAyMwkAAAABMBXw8azrR94IggMctutH3gguQ0lRLktJVFcuSVFfQ0FTSF9FUVVJVi4yMDAwLjAxLzAxLzIwMjQuLi5VU0QuSAEAAABbpsolAgAAAAgwLDgxNjI0MgEIAAAABQAAAAExAQAAAAstMTk1NjUyNjgwNQMAAAADMTYwAgAAAAQxMDk2BAAAAAEwBwAAAAgxLzEvMjAyNAgAAAAKMTAvMzEvMjAyMwkAAAABMBXw8azrR94IggMctutH3ggsQ0lRLktJVFcuSVFfTkVUX0RFQlQuMjAwMC4wMS8wMS8yMDI0Li4uVVNELkgBAAAAW6bKJQIAAAAINzAsODMxMTYBCAAAAAUAAAABMQEAAAALLTE5NTY1MjY4MDUDAAAAAzE2MAIAAAAENDM2NAQAAAABMAcAAAAIMS8xLzIwMjQIAAAACjEwLzMxLzIwMjMJAAAAATAV8PGs60feCIIDHLbrR94IKkNJUS5LRVlTLklRX0VCSVREQS4yMDAwLjAxLzAxLzIwMjQuLi5VU0QuSAEAAACDMbkOAgAAAAQxNTkxAQgAAAAFAAAAATEBAAAACy0xOTExNTMzOTc0AwAAAAMxNjACAAAABDQwNTEEAAAAATAHAAAACDEvMS8yMDI0CAAAAAoxMC8zMS8yMDIzCQAAAAEwBj8trutH3ggHKxy2</t>
  </si>
  <si>
    <t>60feCDFDSVEuS0VZUy5JUV9FQklUREFfTUFSR0lOLjIwMDAuMDEvMDEvMjAyNC4uLlVTRC5IAQAAAIMxuQ4CAAAABzI5LDExNzgBCAAAAAUAAAABMQEAAAALLTE5MTE1MzM5NzQDAAAAAzE2MAIAAAAENDA0NwQAAAABMAcAAAAIMS8xLzIwMjQIAAAACjEwLzMxLzIwMjMJAAAAATAGPy2u60feCIGgHLbrR94IMENJUS5LRVlTLklRX1RPVEFMX0FTU0VUUy4yMDAwLjAxLzAxLzIwMjQuLi5VU0QuSAEAAACDMbkOAgAAAAQ4NjgzAQgAAAAFAAAAATEBAAAACy0xOTExNTMzOTc0AwAAAAMxNjACAAAABDEwMDcEAAAAATAHAAAACDEvMS8yMDI0CAAAAAoxMC8zMS8yMDIzCQAAAAEwBj8trutH3giBoBy260feCC5DSVEuS0VZUy5JUV9DQVNIX0VRVUlWLjIwMDAuMDEvMDEvMjAyNC4uLlVTRC5IAQAAAIMxuQ4CAAAABDI0NzIBCAAAAAUAAAABMQEAAAALLTE5MTE1MzM5NzQDAAAAAzE2MAIAAAAEMTA5NgQAAAABMAcAAAAIMS8xLzIwMjQIAAAACjEwLzMxLzIwMjMJAAAAATAGPy2u60feCIlSHLbrR94ILENJUS5LRVlTLklRX05FVF9ERUJULjIwMDAuMDEvMDEvMjAyNC4uLlVTRC5IAQAAAIMxuQ4CAAAABC00NDYBCAAAAAUAAAABMQEAAAALLTE5MTE1MzM5NzQDAAAAAzE2MAIAAAAENDM2NAQAAAABMAcAAAAIMS8xLzIwMjQIAAAACjEwLzMxLzIwMjMJAAAAATAGPy2u60feCIlSHLbrR94IKkNJUS5PR0tCLklRX0VC</t>
  </si>
  <si>
    <t>SVREQS4yMDAwLjAxLzAxLzIwMjQuLi5VU0QuSAEAAADOWaoBAgAAAAk2NzksMzIyMzMBCAAAAAUAAAABMQEAAAALLTIwMTkxODAyOTgDAAAAAzE2MAIAAAAENDA1MQQAAAABMAcAAAAIMS8xLzIwMjQIAAAACTkvMzAvMjAyMgkAAAABMBXw8azrR94Ii8cctutH3ggxQ0lRLk9HS0IuSVFfRUJJVERBX01BUkdJTi4yMDAwLjAxLzAxLzIwMjQuLi5VU0QuSAEAAADOWaoBAgAAAAcyOCw5NDY2AQgAAAAFAAAAATEBAAAACy0yMDE5MTgwMjk4AwAAAAMxMzECAAAABDQwNDcEAAAAATAHAAAACDEvMS8yMDI0CAAAAAk5LzMwLzIwMjIJAAAAATAV8PGs60feCIvHHLbrR94IMENJUS5PR0tCLklRX1RPVEFMX0FTU0VUUy4yMDAwLjAxLzAxLzIwMjQuLi5VU0QuSAEAAADOWaoBAwAAAAAAFfDxrOtH3giLxxy260feCC5DSVEuT0dLQi5JUV9DQVNIX0VRVUlWLjIwMDAuMDEvMDEvMjAyNC4uLlVTRC5IAQAAAM5ZqgEDAAAAAAAV8PGs60feCIvHHLbrR94ILENJUS5PR0tCLklRX05FVF9ERUJULjIwMDAuMDEvMDEvMjAyNC4uLlVTRC5IAQAAAM5ZqgEDAAAAAAAV8PGs60feCJzuHLbrR94IKUNJUS5IT04uSVFfRUJJVERBLjIwMDAuMDEvMDEvMjAyNC4uLlVTRC5IAQAAAER1FAACAAAABDg3MzABCAAAAAUAAAABMQEAAAALLTE5NTg4MTE4MjEDAAAAAzE2MAIAAAAENDA1MQQAAAABMAcAAAAIMS8xLzIwMjQIAAAACjEyLzMx</t>
  </si>
  <si>
    <t>LzIwMjMJAAAAATAV8PGs60feCJzuHLbrR94IMENJUS5IT04uSVFfRUJJVERBX01BUkdJTi4yMDAwLjAxLzAxLzIwMjQuLi5VU0QuSAEAAABEdRQAAgAAAAcyMyw4MTIxAQgAAAAFAAAAATEBAAAACy0xOTU4ODExODIxAwAAAAMxNjACAAAABDQwNDcEAAAAATAHAAAACDEvMS8yMDI0CAAAAAoxMi8zMS8yMDIzCQAAAAEwFfDxrOtH3gic7hy260feCC9DSVEuSE9OLklRX1RPVEFMX0FTU0VUUy4yMDAwLjAxLzAxLzIwMjQuLi5VU0QuSAEAAABEdRQAAgAAAAU2MTUyNQEIAAAABQAAAAExAQAAAAstMTk1ODgxMTgyMQMAAAADMTYwAgAAAAQxMDA3BAAAAAEwBwAAAAgxLzEvMjAyNAgAAAAKMTIvMzEvMjAyMwkAAAABMBXw8azrR94IqxUdtutH3ggtQ0lRLkhPTi5JUV9DQVNIX0VRVUlWLjIwMDAuMDEvMDEvMjAyNC4uLlVTRC5IAQAAAER1FAACAAAABDc5MjUBCAAAAAUAAAABMQEAAAALLTE5NTg4MTE4MjEDAAAAAzE2MAIAAAAEMTA5NgQAAAABMAcAAAAIMS8xLzIwMjQIAAAACjEyLzMxLzIwMjMJAAAAATAV8PGs60feCKsVHbbrR94IK0NJUS5IT04uSVFfTkVUX0RFQlQuMjAwMC4wMS8wMS8yMDI0Li4uVVNELkgBAAAARHUUAAIAAAAFMTM0NDEBCAAAAAUAAAABMQEAAAALLTE5NTg4MTE4MjEDAAAAAzE2MAIAAAAENDM2NAQAAAABMAcAAAAIMS8xLzIwMjQIAAAACjEyLzMxLzIwMjMJAAAAATAV8PGs60feCKsV</t>
  </si>
  <si>
    <t>HbbrR94IKENJUS5HTy5JUV9FQklUREEuMjAwMC4wMS8wMS8yMDI0Li4uVVNELkgBAAAAUWoYAAIAAAAHMjE0LDIyMwEIAAAABQAAAAExAQAAAAstMTk1Nzg2MzM1NwMAAAADMTYwAgAAAAQ0MDUxBAAAAAEwBwAAAAgxLzEvMjAyNAgAAAAKMTIvMzAvMjAyMwkAAAABMBXw8azrR94IvTwdtutH3ggvQ0lRLkdPLklRX0VCSVREQV9NQVJHSU4uMjAwMC4wMS8wMS8yMDI0Li4uVVNELkgBAAAAUWoYAAIAAAAGNSwzOTY3AQgAAAAFAAAAATEBAAAACy0xOTU3ODYzMzU3AwAAAAMxNjACAAAABDQwNDcEAAAAATAHAAAACDEvMS8yMDI0CAAAAAoxMi8zMC8yMDIzCQAAAAEwFfDxrOtH3gjPYx2260feCC5DSVEuR08uSVFfVE9UQUxfQVNTRVRTLjIwMDAuMDEvMDEvMjAyNC4uLlVTRC5IAQAAAFFqGAACAAAACDI5NjksNTg2AQgAAAAFAAAAATEBAAAACy0xOTU3ODYzMzU3AwAAAAMxNjACAAAABDEwMDcEAAAAATAHAAAACDEvMS8yMDI0CAAAAAoxMi8zMC8yMDIzCQAAAAEwFfDxrOtH3gjcih2260feCCxDSVEuR08uSVFfQ0FTSF9FUVVJVi4yMDAwLjAxLzAxLzIwMjQuLi5VU0QuSAEAAABRahgAAgAAAAcxMTQsOTg3AQgAAAAFAAAAATEBAAAACy0xOTU3ODYzMzU3AwAAAAMxNjACAAAABDEwOTYEAAAAATAHAAAACDEvMS8yMDI0CAAAAAoxMi8zMC8yMDIzCQAAAAEwFfDxrOtH3gi9PB2260feCCpDSVEuR08uSVFfTkVU</t>
  </si>
  <si>
    <t>X0RFQlQuMjAwMC4wMS8wMS8yMDI0Li4uVVNELkgBAAAAUWoYAAIAAAAIMTI3OSw4MjYBCAAAAAUAAAABMQEAAAALLTE5NTc4NjMzNTcDAAAAAzE2MAIAAAAENDM2NAQAAAABMAcAAAAIMS8xLzIwMjQIAAAACjEyLzMwLzIwMjMJAAAAATAV8PGs60feCL08HbbrR94IKkNJUS5ETUVULklRX0VCSVREQS4yMDAwLjAxLzAxLzIwMjQuLi5VU0QuSAEAAAD5tBwpAgAAAAYtNCwxODcBCAAAAAUAAAABMQEAAAALLTE5NTMyOTk3NTQDAAAAAzE2MAIAAAAENDA1MQQAAAABMAcAAAAIMS8xLzIwMjQIAAAACjEyLzMxLzIwMjMJAAAAATAV8PGs60feCNyKHbbrR94IMUNJUS5ETUVULklRX0VCSVREQV9NQVJHSU4uMjAwMC4wMS8wMS8yMDI0Li4uVVNELkgBAAAA+bQcKQMAAAAAABXw8azrR94I6LEdtutH3ggwQ0lRLkRNRVQuSVFfVE9UQUxfQVNTRVRTLjIwMDAuMDEvMDEvMjAyNC4uLlVTRC5IAQAAAPm0HCkCAAAABjg5LDQ0MwEIAAAABQAAAAExAQAAAAstMTk1MzI5OTc1NAMAAAADMTYwAgAAAAQxMDA3BAAAAAEwBwAAAAgxLzEvMjAyNAgAAAAKMTIvMzEvMjAyMwkAAAABMBXw8azrR94I6LEdtutH3gguQ0lRLkRNRVQuSVFfQ0FTSF9FUVVJVi4yMDAwLjAxLzAxLzIwMjQuLi5VU0QuSAEAAAD5tBwpAgAAAAU3LDYyOAEIAAAABQAAAAExAQAAAAstMTk1MzI5OTc1NAMAAAADMTYwAgAAAAQxMDk2BAAAAAEwBwAAAAgx</t>
  </si>
  <si>
    <t>LzEvMjAyNAgAAAAKMTIvMzEvMjAyMwkAAAABMBXw8azrR94I6LEdtutH3ggsQ0lRLkRNRVQuSVFfTkVUX0RFQlQuMjAwMC4wMS8wMS8yMDI0Li4uVVNELkgBAAAA+bQcKQIAAAAGMTUsMzk1AQgAAAAFAAAAATEBAAAACy0xOTUzMjk5NzU0AwAAAAMxNjACAAAABDQzNjQEAAAAATAHAAAACDEvMS8yMDI0CAAAAAoxMi8zMS8yMDIzCQAAAAEwFfDxrOtH3gjosR2260feCCxDSVEuQ0FMVklLLklRX0VCSVREQS4yMDAwLjAxLzAxLzIwMjQuLi5VU0QuSAEAAABsZsUoAgAAAAgwLDQyMzU5OQEIAAAABQAAAAExAQAAAAstMTk0MjY2NzM4OQMAAAADMTYwAgAAAAQ0MDUxBAAAAAEwBwAAAAgxLzEvMjAyNAgAAAAKMTIvMzEvMjAyMwkAAAABMBXw8azrR94I6LEdtutH3ggzQ0lRLkNBTFZJSy5JUV9FQklUREFfTUFSR0lOLjIwMDAuMDEvMDEvMjAyNC4uLlVTRC5IAQAAAGxmxSgCAAAABjUsNzc0MgEIAAAABQAAAAExAQAAAAstMTk0MjY2NzM4OQMAAAADMTM3AgAAAAQ0MDQ3BAAAAAEwBwAAAAgxLzEvMjAyNAgAAAAKMTIvMzEvMjAyMwkAAAABMBXw8azrR94I+NgdtutH3ggyQ0lRLkNBTFZJSy5JUV9UT1RBTF9BU1NFVFMuMjAwMC4wMS8wMS8yMDI0Li4uVVNELkgBAAAAbGbFKAIAAAAIOSw3NzE0MTYBCAAAAAUAAAABMQEAAAALLTE5NDI2NjczODkDAAAAAzE2MAIAAAAEMTAwNwQAAAABMAcAAAAIMS8xLzIwMjQI</t>
  </si>
  <si>
    <t>AAAACjEyLzMxLzIwMjMJAAAAATAV8PGs60feCPjYHbbrR94IMENJUS5DQUxWSUsuSVFfQ0FTSF9FUVVJVi4yMDAwLjAxLzAxLzIwMjQuLi5VU0QuSAEAAABsZsUoAgAAAAgyLDc3MDk5NAEIAAAABQAAAAExAQAAAAstMTk0MjY2NzM4OQMAAAADMTYwAgAAAAQxMDk2BAAAAAEwBwAAAAgxLzEvMjAyNAgAAAAKMTIvMzEvMjAyMwkAAAABMBXw8azrR94I+NgdtutH3gguQ0lRLkNBTFZJSy5JUV9ORVRfREVCVC4yMDAwLjAxLzAxLzIwMjQuLi5VU0QuSAEAAABsZsUoAgAAAAgwLDQyNDA5NgEIAAAABQAAAAExAQAAAAstMTk0MjY2NzM4OQMAAAADMTYwAgAAAAQ0MzY0BAAAAAEwBwAAAAgxLzEvMjAyNAgAAAAKMTIvMzEvMjAyMwkAAAABMBXw8azrR94I+NgdtutH3ggpQ0lRLlNMVi5JUV9FQklUREEuMjAwMC4wMS8wMS8yMDI0Li4uVVNELkgBAAAA7nBbAQMAAAAAABXw8azrR94IBwAetutH3ggwQ0lRLlNMVi5JUV9FQklUREFfTUFSR0lOLjIwMDAuMDEvMDEvMjAyNC4uLlVTRC5IAQAAAO5wWwEDAAAAAAAV8PGs60feCBknHrbrR94IL0NJUS5TTFYuSVFfVE9UQUxfQVNTRVRTLjIwMDAuMDEvMDEvMjAyNC4uLlVTRC5IAQAAAO5wWwECAAAACzEwMzkzLDY2NjE4AQgAAAAFAAAAATEBAAAACy0xOTU5MDYzMDYwAwAAAAMxNjACAAAABDEwMDcEAAAAATAHAAAACDEvMS8yMDI0CAAAAAoxMi8zMS8yMDIzCQAAAAEw</t>
  </si>
  <si>
    <t>FfDxrOtH3ggZJx6260feCC1DSVEuU0xWLklRX0NBU0hfRVFVSVYuMjAwMC4wMS8wMS8yMDI0Li4uVVNELkgBAAAA7nBbAQMAAAAAABXw8azrR94IBwAetutH3ggrQ0lRLlNMVi5JUV9ORVRfREVCVC4yMDAwLjAxLzAxLzIwMjQuLi5VU0QuSAEAAADucFsBAgAAAAwtMTAzOTMsNjY2MTgBCAAAAAUAAAABMQEAAAALLTE5NTkwNjMwNjADAAAAAzE2MAIAAAAENDM2NAQAAAABMAcAAAAIMS8xLzIwMjQIAAAACjEyLzMxLzIwMjMJAAAAATAV8PGs60feCAcAHrbrR94IKUNJUS5NUEsuSVFfRUJJVERBLjIwMDAuMDEvMDEvMjAyNC4uLlVTRC5IAQAAALQj+ygDAAAAAAAV8PGs60feCCtOHrbrR94IMENJUS5NUEsuSVFfRUJJVERBX01BUkdJTi4yMDAwLjAxLzAxLzIwMjQuLi5VU0QuSAEAAAC0I/soAwAAAAAAFfDxrOtH3ggrTh6260feCC9DSVEuTVBLLklRX1RPVEFMX0FTU0VUUy4yMDAwLjAxLzAxLzIwMjQuLi5VU0QuSAEAAAC0I/soAgAAAAgyLDIxMzk1NAEIAAAABQAAAAExAQAAAAstMTk1NTkwOTAyMwMAAAADMTYwAgAAAAQxMDA3BAAAAAEwBwAAAAgxLzEvMjAyNAgAAAAKMTIvMzEvMjAyMwkAAAABMBXw8azrR94IK04etutH3ggtQ0lRLk1QSy5JUV9DQVNIX0VRVUlWLjIwMDAuMDEvMDEvMjAyNC4uLlVTRC5IAQAAALQj+ygCAAAACDEsMjM5MTgxAQgAAAAFAAAAATEBAAAACy0xOTU1OTA5MDIzAwAAAAMx</t>
  </si>
  <si>
    <t>NjACAAAABDEwOTYEAAAAATAHAAAACDEvMS8yMDI0CAAAAAoxMi8zMS8yMDIzCQAAAAEwFfDxrOtH3gg6dR6260feCCtDSVEuTVBLLklRX05FVF9ERUJULjIwMDAuMDEvMDEvMjAyNC4uLlVTRC5IAQAAALQj+ygCAAAACS0xLDIzOTE4MQEIAAAABQAAAAExAQAAAAstMTk1NTkwOTAyMwMAAAADMTYwAgAAAAQ0MzY0BAAAAAEwBwAAAAgxLzEvMjAyNAgAAAAKMTIvMzEvMjAyMwkAAAABMBXw8azrR94IOnUetutH3ggpQ0lRLlJFUC5JUV9FQklUREEuMjAwMC4wMS8wMS8yMDI0Li4uVVNELkgBAAAAru8EAAIAAAALNzI0Niw2MDEwODEBCAAAAAUAAAABMQEAAAALLTE5NTQxODIyMTcDAAAAAzE2MAIAAAAENDA1MQQAAAABMAcAAAAIMS8xLzIwMjQIAAAACjEyLzMxLzIwMjMJAAAAATAV8PGs60feCEicHrbrR94IMENJUS5SRVAuSVFfRUJJVERBX01BUkdJTi4yMDAwLjAxLzAxLzIwMjQuLi5VU0QuSAEAAACu7wQAAgAAAAcxMiwzNDIzAQgAAAAFAAAAATEBAAAACy0xOTU0MTgyMjE3AwAAAAI1MAIAAAAENDA0NwQAAAABMAcAAAAIMS8xLzIwMjQIAAAACjEyLzMxLzIwMjMJAAAAATAV8PGs60feCGnqHrbrR94IL0NJUS5SRVAuSVFfVE9UQUxfQVNTRVRTLjIwMDAuMDEvMDEvMjAyNC4uLlVTRC5IAQAAAK7vBAACAAAADDY4MTI1LDM0NTM5OAEIAAAABQAAAAExAQAAAAstMTk1NDE4MjIxNwMAAAADMTYwAgAAAAQx</t>
  </si>
  <si>
    <t>MDA3BAAAAAEwBwAAAAgxLzEvMjAyNAgAAAAKMTIvMzEvMjAyMwkAAAABMBXw8azrR94IaeoetutH3ggtQ0lRLlJFUC5JUV9DQVNIX0VRVUlWLjIwMDAuMDEvMDEvMjAyNC4uLlVTRC5IAQAAAK7vBAACAAAACzQ1NjMsOTQzODQ3AQgAAAAFAAAAATEBAAAACy0xOTU0MTgyMjE3AwAAAAMxNjACAAAABDEwOTYEAAAAATAHAAAACDEvMS8yMDI0CAAAAAoxMi8zMS8yMDIzCQAAAAEwFfDxrOtH3ghYwx6260feCCtDSVEuUkVQLklRX05FVF9ERUJULjIwMDAuMDEvMDEvMjAyNC4uLlVTRC5IAQAAAK7vBAACAAAACjIwNDgsMTkyNzcBCAAAAAUAAAABMQEAAAALLTE5NTQxODIyMTcDAAAAAzE2MAIAAAAENDM2NAQAAAABMAcAAAAIMS8xLzIwMjQIAAAACjEyLzMxLzIwMjMJAAAAATAV8PGs60feCFjDHrbrR94IKkNJUS5XSUlULklRX0VCSVREQS4yMDAwLjAxLzAxLzIwMjQuLi5VU0QuSAEAAABf1OMKAgAAAAk0NSwwMjc1NzcBCAAAAAUAAAABMQEAAAALLTE5NTMzNDUzOTIDAAAAAzE2MAIAAAAENDA1MQQAAAABMAcAAAAIMS8xLzIwMjQIAAAACjEyLzMxLzIwMjMJAAAAATAV8PGs60feCGnqHrbrR94IMUNJUS5XSUlULklRX0VCSVREQV9NQVJHSU4uMjAwMC4wMS8wMS8yMDI0Li4uVVNELkgBAAAAX9TjCgIAAAAFMzEsMzEBCAAAAAUAAAABMQEAAAALLTE5NTMzNDUzOTIDAAAAAjUwAgAAAAQ0MDQ3BAAAAAEwBwAA</t>
  </si>
  <si>
    <t>AAgxLzEvMjAyNAgAAAAKMTIvMzEvMjAyMwkAAAABMBXw8azrR94IaeoetutH3ggwQ0lRLldJSVQuSVFfVE9UQUxfQVNTRVRTLjIwMDAuMDEvMDEvMjAyNC4uLlVTRC5IAQAAAF/U4woCAAAACTM0MSw2NTI3NQEIAAAABQAAAAExAQAAAAstMTk1MzM0NTM5MgMAAAADMTYwAgAAAAQxMDA3BAAAAAEwBwAAAAgxLzEvMjAyNAgAAAAKMTIvMzEvMjAyMwkAAAABMBXw8azrR94IeREftutH3gguQ0lRLldJSVQuSVFfQ0FTSF9FUVVJVi4yMDAwLjAxLzAxLzIwMjQuLi5VU0QuSAEAAABf1OMKAgAAAAkxNSwxMzIzMjIBCAAAAAUAAAABMQEAAAALLTE5NTMzNDUzOTIDAAAAAzE2MAIAAAAEMTA5NgQAAAABMAcAAAAIMS8xLzIwMjQIAAAACjEyLzMxLzIwMjMJAAAAATAV8PGs60feCHkRH7brR94ILENJUS5XSUlULklRX05FVF9ERUJULjIwMDAuMDEvMDEvMjAyNC4uLlVTRC5IAQAAAF/U4woCAAAACjIzNiwzNjY2MjQBCAAAAAUAAAABMQEAAAALLTE5NTMzNDUzOTIDAAAAAzE2MAIAAAAENDM2NAQAAAABMAcAAAAIMS8xLzIwMjQIAAAACjEyLzMxLzIwMjMJAAAAATAV8PGs60feCHkRH7brR94IKENJUS5JUC5JUV9FQklUREEuMjAwMC4wMS8wMS8yMDI0Li4uVVNELkgBAAAAbO4AAAIAAAAEMjE4MAEIAAAABQAAAAExAQAAAAstMTk1ODc1NzU0MgMAAAADMTYwAgAAAAQ0MDUxBAAAAAEwBwAAAAgxLzEvMjAyNAgAAAAK</t>
  </si>
  <si>
    <t>MTIvMzEvMjAyMwkAAAABMA5gi63rR94IijgftutH3ggvQ0lRLklQLklRX0VCSVREQV9NQVJHSU4uMjAwMC4wMS8wMS8yMDI0Li4uVVNELkgBAAAAbO4AAAIAAAAHMTEsNTI0NgEIAAAABQAAAAExAQAAAAstMTk1ODc1NzU0MgMAAAADMTYwAgAAAAQ0MDQ3BAAAAAEwBwAAAAgxLzEvMjAyNAgAAAAKMTIvMzEvMjAyMwkAAAABMA5gi63rR94IqoYftutH3gguQ0lRLklQLklRX1RPVEFMX0FTU0VUUy4yMDAwLjAxLzAxLzIwMjQuLi5VU0QuSAEAAABs7gAAAgAAAAUyMzI2MQEIAAAABQAAAAExAQAAAAstMTk1ODc1NzU0MgMAAAADMTYwAgAAAAQxMDA3BAAAAAEwBwAAAAgxLzEvMjAyNAgAAAAKMTIvMzEvMjAyMwkAAAABMA5gi63rR94IqoYftutH3ggsQ0lRLklQLklRX0NBU0hfRVFVSVYuMjAwMC4wMS8wMS8yMDI0Li4uVVNELkgBAAAAbO4AAAIAAAAEMTExMwEIAAAABQAAAAExAQAAAAstMTk1ODc1NzU0MgMAAAADMTYwAgAAAAQxMDk2BAAAAAEwBwAAAAgxLzEvMjAyNAgAAAAKMTIvMzEvMjAyMwkAAAABMA5gi63rR94ImV8ftutH3ggqQ0lRLklQLklRX05FVF9ERUJULjIwMDAuMDEvMDEvMjAyNC4uLlVTRC5IAQAAAGzuAAACAAAABDQ5NDUBCAAAAAUAAAABMQEAAAALLTE5NTg3NTc1NDIDAAAAAzE2MAIAAAAENDM2NAQAAAABMAcAAAAIMS8xLzIwMjQIAAAACjEyLzMxLzIwMjMJAAAAATAOYIut60feCJlf</t>
  </si>
  <si>
    <t>H7brR94IKkNJUS5UT1JHLklRX0VCSVREQS4yMDAwLjAxLzAxLzIwMjQuLi5VU0QuSAEAAAAv+XYCAwAAAAAAFfDxrOtH3gi4rR+260feCDFDSVEuVE9SRy5JUV9FQklUREFfTUFSR0lOLjIwMDAuMDEvMDEvMjAyNC4uLlVTRC5IAQAAAC/5dgIDAAAAAAAV8PGs60feCLitH7brR94IMENJUS5UT1JHLklRX1RPVEFMX0FTU0VUUy4yMDAwLjAxLzAxLzIwMjQuLi5VU0QuSAEAAAAv+XYCAwAAAAAAFfDxrOtH3gi4rR+260feCC5DSVEuVE9SRy5JUV9DQVNIX0VRVUlWLjIwMDAuMDEvMDEvMjAyNC4uLlVTRC5IAQAAAC/5dgIDAAAAAAAV8PGs60feCLitH7brR94ILENJUS5UT1JHLklRX05FVF9ERUJULjIwMDAuMDEvMDEvMjAyNC4uLlVTRC5IAQAAAC/5dgIDAAAAAAAV8PGs60feCLitH7brR94IKUNJUS5TU0UuSVFfRUJJVERBLjIwMDAuMDEvMDEvMjAyNC4uLlVTRC5IAQAAAKNiDQACAAAACzMzNzEsMTg1MTAzAQgAAAAFAAAAATEBAAAACy0xOTM4MzI3NjA4AwAAAAMxNjACAAAABDQwNTEEAAAAATAHAAAACDEvMS8yMDI0CAAAAAoxMi8zMS8yMDIzCQAAAAEwFfDxrOtH3gjK1B+260feCDBDSVEuU1NFLklRX0VCSVREQV9NQVJHSU4uMjAwMC4wMS8wMS8yMDI0Li4uVVNELkgBAAAAo2INAAIAAAAHMjMsOTQxOAEIAAAABQAAAAExAQAAAAstMTkzODMyNzYwOAMAAAACNTUCAAAABDQwNDcEAAAAATAHAAAACDEv</t>
  </si>
  <si>
    <t>MS8yMDI0CAAAAAoxMi8zMS8yMDIzCQAAAAEwFfDxrOtH3gjK1B+260feCC9DSVEuU1NFLklRX1RPVEFMX0FTU0VUUy4yMDAwLjAxLzAxLzIwMjQuLi5VU0QuSAEAAACjYg0AAgAAAAwzNjAwOSwzMjM4OTUBCAAAAAUAAAABMQEAAAALLTE5MzgzMjc2MDgDAAAAAzE2MAIAAAAEMTAwNwQAAAABMAcAAAAIMS8xLzIwMjQIAAAACjEyLzMxLzIwMjMJAAAAATClJfKs60feCMrUH7brR94ILUNJUS5TU0UuSVFfQ0FTSF9FUVVJVi4yMDAwLjAxLzAxLzIwMjQuLi5VU0QuSAEAAACjYg0AAgAAAAsxMzE5LDQ4MzM2NQEIAAAABQAAAAExAQAAAAstMTkzODMyNzYwOAMAAAADMTYwAgAAAAQxMDk2BAAAAAEwBwAAAAgxLzEvMjAyNAgAAAAKMTIvMzEvMjAyMwkAAAABMKUl8qzrR94IytQftutH3ggrQ0lRLlNTRS5JUV9ORVRfREVCVC4yMDAwLjAxLzAxLzIwMjQuLi5VU0QuSAEAAACjYg0AAgAAAAwxMDQzNiw2NDM0MDEBCAAAAAUAAAABMQEAAAALLTE5MzgzMjc2MDgDAAAAAzE2MAIAAAAENDM2NAQAAAABMAcAAAAIMS8xLzIwMjQIAAAACjEyLzMxLzIwMjMJAAAAATClJfKs60feCMrUH7brR94IKkNJUS5NWUNSLklRX0VCSVREQS4yMDAwLjAxLzAxLzIwMjQuLi5VU0QuSAEAAAB5YgYAAgAAAAoxMzgsMDE3NzE2AQgAAAAFAAAAATEBAAAACy0xOTUyNzEwODMxAwAAAAMxNjACAAAABDQwNTEEAAAAATAHAAAACDEvMS8y</t>
  </si>
  <si>
    <t>MDI0CAAAAAoxMi8zMS8yMDIzCQAAAAEwpSXyrOtH3gjY+x+260feCDFDSVEuTVlDUi5JUV9FQklUREFfTUFSR0lOLjIwMDAuMDEvMDEvMjAyNC4uLlVTRC5IAQAAAHliBgACAAAABzI0LDMyNTIBCAAAAAUAAAABMQEAAAALLTE5NTI3MTA4MzEDAAAAAzEzNwIAAAAENDA0NwQAAAABMAcAAAAIMS8xLzIwMjQIAAAACjEyLzMxLzIwMjMJAAAAATClJfKs60feCOkiILbrR94IMENJUS5NWUNSLklRX1RPVEFMX0FTU0VUUy4yMDAwLjAxLzAxLzIwMjQuLi5VU0QuSAEAAAB5YgYAAgAAAAo4MjksMjk5NTM0AQgAAAAFAAAAATEBAAAACy0xOTUyNzEwODMxAwAAAAMxNjACAAAABDEwMDcEAAAAATAHAAAACDEvMS8yMDI0CAAAAAoxMi8zMS8yMDIzCQAAAAEwpSXyrOtH3gjpIiC260feCC5DSVEuTVlDUi5JUV9DQVNIX0VRVUlWLjIwMDAuMDEvMDEvMjAyNC4uLlVTRC5IAQAAAHliBgACAAAACjIxMiw3OTM4ODUBCAAAAAUAAAABMQEAAAALLTE5NTI3MTA4MzEDAAAAAzE2MAIAAAAEMTA5NgQAAAABMAcAAAAIMS8xLzIwMjQIAAAACjEyLzMxLzIwMjMJAAAAATClJfKs60feCNj7H7brR94ILENJUS5NWUNSLklRX05FVF9ERUJULjIwMDAuMDEvMDEvMjAyNC4uLlVTRC5IAQAAAHliBgACAAAACy0xOTAsMTIyMzg3AQgAAAAFAAAAATEBAAAACy0xOTUyNzEwODMxAwAAAAMxNjACAAAABDQzNjQEAAAAATAHAAAACDEvMS8y</t>
  </si>
  <si>
    <t>MDI0CAAAAAoxMi8zMS8yMDIzCQAAAAEwpSXyrOtH3gjY+x+260feCCpDSVEuUk9BRC5JUV9FQklUREEuMjAwMC4wMS8wMS8yMDI0Li4uVVNELkgBAAAAMn1UAAIAAAAHMTc1LDUzNgEIAAAABQAAAAExAQAAAAstMTk2MDU2MzU4MwMAAAADMTYwAgAAAAQ0MDUxBAAAAAEwBwAAAAgxLzEvMjAyNAgAAAAKMTIvMzEvMjAyMwkAAAABMKUl8qzrR94I+UkgtutH3ggxQ0lRLlJPQUQuSVFfRUJJVERBX01BUkdJTi4yMDAwLjAxLzAxLzIwMjQuLi5VU0QuSAEAAAAyfVQAAgAAAAcxMCw4NDcxAQgAAAAFAAAAATEBAAAACy0xOTYwNTYzNTgzAwAAAAMxNjACAAAABDQwNDcEAAAAATAHAAAACDEvMS8yMDI0CAAAAAoxMi8zMS8yMDIzCQAAAAEwpSXyrOtH3gj5SSC260feCDBDSVEuUk9BRC5JUV9UT1RBTF9BU1NFVFMuMjAwMC4wMS8wMS8yMDI0Li4uVVNELkgBAAAAMn1UAAIAAAAHMTI3NiwxNQEIAAAABQAAAAExAQAAAAstMTk2MDU2MzU4MwMAAAADMTYwAgAAAAQxMDA3BAAAAAEwBwAAAAgxLzEvMjAyNAgAAAAKMTIvMzEvMjAyMwkAAAABMKUl8qzrR94I+UkgtutH3gguQ0lRLlJPQUQuSVFfQ0FTSF9FUVVJVi4yMDAwLjAxLzAxLzIwMjQuLi5VU0QuSAEAAAAyfVQAAgAAAAY2OCw3MzgBCAAAAAUAAAABMQEAAAALLTE5NjA1NjM1ODMDAAAAAzE2MAIAAAAEMTA5NgQAAAABMAcAAAAIMS8xLzIwMjQIAAAACjEyLzMx</t>
  </si>
  <si>
    <t>LzIwMjMJAAAAATClJfKs60feCPlJILbrR94ILENJUS5ST0FELklRX05FVF9ERUJULjIwMDAuMDEvMDEvMjAyNC4uLlVTRC5IAQAAADJ9VAACAAAABzM5MiwyOTgBCAAAAAUAAAABMQEAAAALLTE5NjA1NjM1ODMDAAAAAzE2MAIAAAAENDM2NAQAAAABMAcAAAAIMS8xLzIwMjQIAAAACjEyLzMxLzIwMjMJAAAAATClJfKs60feCPlJILbrR94ILENJUS5CQUhOIEIuSVFfRUJJVERBLjIwMDAuMDEvMDEvMjAyNC4uLlVTRC5IAQAAALTwEgACAAAACTMxLDU2MDcxNAEIAAAABQAAAAExAQAAAAstMTk0Njc1MzQ1MQMAAAADMTYwAgAAAAQ0MDUxBAAAAAEwBwAAAAgxLzEvMjAyNAgAAAAKMTIvMzEvMjAyMwkAAAABMKUl8qzrR94ICXEgtutH3ggzQ0lRLkJBSE4gQi5JUV9FQklUREFfTUFSR0lOLjIwMDAuMDEvMDEvMjAyNC4uLlVTRC5IAQAAALTwEgACAAAABzE2LDk3MTYBCAAAAAUAAAABMQEAAAALLTE5NDY3NTM0NTEDAAAAAzEzNwIAAAAENDA0NwQAAAABMAcAAAAIMS8xLzIwMjQIAAAACjEyLzMxLzIwMjMJAAAAATClJfKs60feCAlxILbrR94IMkNJUS5CQUhOIEIuSVFfVE9UQUxfQVNTRVRTLjIwMDAuMDEvMDEvMjAyNC4uLlVTRC5IAQAAALTwEgACAAAACjEzNiw4NTQ1MDkBCAAAAAUAAAABMQEAAAALLTE5NDY3NTM0NTEDAAAAAzE2MAIAAAAEMTAwNwQAAAABMAcAAAAIMS8xLzIwMjQIAAAACjEyLzMxLzIw</t>
  </si>
  <si>
    <t>MjMJAAAAATClJfKs60feCAlxILbrR94IMENJUS5CQUhOIEIuSVFfQ0FTSF9FUVVJVi4yMDAwLjAxLzAxLzIwMjQuLi5VU0QuSAEAAAC08BIAAgAAAAk3NSwzNDEyNjYBCAAAAAUAAAABMQEAAAALLTE5NDY3NTM0NTEDAAAAAzE2MAIAAAAEMTA5NgQAAAABMAcAAAAIMS8xLzIwMjQIAAAACjEyLzMxLzIwMjMJAAAAATClJfKs60feCAlxILbrR94ILkNJUS5CQUhOIEIuSVFfTkVUX0RFQlQuMjAwMC4wMS8wMS8yMDI0Li4uVVNELkgBAAAAtPASAAIAAAAKLTY0LDcxODM3NwEIAAAABQAAAAExAQAAAAstMTk0Njc1MzQ1MQMAAAADMTYwAgAAAAQ0MzY0BAAAAAEwBwAAAAgxLzEvMjAyNAgAAAAKMTIvMzEvMjAyMwkAAAABMKUl8qzrR94IG5ggtutH3ggqQ0lRLk1BTkcuSVFfRUJJVERBLjIwMDAuMDEvMDEvMjAyNC4uLlVTRC5IAQAAADlXkwEDAAAAAk5BAKUl8qzrR94IG5ggtutH3ggoQ0lRLk9CRUwuSVFfTEFTVFNBTEVQUklDRS4wMS8wNS8yMDI0LlVTRAEAAAClEAIAAgAAAAwxNSwwNTkyNzU4NzUA1hf4rOtH3ggWqQa260feCChDSVEuT0JFTC5JUV9MQVNUU0FMRVBSSUNFLjMwLzA0LzIwMjQuVVNEAQAAAKUQAgACAAAADTE1LDA3Njk4ODg3MzEA1hf4rOtH3ggWqQa260feCChDSVEuT0JFTC5JUV9MQVNUU0FMRVBSSUNFLjI5LzA0LzIwMjQuVVNEAQAAAKUQAgACAAAADjE1LDEyOTExMTc1MjU2ANYX+Kzr</t>
  </si>
  <si>
    <t>R94IFqkGtutH3ggoQ0lRLk9CRUwuSVFfTEFTVFNBTEVQUklDRS4yOC8wNC8yMDI0LlVTRAEAAAClEAIAAgAAAA4xNSw0MzcxNzMwNTAzNgDWF/is60feCBapBrbrR94IKENJUS5PQkVMLklRX0xBU1RTQUxFUFJJQ0UuMDMvMDUvMjAyNC5VU0QBAAAApRACAAIAAAANMTUsMTg5MDU1MjY0MgDWF/is60feCAaCBrbrR94IKENJUS5PQkVMLklRX0xBU1RTQUxFUFJJQ0UuMDQvMDUvMjAyNC5VU0QBAAAApRACAAIAAAANMTUsMTg5MDU1MjY0MgDWF/is60feCBapBrbrR94IKENJUS5PQkVMLklRX0xBU1RTQUxFUFJJQ0UuMDUvMDUvMjAyNC5VU0QBAAAApRACAAIAAAANMTUsMTg5MDU1MjY0MgDWF/is60feCBapBrbrR94IKENJUS5PQkVMLklRX0xBU1RTQUxFUFJJQ0UuMDYvMDUvMjAyNC5VU0QBAAAApRACAAIAAAAMMTUsMzY0NzIzNjI2ANYX+KzrR94IJ9AGtutH3ggoQ0lRLk9CRUwuSVFfTEFTVFNBTEVQUklDRS4yNS8wNC8yMDI0LlVTRAEAAAClEAIAAgAAAA0xNSwyMTE1NjkzNjE4ANYX+KzrR94IJ9AGtutH3ggoQ0lRLk9CRUwuSVFfTEFTVFNBTEVQUklDRS4wOS8wNS8yMDI0LlVTRAEAAAClEAIAAgAAAAwxNSwzNDMxNzQyMjQA1hf4rOtH3ggn0Aa260feCChDSVEuU1NUWS5JUV9MQVNUU0FMRVBSSUNFLjMwLzA0LzIwMjQuVVNEAQAAAJxWCgACAAAABTFFLTA2ANYX+KzrR94IJ9AGtutH3ggoQ0lRLlNT</t>
  </si>
  <si>
    <t>VFkuSVFfTEFTVFNBTEVQUklDRS4yOS8wNC8yMDI0LlVTRAEAAACcVgoAAgAAAAUxRS0wNgDWF/is60feCDj3BrbrR94IKENJUS5TU1RZLklRX0xBU1RTQUxFUFJJQ0UuMjgvMDQvMjAyNC5VU0QBAAAAnFYKAAIAAAAFMUUtMDYA1hf4rOtH3gg49wa260feCChDSVEuU1NUWS5JUV9MQVNUU0FMRVBSSUNFLjI3LzA0LzIwMjQuVVNEAQAAAJxWCgACAAAABTFFLTA2ANYX+KzrR94IOPcGtutH3ggoQ0lRLlNTVFkuSVFfTEFTVFNBTEVQUklDRS4wMi8wNS8yMDI0LlVTRAEAAACcVgoAAgAAAAUxRS0wNgDWF/is60feCDj3BrbrR94IKENJUS5TU1RZLklRX0xBU1RTQUxFUFJJQ0UuMDMvMDUvMjAyNC5VU0QBAAAAnFYKAAIAAAAFMUUtMDYA1hf4rOtH3gg49wa260feCChDSVEuU1NUWS5JUV9MQVNUU0FMRVBSSUNFLjA0LzA1LzIwMjQuVVNEAQAAAJxWCgACAAAABTFFLTA2ANYX+KzrR94IOPcGtutH3ggoQ0lRLlNTVFkuSVFfTEFTVFNBTEVQUklDRS4wNS8wNS8yMDI0LlVTRAEAAACcVgoAAgAAAAUxRS0wNgDWF/is60feCDj3BrbrR94IKENJUS5TU1RZLklRX0xBU1RTQUxFUFJJQ0UuMjQvMDQvMjAyNC5VU0QBAAAAnFYKAAIAAAAFMUUtMDYA1hf4rOtH3gg49wa260feCChDSVEuU1NUWS5JUV9MQVNUU0FMRVBSSUNFLjA4LzA1LzIwMjQuVVNEAQAAAJxWCgACAAAABTFFLTA2ANYX+KzrR94IOPcGtutH3ggoQ0lR</t>
  </si>
  <si>
    <t>LkhMTUEuSVFfTEFTVFNBTEVQUklDRS4zMC8wNC8yMDI0LlVTRAEAAAA0WQ0AAgAAAA4yNyw2NDE3NDY5MzQ0MwDWF/is60feCEgeB7brR94IKENJUS5ITE1BLklRX0xBU1RTQUxFUFJJQ0UuMjkvMDQvMjAyNC5VU0QBAAAANFkNAAIAAAAOMjgsMTAwOTU3NjA4MjYA1hf4rOtH3gg49wa260feCChDSVEuSExNQS5JUV9MQVNUU0FMRVBSSUNFLjI4LzA0LzIwMjQuVVNEAQAAADRZDQACAAAADjI3LDYzOTM4MDE5MTQzANYX+KzrR94ISB4HtutH3ggoQ0lRLkhMTUEuSVFfTEFTVFNBTEVQUklDRS4yNy8wNC8yMDI0LlVTRAEAAAA0WQ0AAgAAAA4yNyw2MzkzODAxOTE0MwDWF/is60feCFpFB7brR94IKENJUS5ITE1BLklRX0xBU1RTQUxFUFJJQ0UuMDIvMDUvMjAyNC5VU0QBAAAANFkNAAIAAAAOMjcsNzAyNDU3ODU0NjMA1hf4rOtH3ghaRQe260feCChDSVEuSExNQS5JUV9MQVNUU0FMRVBSSUNFLjAzLzA1LzIwMjQuVVNEAQAAADRZDQACAAAADjI4LDEyNjA1ODk1NDk0ANYX+KzrR94IWkUHtutH3ggoQ0lRLkhMTUEuSVFfTEFTVFNBTEVQUklDRS4wNC8wNS8yMDI0LlVTRAEAAAA0WQ0AAgAAAA4yOCwxMjYwNTg5NTQ5NADWF/is60feCEgeB7brR94IKENJUS5ITE1BLklRX0xBU1RTQUxFUFJJQ0UuMDUvMDUvMjAyNC5VU0QBAAAANFkNAAIAAAAOMjgsMTI2MDU4OTU0OTQA1hf4rOtH3ghIHge260feCChDSVEu</t>
  </si>
  <si>
    <t>SExNQS5JUV9MQVNUU0FMRVBSSUNFLjI0LzA0LzIwMjQuVVNEAQAAADRZDQACAAAADjI3LDU0ODE0MDg2NjE2ANYX+KzrR94ISB4HtutH3ggoQ0lRLkhMTUEuSVFfTEFTVFNBTEVQUklDRS4wOC8wNS8yMDI0LlVTRAEAAAA0WQ0AAgAAAA0yOSwwODM2NDA0NDU2ANYX+KzrR94IaWwHtutH3ggnQ0lRLk5BUi5JUV9MQVNUU0FMRVBSSUNFLjI5LzA0LzIwMjQuVVNEAQAAALtjDQACAAAADDAsNDM5MjczNTY2OQDWF/is60feCGlsB7brR94IJ0NJUS5OQVIuSVFfTEFTVFNBTEVQUklDRS4yOC8wNC8yMDI0LlVTRAEAAAC7Yw0AAgAAAA0wLDQzNTk1MjM2ODk1ANYX+KzrR94IaWwHtutH3ggnQ0lRLk5BUi5JUV9MQVNUU0FMRVBSSUNFLjI3LzA0LzIwMjQuVVNEAQAAALtjDQACAAAADTAsNDM1OTUyMzY4OTUA1hf4rOtH3ghpbAe260feCCdDSVEuTkFSLklRX0xBU1RTQUxFUFJJQ0UuMjYvMDQvMjAyNC5VU0QBAAAAu2MNAAIAAAANMCw0MzU5NTIzNjg5NQDWF/is60feCGlsB7brR94IJ0NJUS5OQVIuSVFfTEFTVFNBTEVQUklDRS4wMS8wNS8yMDI0LlVTRAEAAAC7Yw0AAgAAAA4wLDQ4MDgxMTI1OTc3NQDWF/is60feCFpFB7brR94IJ0NJUS5OQVIuSVFfTEFTVFNBTEVQUklDRS4wMi8wNS8yMDI0LlVTRAEAAAC7Yw0AAgAAAA4wLDQ4MTA3NTYxMDAxNQDWF/is60feCGlsB7brR94IJ0NJUS5OQVIuSVFfTEFTVFNB</t>
  </si>
  <si>
    <t>TEVQUklDRS4wMy8wNS8yMDI0LlVTRAEAAAC7Yw0AAgAAAA0wLDQ4MzIwMDkyMzU5ANYX+KzrR94IaWwHtutH3ggnQ0lRLk5BUi5JUV9MQVNUU0FMRVBSSUNFLjA0LzA1LzIwMjQuVVNEAQAAALtjDQACAAAADTAsNDgzMjAwOTIzNTkA1hf4rOtH3gh5kwe260feCCdDSVEuTkFSLklRX0xBU1RTQUxFUFJJQ0UuMjMvMDQvMjAyNC5VU0QBAAAAu2MNAAIAAAANMCw0MzU0MDQ2MTU0NQDWF/is60feCHmTB7brR94IJ0NJUS5OQVIuSVFfTEFTVFNBTEVQUklDRS4wNy8wNS8yMDI0LlVTRAEAAAC7Yw0AAgAAAA0wLDQ4Mjg4NTc3NTY4ANYX+KzrR94IeZMHtutH3ggnQ0lRLktCTC5JUV9MQVNUU0FMRVBSSUNFLjI5LzA0LzIwMjQuVVNEAQAAAFqpNgECAAAADjI1LDY1NDU0OTk5MDY0ANYX+KzrR94IeZMHtutH3ggnQ0lRLktCTC5JUV9MQVNUU0FMRVBSSUNFLjI4LzA0LzIwMjQuVVNEAQAAAFqpNgECAAAADTI1LDg1OTYxMjk4NjgA1hf4rOtH3gh5kwe260feCCdDSVEuS0JMLklRX0xBU1RTQUxFUFJJQ0UuMjcvMDQvMjAyNC5VU0QBAAAAWqk2AQIAAAANMjUsODU5NjEyOTg2OADWF/is60feCHmTB7brR94IJ0NJUS5LQkwuSVFfTEFTVFNBTEVQUklDRS4yNi8wNC8yMDI0LlVTRAEAAABaqTYBAgAAAA0yNSw4NTk2MTI5ODY4ANYX+KzrR94IiLoHtutH3ggnQ0lRLktCTC5JUV9MQVNUU0FMRVBSSUNFLjAxLzA1LzIw</t>
  </si>
  <si>
    <t>MjQuVVNEAQAAAFqpNgECAAAADTI1LDQ3OTQ2NjAwOTMA1hf4rOtH3giIuge260feCCdDSVEuS0JMLklRX0xBU1RTQUxFUFJJQ0UuMDIvMDUvMjAyNC5VU0QBAAAAWqk2AQIAAAANMjUsNDY3NzYwMjk0OADWF/is60feCHmTB7brR94IJ0NJUS5LQkwuSVFfTEFTVFNBTEVQUklDRS4wMy8wNS8yMDI0LlVTRAEAAABaqTYBAgAAAA4yNSw0MDI4NTc0NzI1MgDWF/is60feCHmTB7brR94IJ0NJUS5LQkwuSVFfTEFTVFNBTEVQUklDRS4wNC8wNS8yMDI0LlVTRAEAAABaqTYBAgAAAA4yNSw0MDI4NTc0NzI1MgDWF/is60feCIi6B7brR94IJ0NJUS5LQkwuSVFfTEFTVFNBTEVQUklDRS4yMy8wNC8yMDI0LlVTRAEAAABaqTYBAgAAAA4yNSw0MTg1ODM3MTYyNQDWF/is60feCHmTB7brR94IJ0NJUS5LQkwuSVFfTEFTVFNBTEVQUklDRS4wNy8wNS8yMDI0LlVTRAEAAABaqTYBAgAAAAwyNSw3MzI5MzIzMDYA1hf4rOtH3gh5kwe260feCCdDSVEuU0JDLklRX0xBU1RTQUxFUFJJQ0UuMjkvMDQvMjAyNC5VU0QBAAAAVJe/bAIAAAAFMTMsOTgA1hf4rOtH3giY4Qe260feCCdDSVEuU0JDLklRX0xBU1RTQUxFUFJJQ0UuMjgvMDQvMjAyNC5VU0QBAAAAVJe/bAIAAAAFMTQsOTkA1hf4rOtH3giY4Qe260feCCdDSVEuU0JDLklRX0xBU1RTQUxFUFJJQ0UuMjcvMDQvMjAyNC5VU0QBAAAAVJe/bAIAAAAFMTQsOTkA1hf4rOtH</t>
  </si>
  <si>
    <t>3giIuge260feCCdDSVEuU0JDLklRX0xBU1RTQUxFUFJJQ0UuMjYvMDQvMjAyNC5VU0QBAAAAVJe/bAIAAAAFMTQsOTkA1hf4rOtH3giY4Qe260feCCdDSVEuU0JDLklRX0xBU1RTQUxFUFJJQ0UuMDEvMDUvMjAyNC5VU0QBAAAAVJe/bAIAAAAEMTMsNgDWF/is60feCJjhB7brR94IJ0NJUS5TQkMuSVFfTEFTVFNBTEVQUklDRS4wMi8wNS8yMDI0LlVTRAEAAABUl79sAgAAAAUxMyw3MgDWF/is60feCJjhB7brR94IJ0NJUS5TQkMuSVFfTEFTVFNBTEVQUklDRS4wMy8wNS8yMDI0LlVTRAEAAABUl79sAgAAAAQxNCwzANYX+KzrR94IiLoHtutH3ggnQ0lRLlNCQy5JUV9MQVNUU0FMRVBSSUNFLjA0LzA1LzIwMjQuVVNEAQAAAFSXv2wCAAAABDE0LDMA1hf4rOtH3giY4Qe260feCCdDSVEuU0JDLklRX0xBU1RTQUxFUFJJQ0UuMjMvMDQvMjAyNC5VU0QBAAAAVJe/bAIAAAAFMTQsMzcA1hf4rOtH3giIuge260feCCdDSVEuU0JDLklRX0xBU1RTQUxFUFJJQ0UuMDcvMDUvMjAyNC5VU0QBAAAAVJe/bAIAAAAFMTMsMDIA1hf4rOtH3gioCAi260feCChDSVEuVUxUSC5JUV9MQVNUU0FMRVBSSUNFLjI4LzA0LzIwMjQuVVNEAQAAAI/nwx8CAAAADTAsMjYyOTc5MTE1MTIA1hf4rOtH3gioCAi260feCChDSVEuVUxUSC5JUV9MQVNUU0FMRVBSSUNFLjI3LzA0LzIwMjQuVVNEAQAAAI/nwx8CAAAADTAsMjYyOTc5MTE1</t>
  </si>
  <si>
    <t>MTIA1hf4rOtH3gioCAi260feCChDSVEuVUxUSC5JUV9MQVNUU0FMRVBSSUNFLjI2LzA0LzIwMjQuVVNEAQAAAI/nwx8CAAAADTAsMjYyOTc5MTE1MTIA1hf4rOtH3gioCAi260feCChDSVEuVUxUSC5JUV9MQVNUU0FMRVBSSUNFLjI1LzA0LzIwMjQuVVNEAQAAAI/nwx8CAAAADjAsMjU5MTM5MjE5NzE1ANYX+KzrR94IqAgItutH3ggoQ0lRLlVMVEguSVFfTEFTVFNBTEVQUklDRS4zMC8wNC8yMDI0LlVTRAEAAACP58MfAgAAAA0wLDI4Mzc2MDE4NjE5ANYX+KzrR94IqAgItutH3ggoQ0lRLlVMVEguSVFfTEFTVFNBTEVQUklDRS4wMS8wNS8yMDI0LlVTRAEAAACP58MfAgAAAAwwLDI2MTYyNjAwNTgA1hf4rOtH3giY4Qe260feCChDSVEuVUxUSC5JUV9MQVNUU0FMRVBSSUNFLjAyLzA1LzIwMjQuVVNEAQAAAI/nwx8CAAAADTAsMjY2MzUzMzY2OTgA1hf4rOtH3gioCAi260feCChDSVEuVUxUSC5JUV9MQVNUU0FMRVBSSUNFLjAzLzA1LzIwMjQuVVNEAQAAAI/nwx8CAAAADjAsMjQ0ODIwNDA0Mjk1ANYX+KzrR94IuC8ItutH3ggoQ0lRLlVMVEguSVFfTEFTVFNBTEVQUklDRS4yMi8wNC8yMDI0LlVTRAEAAACP58MfAgAAAAwwLDI2MjI1Njg2NjIA1hf4rOtH3gi4Lwi260feCChDSVEuVUxUSC5JUV9MQVNUU0FMRVBSSUNFLjA2LzA1LzIwMjQuVVNEAQAAAI/nwx8CAAAADjAsMjQ1MjUwNTU4MzY1ANYX+Kzr</t>
  </si>
  <si>
    <t>R94IuC8ItutH3ggnQ0lRLlJIUi5JUV9MQVNUU0FMRVBSSUNFLjI4LzA0LzIwMjQuVVNEAQAAAOi9QicCAAAAETAsMDI2MTU1ODk2NTU4ODAzANYX+KzrR94IuC8ItutH3ggnQ0lRLlJIUi5JUV9MQVNUU0FMRVBSSUNFLjI3LzA0LzIwMjQuVVNEAQAAAOi9QicCAAAAETAsMDI2MTU1ODk2NTU4ODAzANYX+KzrR94IyFYItutH3ggnQ0lRLlJIUi5JUV9MQVNUU0FMRVBSSUNFLjI2LzA0LzIwMjQuVVNEAQAAAOi9QicCAAAAETAsMDI2MTU1ODk2NTU4ODAzANYX+KzrR94IuC8ItutH3ggnQ0lRLlJIUi5JUV9MQVNUU0FMRVBSSUNFLjI1LzA0LzIwMjQuVVNEAQAAAOi9QicCAAAAETAsMDI2MjM3MjcxMTkwNjM2ANYX+KzrR94IyFYItutH3ggnQ0lRLlJIUi5JUV9MQVNUU0FMRVBSSUNFLjMwLzA0LzIwMjQuVVNEAQAAAOi9QicCAAAAETAsMDI2MzAwMzY0NDcxMDUxANYX+KzrR94IyFYItutH3ggnQ0lRLlJIUi5JUV9MQVNUU0FMRVBSSUNFLjAxLzA1LzIwMjQuVVNEAQAAAOi9QicCAAAAETAsMDI2MjI0ODE5ODU0NTg1ANYX+KzrR94IyFYItutH3ggnQ0lRLlJIUi5JUV9MQVNUU0FMRVBSSUNFLjAyLzA1LzIwMjQuVVNEAQAAAOi9QicCAAAAETAsMDI2MjM5MjM4MjcxOTYxANYX+KzrR94IyFYItutH3ggnQ0lRLlJIUi5JUV9MQVNUU0FMRVBSSUNFLjAzLzA1LzIwMjQuVVNEAQAAAOi9QicCAAAAETAsMDI2MzU1</t>
  </si>
  <si>
    <t>MTU4OTQ2NjY2ANYX+KzrR94IyFYItutH3ggnQ0lRLlJIUi5JUV9MQVNUU0FMRVBSSUNFLjIyLzA0LzIwMjQuVVNEAQAAAOi9QicCAAAAETAsMDI1OTAxOTg3MTUwMzAzANYX+KzrR94IuC8ItutH3ggnQ0lRLlJIUi5JUV9MQVNUU0FMRVBSSUNFLjA2LzA1LzIwMjQuVVNEAQAAAOi9QicCAAAAETAsMDI2Mzk4NTYxODQyNzYzANYX+KzrR94IuC8ItutH3ggoQ0lRLkhPTFguSVFfTEFTVFNBTEVQUklDRS4yOC8wNC8yMDI0LlVTRAEAAAAAqAEAAgAAAAU3NSw5OADWF/is60feCNh9CLbrR94IKENJUS5IT0xYLklRX0xBU1RTQUxFUFJJQ0UuMjcvMDQvMjAyNC5VU0QBAAAAAKgBAAIAAAAFNzUsOTgA1hf4rOtH3gjIVgi260feCChDSVEuSE9MWC5JUV9MQVNUU0FMRVBSSUNFLjI2LzA0LzIwMjQuVVNEAQAAAACoAQACAAAABTc1LDk4ANYX+KzrR94I2H0ItutH3ggoQ0lRLkhPTFguSVFfTEFTVFNBTEVQUklDRS4yNS8wNC8yMDI0LlVTRAEAAAAAqAEAAgAAAAU3NSw3MQDWF/is60feCNh9CLbrR94IKENJUS5IT0xYLklRX0xBU1RTQUxFUFJJQ0UuMzAvMDQvMjAyNC5VU0QBAAAAAKgBAAIAAAAFNzUsNzcA1hf4rOtH3gjYfQi260feCChDSVEuSE9MWC5JUV9MQVNUU0FMRVBSSUNFLjAxLzA1LzIwMjQuVVNEAQAAAACoAQACAAAABTc2LDI4ANYX+KzrR94I2H0ItutH3ggoQ0lRLkhPTFguSVFfTEFTVFNBTEVQUklD</t>
  </si>
  <si>
    <t>RS4wMi8wNS8yMDI0LlVTRAEAAAAAqAEAAgAAAAU3NSw5MQDWF/is60feCOekCLbrR94IKENJUS5IT0xYLklRX0xBU1RTQUxFUFJJQ0UuMDMvMDUvMjAyNC5VU0QBAAAAAKgBAAIAAAAFNzYsNTQA1hf4rOtH3gjYfQi260feCChDSVEuSE9MWC5JUV9MQVNUU0FMRVBSSUNFLjIyLzA0LzIwMjQuVVNEAQAAAACoAQACAAAABTc2LDIyANYX+KzrR94I2H0ItutH3ggoQ0lRLkhPTFguSVFfTEFTVFNBTEVQUklDRS4wNi8wNS8yMDI0LlVTRAEAAAAAqAEAAgAAAAU3NSw5MwDWF/is60feCOekCLbrR94IJ0NJUS5TR0guSVFfTEFTVFNBTEVQUklDRS4yOC8wNC8yMDI0LlVTRAEAAAC1u2EOAgAAAA4yNCw5OTY3MzkyNzY0NwDWF/is60feCOekCLbrR94IJ0NJUS5TR0guSVFfTEFTVFNBTEVQUklDRS4yNy8wNC8yMDI0LlVTRAEAAAC1u2EOAgAAAA4yNCw5OTY3MzkyNzY0NwDWF/is60feCOekCLbrR94IJ0NJUS5TR0guSVFfTEFTVFNBTEVQUklDRS4yNi8wNC8yMDI0LlVTRAEAAAC1u2EOAgAAAA4yNCw5OTY3MzkyNzY0NwDWF/is60feCOekCLbrR94IJ0NJUS5TR0guSVFfTEFTVFNBTEVQUklDRS4yNS8wNC8yMDI0LlVTRAEAAAC1u2EOAgAAAA0yNSwxNTkzNTk5NzA4ANYX+KzrR94I56QItutH3ggnQ0lRLlNHSC5JUV9MQVNUU0FMRVBSSUNFLjMwLzA0LzIwMjQuVVNEAQAAALW7YQ4CAAAADTI0LDcwOTM5NjcyNDkA</t>
  </si>
  <si>
    <t>1hf4rOtH3gjnpAi260feCCdDSVEuU0dILklRX0xBU1RTQUxFUFJJQ0UuMDEvMDUvMjAyNC5VU0QBAAAAtbthDgIAAAAMMjQsNTE5MzU1Njg5ANYX+KzrR94I56QItutH3ggnQ0lRLlNHSC5JUV9MQVNUU0FMRVBSSUNFLjAyLzA1LzIwMjQuVVNEAQAAALW7YQ4CAAAADTI0LDYwOTE0NTAwNzcA1hf4rOtH3gj3ywi260feCCdDSVEuU0dILklRX0xBU1RTQUxFUFJJQ0UuMDMvMDUvMjAyNC5VU0QBAAAAtbthDgIAAAAOMjUsODI5OTE2NjYyMzQA1hf4rOtH3gj3ywi260feCCdDSVEuU0dILklRX0xBU1RTQUxFUFJJQ0UuMjIvMDQvMjAyNC5VU0QBAAAAtbthDgIAAAAOMjQsMjk2ODM5Nzg2MjUA1hf4rOtH3gj3ywi260feCCdDSVEuU0dILklRX0xBU1RTQUxFUFJJQ0UuMDYvMDUvMjAyNC5VU0QBAAAAtbthDgIAAAANMjUsNTI3OTcwODg2NADWF/is60feCPfLCLbrR94IJkNJUS5QRS5JUV9MQVNUU0FMRVBSSUNFLjI4LzA0LzIwMjQuVVNEAQAAAKdjMAACAAAADDAsMjU1Njc0MTM5NwDWF/is60feCPfLCLbrR94IJkNJUS5QRS5JUV9MQVNUU0FMRVBSSUNFLjI3LzA0LzIwMjQuVVNEAQAAAKdjMAACAAAADDAsMjU1Njc0MTM5NwDWF/is60feCAfzCLbrR94IJkNJUS5QRS5JUV9MQVNUU0FMRVBSSUNFLjI2LzA0LzIwMjQuVVNEAQAAAKdjMAACAAAADDAsMjU1Njc0MTM5NwDWF/is60feCPfLCLbrR94IJkNJUS5Q</t>
  </si>
  <si>
    <t>RS5JUV9MQVNUU0FMRVBSSUNFLjI1LzA0LzIwMjQuVVNEAQAAAKdjMAACAAAADjAsMjY2NDM4OTE2MDQ1ANYX+KzrR94IB/MItutH3ggmQ0lRLlBFLklRX0xBU1RTQUxFUFJJQ0UuMzAvMDQvMjAyNC5VU0QBAAAAp2MwAAIAAAAOMCwyMjE5MTUwMTc0MDUA1hf4rOtH3ggH8wi260feCCZDSVEuUEUuSVFfTEFTVFNBTEVQUklDRS4wMS8wNS8yMDI0LlVTRAEAAACnYzAAAgAAAA0wLDI2ODg5MzM5NDg1ANYX+KzrR94IB/MItutH3ggmQ0lRLlBFLklRX0xBU1RTQUxFUFJJQ0UuMDIvMDUvMjAyNC5VU0QBAAAAp2MwAAIAAAANMCwyNzAwMDIwNDMyNADWF/is60feCAfzCLbrR94IJkNJUS5QRS5JUV9MQVNUU0FMRVBSSUNFLjAzLzA1LzIwMjQuVVNEAQAAAKdjMAACAAAADjAsMjU5NDM2NTQ3ODM1ANYX+KzrR94IB/MItutH3ggmQ0lRLlBFLklRX0xBU1RTQUxFUFJJQ0UuMjIvMDQvMjAyNC5VU0QBAAAAp2MwAAIAAAAMMCwyNjIyNTY4NjYyANYX+KzrR94I98sItutH3ggmQ0lRLlBFLklRX0xBU1RTQUxFUFJJQ0UuMDYvMDUvMjAyNC5VU0QBAAAAp2MwAAIAAAANMCwyNTYyMzE5MjY2NQDWF/is60feCPfLCLbrR94IKENJUS5BVFNJLklRX0xBU1RTQUxFUFJJQ0UuMjgvMDQvMjAyNC5VU0QBAAAAnVxdBgIAAAANMywzNTIxOTM4NzEyNADWF/is60feCBcaCbbrR94IKENJUS5BVFNJLklRX0xBU1RTQUxFUFJJQ0Uu</t>
  </si>
  <si>
    <t>MjcvMDQvMjAyNC5VU0QBAAAAnVxdBgIAAAANMywzNTIxOTM4NzEyNADWF/is60feCBcaCbbrR94IKENJUS5BVFNJLklRX0xBU1RTQUxFUFJJQ0UuMjYvMDQvMjAyNC5VU0QBAAAAnVxdBgIAAAANMywzNTIxOTM4NzEyNADWF/is60feCAfzCLbrR94IKENJUS5BVFNJLklRX0xBU1RTQUxFUFJJQ0UuMjUvMDQvMjAyNC5VU0QBAAAAnVxdBgIAAAANMywzNjM2ODUwNTYwNgDWF/is60feCCdBCbbrR94IKENJUS5BVFNJLklRX0xBU1RTQUxFUFJJQ0UuMzAvMDQvMjAyNC5VU0QBAAAAnVxdBgIAAAANMyw1NzE0Mjg1Njk5NADWF/is60feCFtICrbrR94IKENJUS5BVFNJLklRX0xBU1RTQUxFUFJJQ0UuMDEvMDUvMjAyNC5VU0QBAAAAnVxdBgIAAAALMyw1NjcyMzI3MjUA1hf4rOtH3ghbSAq260feCChDSVEuQVRTSS5JUV9MQVNUU0FMRVBSSUNFLjAyLzA1LzIwMjQuVVNEAQAAAJ1cXQYCAAAADTMsNzIzMTE5NzE4MjQA1hf4rOtH3ggXGgm260feCChDSVEuQVRTSS5JUV9MQVNUU0FMRVBSSUNFLjAzLzA1LzIwMjQuVVNEAQAAAJ1cXQYCAAAADTMsODM0OTY3MTQ0NzIA1hf4rOtH3ggXGgm260feCChDSVEuQVRTSS5JUV9MQVNUU0FMRVBSSUNFLjIyLzA0LzIwMjQuVVNEAQAAAJ1cXQYCAAAADDMsMDY1NDYwMzUwNADWF/is60feCBcaCbbrR94IKENJUS5BVFNJLklRX0xBU1RTQUxFUFJJQ0UuMDYvMDUvMjAyNC5V</t>
  </si>
  <si>
    <t>U0QBAAAAnVxdBgIAAAALMyw5MjE5OTExNjQA1hf4rOtH3ghbSAq260feCCdDSVEuQkZULklRX0xBU1RTQUxFUFJJQ0UuMjgvMDQvMjAyNC5VU0QBAAAAVviTBwIAAAAMNjc0LDM1NzEzODkxANYX+KzrR94IW0gKtutH3ggnQ0lRLkJGVC5JUV9MQVNUU0FMRVBSSUNFLjI3LzA0LzIwMjQuVVNEAQAAAFb4kwcCAAAADDY3NCwzNTcxMzg5MQDWF/is60feCFtICrbrR94IJ0NJUS5CRlQuSVFfTEFTVFNBTEVQUklDRS4yNi8wNC8yMDI0LlVTRAEAAABW+JMHAgAAAAw2NzQsMzU3MTM4OTEA1hf4rOtH3gjEhQq260feCCdDSVEuQkZULklRX0xBU1RTQUxFUFJJQ0UuMjUvMDQvMjAyNC5VU0QBAAAAVviTBwIAAAAMNjcyLDA4OTY3NzQxANYX+KzrR94IxIUKtutH3ggnQ0lRLkJGVC5JUV9MQVNUU0FMRVBSSUNFLjMwLzA0LzIwMjQuVVNEAQAAAFb4kwcCAAAADDY4MiwxNTUyMTYxMgDWF/is60feCMSFCrbrR94IJ0NJUS5CRlQuSVFfTEFTVFNBTEVQUklDRS4wMS8wNS8yMDI0LlVTRAEAAABW+JMHAgAAAAw2ODEsMTYxOTI1MjQA1hf4rOtH3ghbSAq260feCCdDSVEuQkZULklRX0xBU1RTQUxFUFJJQ0UuMDIvMDUvMjAyNC5VU0QBAAAAVviTBwIAAAAMNjc2LDUyNjUwNjE2ANYX+KzrR94IxIUKtutH3ggnQ0lRLkJGVC5JUV9MQVNUU0FMRVBSSUNFLjAzLzA1LzIwMjQuVVNEAQAAAFb4kwcCAAAADDY4MSw5NjUyNTU0</t>
  </si>
  <si>
    <t>NgDWF/is60feCMSFCrbrR94IJ0NJUS5CRlQuSVFfTEFTVFNBTEVQUklDRS4yMi8wNC8yMDI0LlVTRAEAAABW+JMHAgAAAAw2NzYsNjkxNzI4ODMA1hf4rOtH3gjEhQq260feCCdDSVEuQkZULklRX0xBU1RTQUxFUFJJQ0UuMDYvMDUvMjAyNC5VU0QBAAAAVviTBwIAAAAMNzIwLDM5NjIxODg4ANYX+KzrR94IxIUKtutH3ggoQ0lRLkFaUk4uSVFfTEFTVFNBTEVQUklDRS4yNS8wNC8yMDI0LlVTRAEAAAD8UHokAgAAAA0xLDc4ODk2NjI1NTkzAOA++KzrR94IxIUKtutH3ggoQ0lRLkFaUk4uSVFfTEFTVFNBTEVQUklDRS4yNC8wNC8yMDI0LlVTRAEAAAD8UHokAgAAAA0xLDgwNTk0MTQ0MTA3AOA++KzrR94IxIUKtutH3ggoQ0lRLkFaUk4uSVFfTEFTVFNBTEVQUklDRS4yMy8wNC8yMDI0LlVTRAEAAAD8UHokAgAAAAwxLDgxODk1OTk4MzcA4D74rOtH3gjEhQq260feCChDSVEuQVpSTi5JUV9MQVNUU0FMRVBSSUNFLjIyLzA0LzIwMjQuVVNEAQAAAPxQeiQCAAAADDEsNzg4MTg1MjA0NADgPvis60feCEjBCrbrR94IKENJUS5BWlJOLklRX0xBU1RTQUxFUFJJQ0UuMjcvMDQvMjAyNC5VU0QBAAAA/FB6JAIAAAAOMSw3ODA3MTk1NDY4ODgA4D74rOtH3ghIwQq260feCChDSVEuQVpSTi5JUV9MQVNUU0FMRVBSSUNFLjI4LzA0LzIwMjQuVVNEAQAAAPxQeiQCAAAADjEsNzgwNzE5NTQ2ODg4AOA++KzrR94IxIUK</t>
  </si>
  <si>
    <t>tutH3ggoQ0lRLkFaUk4uSVFfTEFTVFNBTEVQUklDRS4yOS8wNC8yMDI0LlVTRAEAAAD8UHokAgAAAAwxLDgyMTQ5MzYyNDYA4D74rOtH3ghIwQq260feCChDSVEuQVpSTi5JUV9MQVNUU0FMRVBSSUNFLjMwLzA0LzIwMjQuVVNEAQAAAPxQeiQCAAAADjEsODM0OTAxNjI0NTU2AOA++KzrR94ISMEKtutH3ggoQ0lRLkFaUk4uSVFfTEFTVFNBTEVQUklDRS4xOS8wNC8yMDI0LlVTRAEAAAD8UHokAgAAAAwxLDgxMzMzMzMzMzkA4D74rOtH3gjEhQq260feCChDSVEuQVpSTi5JUV9MQVNUU0FMRVBSSUNFLjAzLzA1LzIwMjQuVVNEAQAAAPxQeiQCAAAADjEsODY3OTMwNjI2MTA4AOA++KzrR94IxIUKtutH3ggqQ0lRLkVQUk8gQi5JUV9MQVNUU0FMRVBSSUNFLjI1LzA0LzIwMjQuVVNEAQAAAGJyUgACAAAADDYsMjQ0NjI0MTk3OQDgPvis60feCEjBCrbrR94IKkNJUS5FUFJPIEIuSVFfTEFTVFNBTEVQUklDRS4yNC8wNC8yMDI0LlVTRAEAAABiclIAAgAAAAo2LDU5MzQyMjcyAOA++KzrR94ISMEKtutH3ggqQ0lRLkVQUk8gQi5JUV9MQVNUU0FMRVBSSUNFLjIzLzA0LzIwMjQuVVNEAQAAAGJyUgACAAAACzUsOTY3ODY1ODk1AOA++KzrR94ISMEKtutH3ggqQ0lRLkVQUk8gQi5JUV9MQVNUU0FMRVBSSUNFLjIyLzA0LzIwMjQuVVNEAQAAAGJyUgACAAAADDUsODcxNzU5Mjg2OQDgPvis60feCIn8CrbrR94IKkNJ</t>
  </si>
  <si>
    <t>US5FUFJPIEIuSVFfTEFTVFNBTEVQUklDRS4yNy8wNC8yMDI0LlVTRAEAAABiclIAAgAAAAw2LDMxMTQ3ODc5NzIA4D74rOtH3giJ/Aq260feCCpDSVEuRVBSTyBCLklRX0xBU1RTQUxFUFJJQ0UuMjgvMDQvMjAyNC5VU0QBAAAAYnJSAAIAAAAMNiwzMTE0Nzg3OTcyAOA++KzrR94IifwKtutH3ggqQ0lRLkVQUk8gQi5JUV9MQVNUU0FMRVBSSUNFLjI5LzA0LzIwMjQuVVNEAQAAAGJyUgACAAAADDYsMzk2MTAyNjg4NQDgPvis60feCEjBCrbrR94IKkNJUS5FUFJPIEIuSVFfTEFTVFNBTEVQUklDRS4zMC8wNC8yMDI0LlVTRAEAAABiclIAAgAAAAw2LDUzNjk3MTE5MDYA4D74rOtH3ghIwQq260feCCpDSVEuRVBSTyBCLklRX0xBU1RTQUxFUFJJQ0UuMTkvMDQvMjAyNC5VU0QBAAAAYnJSAAIAAAAMNSw5NDg0OTEwMTQ0AOA++KzrR94ISMEKtutH3ggqQ0lRLkVQUk8gQi5JUV9MQVNUU0FMRVBSSUNFLjAzLzA1LzIwMjQuVVNEAQAAAGJyUgACAAAADDYsNzg2MDAwMzExNwDgPvis60feCIn8CrbrR94IKENJUS5WRU5ELklRX0xBU1RTQUxFUFJJQ0UuMjUvMDQvMjAyNC5VU0QBAAAAQmYNAAIAAAANMjgsNDUwMzMwNTY4NADgPvis60feCIn8CrbrR94IKENJUS5WRU5ELklRX0xBU1RTQUxFUFJJQ0UuMjQvMDQvMjAyNC5VU0QBAAAAQmYNAAIAAAAMMjgsNjQwNzM3NzU1AOA++KzrR94IifwKtutH3ggoQ0lRLlZF</t>
  </si>
  <si>
    <t>TkQuSVFfTEFTVFNBTEVQUklDRS4yMy8wNC8yMDI0LlVTRAEAAABCZg0AAgAAAA0yOCw5NDU3NTc4MTQ0AOA++KzrR94IifwKtutH3ggoQ0lRLlZFTkQuSVFfTEFTVFNBTEVQUklDRS4yMi8wNC8yMDI0LlVTRAEAAABCZg0AAgAAAA0yOCwzODg2OTY2ODA4AOA++KzrR94IifwKtutH3ggoQ0lRLlZFTkQuSVFfTEFTVFNBTEVQUklDRS4yNy8wNC8yMDI0LlVTRAEAAABCZg0AAgAAAAwyOCwxOTY3MTQxNTEA4D74rOtH3giJ/Aq260feCChDSVEuVkVORC5JUV9MQVNUU0FMRVBSSUNFLjI4LzA0LzIwMjQuVVNEAQAAAEJmDQACAAAADDI4LDE5NjcxNDE1MQDgPvis60feCIn8CrbrR94IKENJUS5WRU5ELklRX0xBU1RTQUxFUFJJQ0UuMjkvMDQvMjAyNC5VU0QBAAAAQmYNAAIAAAANMjcsODE1MDk2MTUwNgDgPvis60feCIn8CrbrR94IKENJUS5WRU5ELklRX0xBU1RTQUxFUFJJQ0UuMzAvMDQvMjAyNC5VU0QBAAAAQmYNAAIAAAANMjgsMTA4NDU5NzE2OADgPvis60feCGQ7C7brR94IKENJUS5WRU5ELklRX0xBU1RTQUxFUFJJQ0UuMTkvMDQvMjAyNC5VU0QBAAAAQmYNAAIAAAAMMjgsMzM3OTI2MDMyAOA++KzrR94IZDsLtutH3ggoQ0lRLlZFTkQuSVFfTEFTVFNBTEVQUklDRS4wMy8wNS8yMDI0LlVTRAEAAABCZg0AAgAAAA0yOSw1NzE1NTM3NzU0AOA++KzrR94IZDsLtutH3ggoQ0lRLjIzOTUuSVFfTEFTVFNB</t>
  </si>
  <si>
    <t>TEVQUklDRS4yNS8wNC8yMDI0LlVTRAEAAAA3sFkAAgAAAAo5LDUxNjE1NDMyAOA++KzrR94IZDsLtutH3ggoQ0lRLjIzOTUuSVFfTEFTVFNBTEVQUklDRS4yNC8wNC8yMDI0LlVTRAEAAAA3sFkAAgAAAAs5LDQ4NjA5OTQ4MgDgPvis60feCGQ7C7brR94IKENJUS4yMzk1LklRX0xBU1RTQUxFUFJJQ0UuMjMvMDQvMjAyNC5VU0QBAAAAN7BZAAIAAAAJOSwzNTUyNzQ2AOA++KzrR94IZDsLtutH3ggoQ0lRLjIzOTUuSVFfTEFTVFNBTEVQUklDRS4yMi8wNC8yMDI0LlVTRAEAAAA3sFkAAgAAAAs5LDI1OTEzODkxMQDgPvis60feCGQ7C7brR94IKENJUS4yMzk1LklRX0xBU1RTQUxFUFJJQ0UuMjcvMDQvMjAyNC5VU0QBAAAAN7BZAAIAAAAKOSw1NDE3Nzc5MwDgPvis60feCGQ7C7brR94IKENJUS4yMzk1LklRX0xBU1RTQUxFUFJJQ0UuMjgvMDQvMjAyNC5VU0QBAAAAN7BZAAIAAAAKOSw1NDE3Nzc5MwDgPvis60feCGQ7C7brR94IKENJUS4yMzk1LklRX0xBU1RTQUxFUFJJQ0UuMjkvMDQvMjAyNC5VU0QBAAAAN7BZAAIAAAALOSw1ODYxNzQwNDYA4D74rOtH3ghkOwu260feCChDSVEuMjM5NS5JUV9MQVNUU0FMRVBSSUNFLjMwLzA0LzIwMjQuVVNEAQAAADewWQACAAAACzksNzkzNDYwOTY0AOA++KzrR94IZDsLtutH3ggoQ0lRLjIzOTUuSVFfTEFTVFNBTEVQUklDRS4xOS8wNC8yMDI0LlVTRAEAAAA3sFkA</t>
  </si>
  <si>
    <t>AgAAAAs5LDIwOTE2MzY0MgDgPvis60feCGQ7C7brR94IKENJUS4yMzk1LklRX0xBU1RTQUxFUFJJQ0UuMDMvMDUvMjAyNC5VU0QBAAAAN7BZAAIAAAAMMTAsMDM5MTEwMjk1AOA++KzrR94IZDsLtutH3ggoQ0lRLjY1OTkuSVFfTEFTVFNBTEVQUklDRS4yNS8wNC8yMDI0LlVTRAEAAACen+oCAgAAAAwxNSwyNTc5OTYwODIA4D74rOtH3gi6dwu260feCChDSVEuNjU5OS5JUV9MQVNUU0FMRVBSSUNFLjI0LzA0LzIwMjQuVVNEAQAAAJ6f6gICAAAACzE1LDQxMjQ5MzM4AOA++KzrR94IZDsLtutH3ggoQ0lRLjY1OTkuSVFfTEFTVFNBTEVQUklDRS4yMy8wNC8yMDI0LlVTRAEAAACen+oCAgAAAAwxNSwzNzAzMDI2NzUA4D74rOtH3gi6dwu260feCChDSVEuNjU5OS5JUV9MQVNUU0FMRVBSSUNFLjIyLzA0LzIwMjQuVVNEAQAAAJ6f6gICAAAADDE1LDMwNjk3ODQyMwDgPvis60feCLp3C7brR94IKENJUS42NTk5LklRX0xBU1RTQUxFUFJJQ0UuMjcvMDQvMjAyNC5VU0QBAAAAnp/qAgIAAAAMMTUsMDg3Njk4MTI1AOA++KzrR94IuncLtutH3ggoQ0lRLjY1OTkuSVFfTEFTVFNBTEVQUklDRS4yOC8wNC8yMDI0LlVTRAEAAACen+oCAgAAAAwxNSwwODc2OTgxMjUA4D74rOtH3gi6dwu260feCChDSVEuNjU5OS5JUV9MQVNUU0FMRVBSSUNFLjI5LzA0LzIwMjQuVVNEAQAAAJ6f6gICAAAADDE1LDE1Nzg5ODM3NQDg</t>
  </si>
  <si>
    <t>Pvis60feCLp3C7brR94IKENJUS42NTk5LklRX0xBU1RTQUxFUFJJQ0UuMzAvMDQvMjAyNC5VU0QBAAAAnp/qAgIAAAAKMTUsMjQyNzQwOADgPvis60feCLp3C7brR94IKENJUS42NTk5LklRX0xBU1RTQUxFUFJJQ0UuMTkvMDQvMjAyNC5VU0QBAAAAnp/qAgIAAAAKMTUsNTMxOTY5NgDgPvis60feCLp3C7brR94IKENJUS42NTk5LklRX0xBU1RTQUxFUFJJQ0UuMDMvMDUvMjAyNC5VU0QBAAAAnp/qAgIAAAAMMTUsMzg4OTQyMzYxAOA++KzrR94IdbcLtutH3ggpQ0lRLkFCVEVDLklRX0xBU1RTQUxFUFJJQ0UuMjQvMDQvMjAyNC5VU0QBAAAAnARaAgIAAAANMCw0NjE4ODg3MjMxNgDgPvis60feCHW3C7brR94IKUNJUS5BQlRFQy5JUV9MQVNUU0FMRVBSSUNFLjIzLzA0LzIwMjQuVVNEAQAAAJwEWgICAAAADTAsNDUwMTA0NzA0MzIA4D74rOtH3gh1twu260feCClDSVEuQUJURUMuSVFfTEFTVFNBTEVQUklDRS4yMi8wNC8yMDI0LlVTRAEAAACcBFoCAgAAAAwwLDQ0NDEzOTg5MDYA4D74rOtH3gh1twu260feCClDSVEuQUJURUMuSVFfTEFTVFNBTEVQUklDRS4yMS8wNC8yMDI0LlVTRAEAAACcBFoCAgAAAA0wLDQ1MzIyNTE2MzE0AOA++KzrR94IdbcLtutH3ggpQ0lRLkFCVEVDLklRX0xBU1RTQUxFUFJJQ0UuMjYvMDQvMjAyNC5VU0QBAAAAnARaAgIAAAALMCw0NzA4NTA3MTgA4D74rOtH3gh1twu260fe</t>
  </si>
  <si>
    <t>CClDSVEuQUJURUMuSVFfTEFTVFNBTEVQUklDRS4yNy8wNC8yMDI0LlVTRAEAAACcBFoCAgAAAAswLDQ3MDg1MDcxOADgPvis60feCLp3C7brR94IKUNJUS5BQlRFQy5JUV9MQVNUU0FMRVBSSUNFLjI4LzA0LzIwMjQuVVNEAQAAAJwEWgICAAAACzAsNDcwODUwNzE4AOA++KzrR94IdbcLtutH3ggpQ0lRLkFCVEVDLklRX0xBU1RTQUxFUFJJQ0UuMjkvMDQvMjAyNC5VU0QBAAAAnARaAgIAAAAMMCw0NDU2OTY0MzkzAOA++KzrR94I0/MLtutH3ggpQ0lRLkFCVEVDLklRX0xBU1RTQUxFUFJJQ0UuMTgvMDQvMjAyNC5VU0QBAAAAnARaAgIAAAAJMCw0NTAwNjQyAOA++KzrR94I0/MLtutH3ggpQ0lRLkFCVEVDLklRX0xBU1RTQUxFUFJJQ0UuMDIvMDUvMjAyNC5VU0QBAAAAnARaAgIAAAANMCw0MTAwNDM0NDE0OADgPvis60feCNPzC7brR94IKENJUS5GUElQLklRX0xBU1RTQUxFUFJJQ0UuMjQvMDQvMjAyNC5VU0QBAAAAbSQ+AQIAAAAJMiw2NjMwODE2AOA++KzrR94I0/MLtutH3ggoQ0lRLkZQSVAuSVFfTEFTVFNBTEVQUklDRS4yMy8wNC8yMDI0LlVTRAEAAABtJD4BAgAAAAwyLDY4ODMxMTEwNzUA4D74rOtH3gjRMwy260feCChDSVEuRlBJUC5JUV9MQVNUU0FMRVBSSUNFLjIyLzA0LzIwMjQuVVNEAQAAAG0kPgECAAAADDIsNjM4MTY5NTM5MgDgPvis60feCNPzC7brR94IKENJUS5GUElQLklRX0xBU1RT</t>
  </si>
  <si>
    <t>QUxFUFJJQ0UuMjEvMDQvMjAyNC5VU0QBAAAAbSQ+AQIAAAAMMiw3MTMwMjUxNzc2AOA++KzrR94I0TMMtutH3ggoQ0lRLkZQSVAuSVFfTEFTVFNBTEVQUklDRS4yNi8wNC8yMDI0LlVTRAEAAABtJD4BAgAAAAwyLDYxNzYyMTk4NjcA4D74rOtH3gjT8wu260feCChDSVEuRlBJUC5JUV9MQVNUU0FMRVBSSUNFLjI3LzA0LzIwMjQuVVNEAQAAAG0kPgECAAAADDIsNjE3NjIxOTg2NwDgPvis60feCNEzDLbrR94IKENJUS5GUElQLklRX0xBU1RTQUxFUFJJQ0UuMjgvMDQvMjAyNC5VU0QBAAAAbSQ+AQIAAAAMMiw2MTc2MjE5ODY3AOA++KzrR94I0TMMtutH3ggoQ0lRLkZQSVAuSVFfTEFTVFNBTEVQUklDRS4yOS8wNC8yMDI0LlVTRAEAAABtJD4BAgAAAAsyLDYxNzAwMzM4OQDgPvis60feCNEzDLbrR94IKENJUS5GUElQLklRX0xBU1RTQUxFUFJJQ0UuMTgvMDQvMjAyNC5VU0QBAAAAbSQ+AQIAAAAMMiw2OTEyMjU3ODQ4AOA++KzrR94I0TMMtutH3ggoQ0lRLkZQSVAuSVFfTEFTVFNBTEVQUklDRS4wMi8wNS8yMDI0LlVTRAEAAABtJD4BAgAAAAwyLDQ0ODQ2OTgwNjMA4D74rOtH3gjT8wu260feCCdDSVEuTkNLLklRX0xBU1RTQUxFUFJJQ0UuMjMvMDQvMjAyNC5VU0QBAAAAFcimAAIAAAANOSwxMTgwMDkyMDM4NwDgPvis60feCHBwDLbrR94IJ0NJUS5OQ0suSVFfTEFTVFNBTEVQUklDRS4yMi8wNC8yMDI0</t>
  </si>
  <si>
    <t>LlVTRAEAAAAVyKYAAgAAAAw4LDk4NTAwMzUzNDIA4D74rOtH3gjRMwy260feCCdDSVEuTkNLLklRX0xBU1RTQUxFUFJJQ0UuMjEvMDQvMjAyNC5VU0QBAAAAFcimAAIAAAAKOCw4MDEyMzM0NgDgPvis60feCHBwDLbrR94IJ0NJUS5OQ0suSVFfTEFTVFNBTEVQUklDRS4yMC8wNC8yMDI0LlVTRAEAAAAVyKYAAgAAAAo4LDgwMTIzMzQ2AOA++KzrR94IcHAMtutH3ggnQ0lRLk5DSy5JUV9MQVNUU0FMRVBSSUNFLjI1LzA0LzIwMjQuVVNEAQAAABXIpgACAAAADDksMTUxODE0NzU2NwDgPvis60feCHBwDLbrR94IJ0NJUS5OQ0suSVFfTEFTVFNBTEVQUklDRS4yNi8wNC8yMDI0LlVTRAEAAAAVyKYAAgAAAA4xMCwzMzY1MDcxMTAxNQDgPvis60feCHBwDLbrR94IJ0NJUS5OQ0suSVFfTEFTVFNBTEVQUklDRS4yNy8wNC8yMDI0LlVTRAEAAAAVyKYAAgAAAA4xMCwzMzY1MDcxMTAxNQDgPvis60feCHBwDLbrR94IJ0NJUS5OQ0suSVFfTEFTVFNBTEVQUklDRS4yOC8wNC8yMDI0LlVTRAEAAAAVyKYAAgAAAA4xMCwzMzY1MDcxMTAxNQDgPvis60feCHBwDLbrR94IJ0NJUS5OQ0suSVFfTEFTVFNBTEVQUklDRS4xNy8wNC8yMDI0LlVTRAEAAAAVyKYAAgAAAA05LDA3NjkwMzMyMTkyAOA++KzrR94IcHAMtutH3ggnQ0lRLk5DSy5JUV9MQVNUU0FMRVBSSUNFLjAxLzA1LzIwMjQuVVNEAQAAABXIpgACAAAADDksNjc3</t>
  </si>
  <si>
    <t>ODM4NDA0NADgPvis60feCHBwDLbrR94IKUNJUS5BT0ogQi5JUV9MQVNUU0FMRVBSSUNFLjIzLzA0LzIwMjQuVVNEAQAAANbxJAACAAAADTEwLDM0MjE5NjE3NDgA4D74rOtH3ghwcAy260feCClDSVEuQU9KIEIuSVFfTEFTVFNBTEVQUklDRS4yMi8wNC8yMDI0LlVTRAEAAADW8SQAAgAAAAwxMCwyNzIwMjMxMzYA4D74rOtH3ghCrwy260feCClDSVEuQU9KIEIuSVFfTEFTVFNBTEVQUklDRS4yMS8wNC8yMDI0LlVTRAEAAADW8SQAAgAAAA0xMCw0MDQ2OTY5OTM2AOA++KzrR94IQq8MtutH3ggpQ0lRLkFPSiBCLklRX0xBU1RTQUxFUFJJQ0UuMjAvMDQvMjAyNC5VU0QBAAAA1vEkAAIAAAANMTAsNDA0Njk2OTkzNgDgPvis60feCEKvDLbrR94IKUNJUS5BT0ogQi5JUV9MQVNUU0FMRVBSSUNFLjI1LzA0LzIwMjQuVVNEAQAAANbxJAACAAAADDksOTU4NTU2MjkyMwDgPvis60feCEKvDLbrR94IKUNJUS5BT0ogQi5JUV9MQVNUU0FMRVBSSUNFLjI2LzA0LzIwMjQuVVNEAQAAANbxJAACAAAADDksOTgwNDU0MzgwNgDgPvis60feCHBwDLbrR94IKUNJUS5BT0ogQi5JUV9MQVNUU0FMRVBSSUNFLjI3LzA0LzIwMjQuVVNEAQAAANbxJAACAAAADDksOTgwNDU0MzgwNgDgPvis60feCEKvDLbrR94IKUNJUS5BT0ogQi5JUV9MQVNUU0FMRVBSSUNFLjI4LzA0LzIwMjQuVVNEAQAAANbxJAACAAAADDksOTgwNDU0Mzgw</t>
  </si>
  <si>
    <t>NgDgPvis60feCEKvDLbrR94IKUNJUS5BT0ogQi5JUV9MQVNUU0FMRVBSSUNFLjE3LzA0LzIwMjQuVVNEAQAAANbxJAACAAAADDEwLDE5NTU2OTUyNwDgPvis60feCEKvDLbrR94IKUNJUS5BT0ogQi5JUV9MQVNUU0FMRVBSSUNFLjAxLzA1LzIwMjQuVVNEAQAAANbxJAACAAAADDksOTUzMTQxNDk1NQDgPvis60feCEKvDLbrR94IJ0NJUS5TTkcuSVFfTEFTVFNBTEVQUklDRS4yMy8wNC8yMDI0LlVTRAEAAABteA0AAgAAAA0xLDc2NTQ2MTE2MDY1AOA++KzrR94IQq8MtutH3ggnQ0lRLlNORy5JUV9MQVNUU0FMRVBSSUNFLjIyLzA0LzIwMjQuVVNEAQAAAG14DQACAAAADjEsNjg3MDY3NTg4Njc1AOA++KzrR94IQq8MtutH3ggnQ0lRLlNORy5JUV9MQVNUU0FMRVBSSUNFLjIxLzA0LzIwMjQuVVNEAQAAAG14DQACAAAADDEsNzA2NjY2NjY3MgDgPvis60feCEKvDLbrR94IJ0NJUS5TTkcuSVFfTEFTVFNBTEVQUklDRS4yMC8wNC8yMDI0LlVTRAEAAABteA0AAgAAAAwxLDcwNjY2NjY2NzIA4D74rOtH3giS7gy260feCCdDSVEuU05HLklRX0xBU1RTQUxFUFJJQ0UuMjUvMDQvMjAyNC5VU0QBAAAAbXgNAAIAAAANMSw3NDYxMTY3NjQ3NwDgPvis60feCJLuDLbrR94IJ0NJUS5TTkcuSVFfTEFTVFNBTEVQUklDRS4yNi8wNC8yMDI0LlVTRAEAAABteA0AAgAAAA0xLDYyMjcxODA1MjMyAOA++KzrR94IQq8MtutH</t>
  </si>
  <si>
    <t>3ggnQ0lRLlNORy5JUV9MQVNUU0FMRVBSSUNFLjI3LzA0LzIwMjQuVVNEAQAAAG14DQACAAAADTEsNjIyNzE4MDUyMzIA4D74rOtH3giS7gy260feCCdDSVEuU05HLklRX0xBU1RTQUxFUFJJQ0UuMjgvMDQvMjAyNC5VU0QBAAAAbXgNAAIAAAANMSw2MjI3MTgwNTIzMgDgPvis60feCJLuDLbrR94IJ0NJUS5TTkcuSVFfTEFTVFNBTEVQUklDRS4xNy8wNC8yMDI0LlVTRAEAAABteA0AAgAAAA0xLDY3MDM5MDQ2NzYxAOA++KzrR94IQq8MtutH3ggnQ0lRLlNORy5JUV9MQVNUU0FMRVBSSUNFLjAxLzA1LzIwMjQuVVNEAQAAAG14DQACAAAADDEsOTExNzgwNDEyNQDgPvis60feCEKvDLbrR94IJ0NJUS5GRkguSVFfTEFTVFNBTEVQUklDRS4yMi8wNC8yMDI0LlVTRAEAAAC2qAoAAgAAAA0xMDc5LDYyNDA5OTE5AOA++KzrR94Iku4MtutH3ggnQ0lRLkZGSC5JUV9MQVNUU0FMRVBSSUNFLjIxLzA0LzIwMjQuVVNEAQAAALaoCgACAAAAEDExMDEsNzg3NTU5ODkxNTkA4D74rOtH3giS7gy260feCCdDSVEuRkZILklRX0xBU1RTQUxFUFJJQ0UuMjAvMDQvMjAyNC5VU0QBAAAAtqgKAAIAAAAQMTEwMSw3ODc1NTk4OTE1OQDgPvis60feCJLuDLbrR94IJ0NJUS5GRkguSVFfTEFTVFNBTEVQUklDRS4xOS8wNC8yMDI0LlVTRAEAAAC2qAoAAgAAABAxMTAxLDc4NzU1OTg5MTU5AOA++KzrR94I+i0NtutH3ggnQ0lRLkZG</t>
  </si>
  <si>
    <t>SC5JUV9MQVNUU0FMRVBSSUNFLjI0LzA0LzIwMjQuVVNEAQAAALaoCgACAAAADzEwNzYsNTQ4MDQ5OTY3NQDgPvis60feCPotDbbrR94IJ0NJUS5GRkguSVFfTEFTVFNBTEVQUklDRS4yNS8wNC8yMDI0LlVTRAEAAAC2qAoAAgAAABAxMDg1LDEyMTc1ODU0MzQ5AOA++KzrR94I+i0NtutH3ggnQ0lRLkZGSC5JUV9MQVNUU0FMRVBSSUNFLjI2LzA0LzIwMjQuVVNEAQAAALaoCgACAAAADzEwODUsNjY1NDQ2OTIwNADgPvis60feCJLuDLbrR94IJ0NJUS5GRkguSVFfTEFTVFNBTEVQUklDRS4yNy8wNC8yMDI0LlVTRAEAAAC2qAoAAgAAAA8xMDg1LDY2NTQ0NjkyMDQA4D74rOtH3giS7gy260feCCdDSVEuRkZILklRX0xBU1RTQUxFUFJJQ0UuMTYvMDQvMjAyNC5VU0QBAAAAtqgKAAIAAAAQMTA3MSw3NjI4OTMxNTkzMwDgPvis60feCJLuDLbrR94IJ0NJUS5GRkguSVFfTEFTVFNBTEVQUklDRS4zMC8wNC8yMDI0LlVTRAEAAAC2qAoAAgAAABAxMDg4LDk5MTU1OTY3MjkxAOA++KzrR94I+i0NtutH3ggqQ0lRLlBSRVYgQi5JUV9MQVNUU0FMRVBSSUNFLjIyLzA0LzIwMjQuVVNEAQAAAHrwJAACAAAADTEwLDQ2MTA3NTA0NzgA4D74rOtH3gj6LQ2260feCCpDSVEuUFJFViBCLklRX0xBU1RTQUxFUFJJQ0UuMjEvMDQvMjAyNC5VU0QBAAAAevAkAAIAAAAMMTAsNDQ4ODEzMTg0AOA++KzrR94I+i0NtutH3ggqQ0lR</t>
  </si>
  <si>
    <t>LlBSRVYgQi5JUV9MQVNUU0FMRVBSSUNFLjIwLzA0LzIwMjQuVVNEAQAAAHrwJAACAAAADDEwLDQ0ODgxMzE4NADgPvis60feCPotDbbrR94IKkNJUS5QUkVWIEIuSVFfTEFTVFNBTEVQUklDRS4xOS8wNC8yMDI0LlVTRAEAAAB68CQAAgAAAAwxMCw0NDg4MTMxODQA4D74rOtH3gj6LQ2260feCCpDSVEuUFJFViBCLklRX0xBU1RTQUxFUFJJQ0UuMjQvMDQvMjAyNC5VU0QBAAAAevAkAAIAAAALMTEsMzMxODcxMzYA4D74rOtH3gj6LQ2260feCCpDSVEuUFJFViBCLklRX0xBU1RTQUxFUFJJQ0UuMjUvMDQvMjAyNC5VU0QBAAAAevAkAAIAAAAMMTEsMTg3MTM4Nzk4AOA++KzrR94I+i0NtutH3ggqQ0lRLlBSRVYgQi5JUV9MQVNUU0FMRVBSSUNFLjI2LzA0LzIwMjQuVVNEAQAAAHrwJAACAAAADTExLDEwODkzMjMzMzgA4D74rOtH3gj6LQ2260feCCpDSVEuUFJFViBCLklRX0xBU1RTQUxFUFJJQ0UuMjcvMDQvMjAyNC5VU0QBAAAAevAkAAIAAAANMTEsMTA4OTMyMzMzOADgPvis60feCDZtDbbrR94IKkNJUS5QUkVWIEIuSVFfTEFTVFNBTEVQUklDRS4xNi8wNC8yMDI0LlVTRAEAAAB68CQAAgAAAAoxMCw2MDExMjk4AOA++KzrR94INm0NtutH3ggqQ0lRLlBSRVYgQi5JUV9MQVNUU0FMRVBSSUNFLjMwLzA0LzIwMjQuVVNEAQAAAHrwJAACAAAADTEwLDg3MDY3MzUzOTgA4D74rOtH3gg2bQ2260feCCdDSVEu</t>
  </si>
  <si>
    <t>SVRILklRX0xBU1RTQUxFUFJJQ0UuMjIvMDQvMjAyNC5VU0QBAAAA99xoAQIAAAAOMSw0NjUzODIxOTYwMzYA4D74rOtH3gg2bQ2260feCCdDSVEuSVRILklRX0xBU1RTQUxFUFJJQ0UuMjEvMDQvMjAyNC5VU0QBAAAA99xoAQIAAAAOMSw0ODQ2NjMwMzQxOTIA4D74rOtH3ggjrA2260feCCdDSVEuSVRILklRX0xBU1RTQUxFUFJJQ0UuMjAvMDQvMjAyNC5VU0QBAAAA99xoAQIAAAAOMSw0ODQ2NjMwMzQxOTIA4D74rOtH3ggjrA2260feCCdDSVEuSVRILklRX0xBU1RTQUxFUFJJQ0UuMTkvMDQvMjAyNC5VU0QBAAAA99xoAQIAAAAOMSw0ODQ2NjMwMzQxOTIA4D74rOtH3gg2bQ2260feCCdDSVEuSVRILklRX0xBU1RTQUxFUFJJQ0UuMjQvMDQvMjAyNC5VU0QBAAAA99xoAQIAAAAOMSw0NjQ0MjczNDM4NzgA4D74rOtH3gg2bQ2260feCCdDSVEuSVRILklRX0xBU1RTQUxFUFJJQ0UuMjUvMDQvMjAyNC5VU0QBAAAA99xoAQIAAAAOMSw0OTE4NDczMTY2MTYA4D74rOtH3ggjrA2260feCCdDSVEuSVRILklRX0xBU1RTQUxFUFJJQ0UuMjYvMDQvMjAyNC5VU0QBAAAA99xoAQIAAAAOMSw0ODk3MTE1MjM2MTIA4D74rOtH3gg2bQ2260feCCdDSVEuSVRILklRX0xBU1RTQUxFUFJJQ0UuMjcvMDQvMjAyNC5VU0QBAAAA99xoAQIAAAAOMSw0ODk3MTE1MjM2MTIA4D74rOtH3ggjrA2260feCCdDSVEuSVRILklRX0xB</t>
  </si>
  <si>
    <t>U1RTQUxFUFJJQ0UuMTYvMDQvMjAyNC5VU0QBAAAA99xoAQIAAAAOMSw0MzQ5ODQyNzAzNDQA4D74rOtH3ggjrA2260feCCdDSVEuSVRILklRX0xBU1RTQUxFUFJJQ0UuMzAvMDQvMjAyNC5VU0QBAAAA99xoAQIAAAAOMSw0ODU0MTUxMjc1MTQA4D74rOtH3ggjrA2260feCCdDSVEuRVVSLklRX0xBU1RTQUxFUFJJQ0UuMjEvMDQvMjAyNC5VU0QBAAAA/1HRAAIAAAANMywyNjQxNDYyODQxNQDgPvis60feCC3rDbbrR94IJ0NJUS5FVVIuSVFfTEFTVFNBTEVQUklDRS4yMC8wNC8yMDI0LlVTRAEAAAD/UdEAAgAAAA0zLDI2NDE0NjI4NDE1AOA++KzrR94II6wNtutH3ggnQ0lRLkVVUi5JUV9MQVNUU0FMRVBSSUNFLjE5LzA0LzIwMjQuVVNEAQAAAP9R0QACAAAADTMsMjY0MTQ2Mjg0MTUA4D74rOtH3ggt6w2260feCCdDSVEuRVVSLklRX0xBU1RTQUxFUFJJQ0UuMTgvMDQvMjAyNC5VU0QBAAAA/1HRAAIAAAANMyw0MTQ4MjYzMDMyMwDgPvis60feCFgqDrbrR94IJ0NJUS5FVVIuSVFfTEFTVFNBTEVQUklDRS4yMy8wNC8yMDI0LlVTRAEAAAD/UdEAAgAAAAwzLDU0OTg4NDU2NjgA4D74rOtH3ghYKg6260feCCdDSVEuRVVSLklRX0xBU1RTQUxFUFJJQ0UuMjQvMDQvMjAyNC5VU0QBAAAA/1HRAAIAAAANMyw0NDE4OTQ4OTcxNQDgPvis60feCFgqDrbrR94IJ0NJUS5FVVIuSVFfTEFTVFNBTEVQUklDRS4yNS8w</t>
  </si>
  <si>
    <t>NC8yMDI0LlVTRAEAAAD/UdEAAgAAAA0zLDMyNTcyNzg4NzExAOA++KzrR94ILesNtutH3ggnQ0lRLkVVUi5JUV9MQVNUU0FMRVBSSUNFLjI2LzA0LzIwMjQuVVNEAQAAAP9R0QACAAAADTMsMzQ0NjEzNzk1MTgA4D74rOtH3ggt6w2260feCCdDSVEuRVVSLklRX0xBU1RTQUxFUFJJQ0UuMTUvMDQvMjAyNC5VU0QBAAAA/1HRAAIAAAANMywzMzk4NDMyNjYyNwDgPvis60feCC3rDbbrR94IJ0NJUS5FVVIuSVFfTEFTVFNBTEVQUklDRS4yOS8wNC8yMDI0LlVTRAEAAAD/UdEAAgAAAA0zLDQwNjU3OTc2NzkyAOA++KzrR94IeWcOtutH3ggnQ0lRLkRTRy5JUV9MQVNUU0FMRVBSSUNFLjIxLzA0LzIwMjQuVVNEAQAAAE5VpAECAAAADTAsMTExNzIyMTM0NjgA4D74rOtH3ghYKg6260feCCdDSVEuRFNHLklRX0xBU1RTQUxFUFJJQ0UuMjAvMDQvMjAyNC5VU0QBAAAATlWkAQIAAAANMCwxMTE3MjIxMzQ2OADgPvis60feCHlnDrbrR94IJ0NJUS5EU0cuSVFfTEFTVFNBTEVQUklDRS4xOS8wNC8yMDI0LlVTRAEAAABOVaQBAgAAAA0wLDExMTcyMjEzNDY4AOA++KzrR94IeWcOtutH3ggnQ0lRLkRTRy5JUV9MQVNUU0FMRVBSSUNFLjE4LzA0LzIwMjQuVVNEAQAAAE5VpAECAAAADTAsMTEyMTc2MDkxNTMA4D74rOtH3ghYKg6260feCCdDSVEuRFNHLklRX0xBU1RTQUxFUFJJQ0UuMjMvMDQvMjAyNC5VU0QBAAAATlWk</t>
  </si>
  <si>
    <t>AQIAAAANMCwxMTE5NjExODY4MwDgPvis60feCHlnDrbrR94IJ0NJUS5EU0cuSVFfTEFTVFNBTEVQUklDRS4yNC8wNC8yMDI0LlVTRAEAAABOVaQBAgAAAA0wLDExMTg4MzI0MzU5AOA++KzrR94IeWcOtutH3ggnQ0lRLkRTRy5JUV9MQVNUU0FMRVBSSUNFLjI1LzA0LzIwMjQuVVNEAQAAAE5VpAECAAAADTAsMTE4Njk4MDY5NTgA4D74rOtH3gh5Zw6260feCCdDSVEuRFNHLklRX0xBU1RTQUxFUFJJQ0UuMjYvMDQvMjAyNC5VU0QBAAAATlWkAQIAAAAOMCwxNDMyNDE0OTI2NTUA4D74rOtH3giHpw6260feCCdDSVEuRFNHLklRX0xBU1RTQUxFUFJJQ0UuMTUvMDQvMjAyNC5VU0QBAAAATlWkAQIAAAAMMCwxMTIxMzEzNjgxAOA++KzrR94Ih6cOtutH3ggnQ0lRLkRTRy5JUV9MQVNUU0FMRVBSSUNFLjI5LzA0LzIwMjQuVVNEAQAAAE5VpAECAAAADTAsMTQ0MzMyNzQzNDEA4D74rOtH3giHpw6260feCCZDSVEuTlguSVFfTEFTVFNBTEVQUklDRS4yMS8wNC8yMDI0LlVTRAEAAAC+pGMCAgAAAAUzNCw2NADgPvis60feCIenDrbrR94IJkNJUS5OWC5JUV9MQVNUU0FMRVBSSUNFLjIwLzA0LzIwMjQuVVNEAQAAAL6kYwICAAAABTM0LDY0AOA++KzrR94Ih6cOtutH3ggmQ0lRLk5YLklRX0xBU1RTQUxFUFJJQ0UuMTkvMDQvMjAyNC5VU0QBAAAAvqRjAgIAAAAFMzQsNjQA4D74rOtH3giHpw6260feCCZDSVEuTlgu</t>
  </si>
  <si>
    <t>SVFfTEFTVFNBTEVQUklDRS4xOC8wNC8yMDI0LlVTRAEAAAC+pGMCAgAAAAUzNCwyNADgPvis60feCMHmDrbrR94IJkNJUS5OWC5JUV9MQVNUU0FMRVBSSUNFLjIzLzA0LzIwMjQuVVNEAQAAAL6kYwICAAAABTM0LDc1AOA++KzrR94IweYOtutH3ggmQ0lRLk5YLklRX0xBU1RTQUxFUFJJQ0UuMjQvMDQvMjAyNC5VU0QBAAAAvqRjAgIAAAAEMzMsNwDgPvis60feCIenDrbrR94IJkNJUS5OWC5JUV9MQVNUU0FMRVBSSUNFLjI1LzA0LzIwMjQuVVNEAQAAAL6kYwICAAAABTMzLDY2AOA++KzrR94IweYOtutH3ggmQ0lRLk5YLklRX0xBU1RTQUxFUFJJQ0UuMjYvMDQvMjAyNC5VU0QBAAAAvqRjAgIAAAAFMzMsODEA4D74rOtH3gjB5g6260feCCZDSVEuTlguSVFfTEFTVFNBTEVQUklDRS4xNS8wNC8yMDI0LlVTRAEAAAC+pGMCAgAAAAUzNSw0NQDgPvis60feCIenDrbrR94IJkNJUS5OWC5JUV9MQVNUU0FMRVBSSUNFLjI5LzA0LzIwMjQuVVNEAQAAAL6kYwICAAAABTMzLDgyAOA++KzrR94Ih6cOtutH3ggnQ0lRLkZFTi5JUV9MQVNUU0FMRVBSSUNFLjIxLzA0LzIwMjQuVVNEAQAAAMvUJAACAAAADTAsNjM5Mjk4ODgxNzgA4D74rOtH3gj9Ig+260feCCdDSVEuRkVOLklRX0xBU1RTQUxFUFJJQ0UuMjAvMDQvMjAyNC5VU0QBAAAAy9QkAAIAAAANMCw2MzkyOTg4ODE3OADgPvis60feCP0iD7brR94IJ0NJUS5G</t>
  </si>
  <si>
    <t>RU4uSVFfTEFTVFNBTEVQUklDRS4xOS8wNC8yMDI0LlVTRAEAAADL1CQAAgAAAA0wLDYzOTI5ODg4MTc4AOA++KzrR94IweYOtutH3ggnQ0lRLkZFTi5JUV9MQVNUU0FMRVBSSUNFLjE4LzA0LzIwMjQuVVNEAQAAAMvUJAACAAAADTAsNjM1NjY0NTE4NjcA4D74rOtH3gj9Ig+260feCCdDSVEuRkVOLklRX0xBU1RTQUxFUFJJQ0UuMjMvMDQvMjAyNC5VU0QBAAAAy9QkAAIAAAAOMCw2NjU1NDcwNTUwNDUA4D74rOtH3ggiYg+260feCCdDSVEuRkVOLklRX0xBU1RTQUxFUFJJQ0UuMjQvMDQvMjAyNC5VU0QBAAAAy9QkAAIAAAAOMCw2NjUwODM3MjU3ODUA4D74rOtH3gj9Ig+260feCCdDSVEuRkVOLklRX0xBU1RTQUxFUFJJQ0UuMjUvMDQvMjAyNC5VU0QBAAAAy9QkAAIAAAANMCw2Njg0NTc1NDk3NADgPvis60feCCJiD7brR94IJ0NJUS5GRU4uSVFfTEFTVFNBTEVQUklDRS4yNi8wNC8yMDI0LlVTRAEAAADL1CQAAgAAAA4wLDY2NjM4NDMzNTM5NQDgPvis60feCP0iD7brR94IJ0NJUS5GRU4uSVFfTEFTVFNBTEVQUklDRS4xNS8wNC8yMDI0LlVTRAEAAADL1CQAAgAAAAwwLDYzNTQxMTA4NTkA4D74rOtH3gj9Ig+260feCCdDSVEuRkVOLklRX0xBU1RTQUxFUFJJQ0UuMjkvMDQvMjAyNC5VU0QBAAAAy9QkAAIAAAANMCw2NzE0NjEwMjM2OQDgPvis60feCCJiD7brR94ILENJUS5FTExBS1RPUi5JUV9MQVNU</t>
  </si>
  <si>
    <t>U0FMRVBSSUNFLjE4LzA0LzIwMjQuVVNEAQAAAL0lrwACAAAADTIsNjg3MTQwMTE2MzYA4D74rOtH3ggiYg+260feCCxDSVEuRUxMQUtUT1IuSVFfTEFTVFNBTEVQUklDRS4xNy8wNC8yMDI0LlVTRAEAAAC9Ja8AAgAAAA4yLDY1NDUzNzcxNzYzNQDgPvis60feCCJiD7brR94ILENJUS5FTExBS1RPUi5JUV9MQVNUU0FMRVBSSUNFLjE2LzA0LzIwMjQuVVNEAQAAAL0lrwACAAAADjIsNjUxNzE2NDQxNDk1AOA++KzrR94IImIPtutH3ggsQ0lRLkVMTEFLVE9SLklRX0xBU1RTQUxFUFJJQ0UuMTUvMDQvMjAyNC5VU0QBAAAAvSWvAAIAAAANMiw2NDc1Mjc5MTAyOQDgPvis60feCEWhD7brR94ILENJUS5FTExBS1RPUi5JUV9MQVNUU0FMRVBSSUNFLjIwLzA0LzIwMjQuVVNEAQAAAL0lrwACAAAADjIsNzA0MDAwMDAwODQ1AOA++KzrR94IImIPtutH3ggsQ0lRLkVMTEFLVE9SLklRX0xBU1RTQUxFUFJJQ0UuMjEvMDQvMjAyNC5VU0QBAAAAvSWvAAIAAAAOMiw3MDQwMDAwMDA4NDUA4D74rOtH3ghFoQ+260feCCxDSVEuRUxMQUtUT1IuSVFfTEFTVFNBTEVQUklDRS4yMi8wNC8yMDI0LlVTRAEAAAC9Ja8AAgAAAA4yLDc3Mjc1MTQ2Mjc3NQDgPvis60feCEWhD7brR94ILENJUS5FTExBS1RPUi5JUV9MQVNUU0FMRVBSSUNFLjIzLzA0LzIwMjQuVVNEAQAAAL0lrwACAAAADTIsNzQ5ODM5NTA0NzcA4D74rOtH3ghF</t>
  </si>
  <si>
    <t>oQ+260feCCxDSVEuRUxMQUtUT1IuSVFfTEFTVFNBTEVQUklDRS4xMi8wNC8yMDI0LlVTRAEAAAC9Ja8AAgAAAAwyLDYwNjEwNTczMzcA4D74rOtH3ghFoQ+260feCCxDSVEuRUxMQUtUT1IuSVFfTEFTVFNBTEVQUklDRS4yNi8wNC8yMDI0LlVTRAEAAAC9Ja8AAgAAAA0yLDc5NzA1MzQ4NDkyAOA++KzrR94IRaEPtutH3ggpQ0lRLkJVU0VSLklRX0xBU1RTQUxFUFJJQ0UuMTgvMDQvMjAyNC5VU0QBAAAAfjnOAgIAAAAMMSw1OTI3NjYyODA4AOA++KzrR94IRaEPtutH3ggpQ0lRLkJVU0VSLklRX0xBU1RTQUxFUFJJQ0UuMTcvMDQvMjAyNC5VU0QBAAAAfjnOAgIAAAALMSw2OTIwMzk2NzUA4D74rOtH3gjk3Q+260feCClDSVEuQlVTRVIuSVFfTEFTVFNBTEVQUklDRS4xNi8wNC8yMDI0LlVTRAEAAAB+Oc4CAgAAAAsxLDQ5Njk1MjYzOQDgPvis60feCEWhD7brR94IKUNJUS5CVVNFUi5JUV9MQVNUU0FMRVBSSUNFLjE1LzA0LzIwMjQuVVNEAQAAAH45zgICAAAADTEsNTI4MDAzMjc3NjQA4D74rOtH3gjk3Q+260feCClDSVEuQlVTRVIuSVFfTEFTVFNBTEVQUklDRS4yMC8wNC8yMDI0LlVTRAEAAAB+Oc4CAgAAAAsxLDUxMjMyODIyNADgPvis60feCOTdD7brR94IKUNJUS5CVVNFUi5JUV9MQVNUU0FMRVBSSUNFLjIxLzA0LzIwMjQuVVNEAQAAAH45zgICAAAACzEsNTEyMzI4MjI0AOA++KzrR94I5N0PtutH</t>
  </si>
  <si>
    <t>3ggpQ0lRLkJVU0VSLklRX0xBU1RTQUxFUFJJQ0UuMjIvMDQvMjAyNC5VU0QBAAAAfjnOAgIAAAANMSw4MzI5NzgyMTEwOQDgPvis60feCOTdD7brR94IKUNJUS5CVVNFUi5JUV9MQVNUU0FMRVBSSUNFLjIzLzA0LzIwMjQuVVNEAQAAAH45zgICAAAADDIsMDc4NTkxMDYyNQDgPvis60feCOTdD7brR94IKUNJUS5CVVNFUi5JUV9MQVNUU0FMRVBSSUNFLjEyLzA0LzIwMjQuVVNEAQAAAH45zgICAAAADDEsNjI0MTQ5NzM0NADgPvis60feCEWhD7brR94IKUNJUS5CVVNFUi5JUV9MQVNUU0FMRVBSSUNFLjI2LzA0LzIwMjQuVVNEAQAAAH45zgICAAAADTEsNzQwMjE2OTg2MjgA4D74rOtH3gjk3Q+260feCCpDSVEuTFlLTyBBLklRX0xBU1RTQUxFUFJJQ0UuMTgvMDQvMjAyNC5VU0QBAAAArWpAIAIAAAANMTEsOTM2NTkzMjc2OADgPvis60feCPYcELbrR94IKkNJUS5MWUtPIEEuSVFfTEFTVFNBTEVQUklDRS4xNy8wNC8yMDI0LlVTRAEAAACtakAgAgAAAAwxMSw5MTcwNTM2MjUA4D74rOtH3gjk3Q+260feCCpDSVEuTFlLTyBBLklRX0xBU1RTQUxFUFJJQ0UuMTYvMDQvMjAyNC5VU0QBAAAArWpAIAIAAAALMTIsNTc1MTMzMjgA4D74rOtH3gj2HBC260feCCpDSVEuTFlLTyBBLklRX0xBU1RTQUxFUFJJQ0UuMTUvMDQvMjAyNC5VU0QBAAAArWpAIAIAAAALMTIsODcxMjY3MDgA4D74rOtH3gj2HBC260feCCpD</t>
  </si>
  <si>
    <t>SVEuTFlLTyBBLklRX0xBU1RTQUxFUFJJQ0UuMjAvMDQvMjAyNC5VU0QBAAAArWpAIAIAAAANMTEsNjk1MzM4MjY1NgDgPvis60feCPYcELbrR94IKkNJUS5MWUtPIEEuSVFfTEFTVFNBTEVQUklDRS4yMS8wNC8yMDI0LlVTRAEAAACtakAgAgAAAA0xMSw2OTUzMzgyNjU2AOA++KzrR94IBVwQtutH3ggqQ0lRLkxZS08gQS5JUV9MQVNUU0FMRVBSSUNFLjIyLzA0LzIwMjQuVVNEAQAAAK1qQCACAAAADTExLDY4ODU1NjcwODQA4D74rOtH3gj2HBC260feCCpDSVEuTFlLTyBBLklRX0xBU1RTQUxFUFJJQ0UuMjMvMDQvMjAyNC5VU0QBAAAArWpAIAIAAAALMTIsMDgzNTQyNzEA4D74rOtH3gj2HBC260feCCpDSVEuTFlLTyBBLklRX0xBU1RTQUxFUFJJQ0UuMTIvMDQvMjAyNC5VU0QBAAAArWpAIAIAAAANMTIsOTkzMTk3ODc1MgDgPvis60feCPYcELbrR94IKkNJUS5MWUtPIEEuSVFfTEFTVFNBTEVQUklDRS4yNi8wNC8yMDI0LlVTRAEAAACtakAgAgAAAAwxMCw4NTM1NTQ1NzkA4D74rOtH3ggFXBC260feCCdDSVEuRENJLklRX0xBU1RTQUxFUFJJQ0UuMTgvMDQvMjAyNC5VU0QBAAAAraoCAAIAAAAFNzEsNjUA4D74rOtH3ggFXBC260feCCdDSVEuRENJLklRX0xBU1RTQUxFUFJJQ0UuMTcvMDQvMjAyNC5VU0QBAAAAraoCAAIAAAAFNzEsOTYA4D74rOtH3ggFXBC260feCCdDSVEuRENJLklRX0xBU1RTQUxF</t>
  </si>
  <si>
    <t>UFJJQ0UuMTYvMDQvMjAyNC5VU0QBAAAAraoCAAIAAAAFNzIsNDUA4D74rOtH3ggFXBC260feCCdDSVEuRENJLklRX0xBU1RTQUxFUFJJQ0UuMTUvMDQvMjAyNC5VU0QBAAAAraoCAAIAAAAFNzIsNDUA4D74rOtH3ggFXBC260feCCdDSVEuRENJLklRX0xBU1RTQUxFUFJJQ0UuMjAvMDQvMjAyNC5VU0QBAAAAraoCAAIAAAAFNzEsOTEA4D74rOtH3ggFXBC260feCCdDSVEuRENJLklRX0xBU1RTQUxFUFJJQ0UuMjEvMDQvMjAyNC5VU0QBAAAAraoCAAIAAAAFNzEsOTEA4D74rOtH3ggFXBC260feCCdDSVEuRENJLklRX0xBU1RTQUxFUFJJQ0UuMjIvMDQvMjAyNC5VU0QBAAAAraoCAAIAAAAFNzIsMDUA4D74rOtH3ggFXBC260feCCdDSVEuRENJLklRX0xBU1RTQUxFUFJJQ0UuMjMvMDQvMjAyNC5VU0QBAAAAraoCAAIAAAAFNzIsNDQA4D74rOtH3ggzmxC260feCCdDSVEuRENJLklRX0xBU1RTQUxFUFJJQ0UuMTIvMDQvMjAyNC5VU0QBAAAAraoCAAIAAAAFNzMsNDcA7mX4rOtH3ggzmxC260feCCdDSVEuRENJLklRX0xBU1RTQUxFUFJJQ0UuMjYvMDQvMjAyNC5VU0QBAAAAraoCAAIAAAAFNzIsMjcA7mX4rOtH3ggzmxC260feCCdDSVEuREdWLklRX0xBU1RTQUxFUFJJQ0UuMTgvMDQvMjAyNC5VU0QBAAAA99G/IgIAAAANNTUsNTU1NTU1NTgwMwDuZfis60feCDObELbrR94IJ0NJUS5ER1YuSVFfTEFTVFNB</t>
  </si>
  <si>
    <t>TEVQUklDRS4xNy8wNC8yMDI0LlVTRAEAAAD30b8iAgAAAA01NSwxMTIyNDYwMDE0AO5l+KzrR94IM5sQtutH3ggnQ0lRLkRHVi5JUV9MQVNUU0FMRVBSSUNFLjE2LzA0LzIwMjQuVVNEAQAAAPfRvyICAAAADTUzLDk5MDg1OTgxMDgA7mX4rOtH3ggzmxC260feCCdDSVEuREdWLklRX0xBU1RTQUxFUFJJQ0UuMTUvMDQvMjAyNC5VU0QBAAAA99G/IgIAAAANNTQsMzMyODAxNjkzMQDuZfis60feCKzYELbrR94IJ0NJUS5ER1YuSVFfTEFTVFNBTEVQUklDRS4yMC8wNC8yMDI0LlVTRAEAAAD30b8iAgAAAA01Niw5NjAwMDAwMTc4AO5l+KzrR94IM5sQtutH3ggnQ0lRLkRHVi5JUV9MQVNUU0FMRVBSSUNFLjIxLzA0LzIwMjQuVVNEAQAAAPfRvyICAAAADTU2LDk2MDAwMDAxNzgA7mX4rOtH3ggzmxC260feCCdDSVEuREdWLklRX0xBU1RTQUxFUFJJQ0UuMjIvMDQvMjAyNC5VU0QBAAAA99G/IgIAAAANNTgsMDA5NTc5NTQ3NQDuZfis60feCDObELbrR94IJ0NJUS5ER1YuSVFfTEFTVFNBTEVQUklDRS4yMy8wNC8yMDI0LlVTRAEAAAD30b8iAgAAAA02MCwzNDY2NzI0MDA0AO5l+KzrR94IrNgQtutH3ggnQ0lRLkRHVi5JUV9MQVNUU0FMRVBSSUNFLjEyLzA0LzIwMjQuVVNEAQAAAPfRvyICAAAADDU0LDI0OTU0NzkyNgDuZfis60feCDObELbrR94IJ0NJUS5ER1YuSVFfTEFTVFNBTEVQUklDRS4yNi8wNC8yMDI0</t>
  </si>
  <si>
    <t>LlVTRAEAAAD30b8iAgAAAA01OSwzNTczMTgyMjk2AO5l+KzrR94IM5sQtutH3ggqQ0lRLjMwMTMwNy5JUV9MQVNUU0FMRVBSSUNFLjE4LzA0LzIwMjQuVVNEAQAAANBWtgQCAAAADTMsMjEwNjU0MjkyNzIA7mX4rOtH3gis2BC260feCCpDSVEuMzAxMzA3LklRX0xBU1RTQUxFUFJJQ0UuMTcvMDQvMjAyNC5VU0QBAAAA0Fa2BAIAAAANMywzMTY4MDIyNjUzNQDuZfis60feCKzYELbrR94IKkNJUS4zMDEzMDcuSVFfTEFTVFNBTEVQUklDRS4xNi8wNC8yMDI0LlVTRAEAAADQVrYEAgAAAA0yLDk4MjcwMzM2NDAyAO5l+KzrR94IrNgQtutH3ggqQ0lRLjMwMTMwNy5JUV9MQVNUU0FMRVBSSUNFLjE1LzA0LzIwMjQuVVNEAQAAANBWtgQCAAAADTMsNDMyOTg0Mjg1ODUA7mX4rOtH3gihFxG260feCCpDSVEuMzAxMzA3LklRX0xBU1RTQUxFUFJJQ0UuMjAvMDQvMjAyNC5VU0QBAAAA0Fa2BAIAAAANMywwODI3NDUxOTE2OADuZfis60feCKEXEbbrR94IKkNJUS4zMDEzMDcuSVFfTEFTVFNBTEVQUklDRS4yMS8wNC8yMDI0LlVTRAEAAADQVrYEAgAAAA0zLDA4Mjc0NTE5MTY4AO5l+KzrR94IoRcRtutH3ggqQ0lRLjMwMTMwNy5JUV9MQVNUU0FMRVBSSUNFLjIyLzA0LzIwMjQuVVNEAQAAANBWtgQCAAAACzMsMDA5NDcwMTYyAO5l+KzrR94IrNgQtutH3ggqQ0lRLjMwMTMwNy5JUV9MQVNUU0FMRVBSSUNFLjIzLzA0</t>
  </si>
  <si>
    <t>LzIwMjQuVVNEAQAAANBWtgQCAAAADTMsMTEyNDA1NDU4MjUA7mX4rOtH3gis2BC260feCCpDSVEuMzAxMzA3LklRX0xBU1RTQUxFUFJJQ0UuMTIvMDQvMjAyNC5VU0QBAAAA0Fa2BAIAAAANMyw1MjQzMDgxODI4NgDuZfis60feCKzYELbrR94IKkNJUS4zMDEzMDcuSVFfTEFTVFNBTEVQUklDRS4yNi8wNC8yMDI0LlVTRAEAAADQVrYEAgAAAA0zLDI0MDIyOTYyMTg0AO5l+KzrR94IoRcRtutH3ggtQ0lRLjA5NDEyNDQ1My5JUV9MQVNUU0FMRVBSSUNFLjE4LzA0LzIwMjQuVVNEAQAAAFPdDgACAAAADDE3LDA2MTIwNzA4OADuZfis60feCKEXEbbrR94ILUNJUS4wOTQxMjQ0NTMuSVFfTEFTVFNBTEVQUklDRS4xNy8wNC8yMDI0LlVTRAEAAABT3Q4AAgAAAAwxNywwMjMwODc1NjgA7mX4rOtH3gihFxG260feCC1DSVEuMDk0MTI0NDUzLklRX0xBU1RTQUxFUFJJQ0UuMTYvMDQvMjAyNC5VU0QBAAAAU90OAAIAAAAMMTcsMDA0OTk1MjE2AO5l+KzrR94IoRcRtutH3ggtQ0lRLjA5NDEyNDQ1My5JUV9MQVNUU0FMRVBSSUNFLjE1LzA0LzIwMjQuVVNEAQAAAFPdDgACAAAADTE3LDU0Mzg1OTY0NjUA7mX4rOtH3gihFxG260feCC1DSVEuMDk0MTI0NDUzLklRX0xBU1RTQUxFUFJJQ0UuMjAvMDQvMjAyNC5VU0QBAAAAU90OAAIAAAAMMTcsMDY2NjY2NjcyAO5l+KzrR94IoRcRtutH3ggtQ0lRLjA5NDEyNDQ1My5J</t>
  </si>
  <si>
    <t>UV9MQVNUU0FMRVBSSUNFLjIxLzA0LzIwMjQuVVNEAQAAAFPdDgACAAAADDE3LDA2NjY2NjY3MgDuZfis60feCKEXEbbrR94ILUNJUS4wOTQxMjQ0NTMuSVFfTEFTVFNBTEVQUklDRS4yMi8wNC8yMDI0LlVTRAEAAABT3Q4AAgAAAAsxNywwMzAzMzUyOADuZfis60feCKEXEbbrR94ILUNJUS4wOTQxMjQ0NTMuSVFfTEFTVFNBTEVQUklDRS4yMy8wNC8yMDI0LlVTRAEAAABT3Q4AAgAAAAwxNywxMTk2MjMzNzYA7mX4rOtH3gjmVhG260feCC1DSVEuMDk0MTI0NDUzLklRX0xBU1RTQUxFUFJJQ0UuMTIvMDQvMjAyNC5VU0QBAAAAU90OAAIAAAAMMTcsNTUxMzI0MzI5AO5l+KzrR94I5lYRtutH3ggtQ0lRLjA5NDEyNDQ1My5JUV9MQVNUU0FMRVBSSUNFLjI2LzA0LzIwMjQuVVNEAQAAAFPdDgACAAAADDE3LDA4MTI0MjY1NgDuZfis60feCOZWEbbrR94IKENJUS5OUkVOLklRX0xBU1RTQUxFUFJJQ0UuMTcvMDQvMjAyNC5VU0QBAAAAA5l3DgIAAAAMMzcsMjc0OTc5NzIyAO5l+KzrR94I5lYRtutH3ggoQ0lRLk5SRU4uSVFfTEFTVFNBTEVQUklDRS4xNi8wNC8yMDI0LlVTRAEAAAADmXcOAgAAAA0zNiw4MDIxNTU1NjY0AO5l+KzrR94I5lYRtutH3ggoQ0lRLk5SRU4uSVFfTEFTVFNBTEVQUklDRS4xNS8wNC8yMDI0LlVTRAEAAAADmXcOAgAAAAwzNiw2NzU3NTM1MDIA7mX4rOtH3gjmVhG260feCChDSVEuTlJF</t>
  </si>
  <si>
    <t>Ti5JUV9MQVNUU0FMRVBSSUNFLjE0LzA0LzIwMjQuVVNEAQAAAAOZdw4CAAAADDM2LDc0Njk2MTUwNADuZfis60feCOZWEbbrR94IKENJUS5OUkVOLklRX0xBU1RTQUxFUFJJQ0UuMTkvMDQvMjAyNC5VU0QBAAAAA5l3DgIAAAANMzgsMjg5NzI1NTkwOADuZfis60feCOZWEbbrR94IKENJUS5OUkVOLklRX0xBU1RTQUxFUFJJQ0UuMjAvMDQvMjAyNC5VU0QBAAAAA5l3DgIAAAANMzgsMjg5NzI1NTkwOADuZfis60feCOZWEbbrR94IKENJUS5OUkVOLklRX0xBU1RTQUxFUFJJQ0UuMjEvMDQvMjAyNC5VU0QBAAAAA5l3DgIAAAANMzgsMjg5NzI1NTkwOADuZfis60feCOZWEbbrR94IKENJUS5OUkVOLklRX0xBU1RTQUxFUFJJQ0UuMjIvMDQvMjAyNC5VU0QBAAAAA5l3DgIAAAANMzgsMDU2MTczOTcxNwDuZfis60feCOZWEbbrR94IKENJUS5OUkVOLklRX0xBU1RTQUxFUFJJQ0UuMTEvMDQvMjAyNC5VU0QBAAAAA5l3DgIAAAAMMzYsMzIxNzM4MTg4AO5l+KzrR94I5lYRtutH3ggoQ0lRLk5SRU4uSVFfTEFTVFNBTEVQUklDRS4yNS8wNC8yMDI0LlVTRAEAAAADmXcOAgAAAA0zNyw3NzcxNjk0NTU1AO5l+KzrR94I5lYRtutH3ggqQ0lRLldJUlRFSy5JUV9MQVNUU0FMRVBSSUNFLjE3LzA0LzIwMjQuVVNEAQAAABw3qQECAAAADDEsNTYxNDE5Mzg5MQDuZfis60feCBiWEbbrR94IKkNJUS5XSVJURUsuSVFfTEFT</t>
  </si>
  <si>
    <t>VFNBTEVQUklDRS4xNi8wNC8yMDI0LlVTRAEAAAAcN6kBAgAAAAsxLDQ5NTY5NjY3MQDuZfis60feCOZWEbbrR94IKkNJUS5XSVJURUsuSVFfTEFTVFNBTEVQUklDRS4xNS8wNC8yMDI0LlVTRAEAAAAcN6kBAgAAAAwxLDQ4MjgwNTg2NDgA7mX4rOtH3ggYlhG260feCCpDSVEuV0lSVEVLLklRX0xBU1RTQUxFUFJJQ0UuMTQvMDQvMjAyNC5VU0QBAAAAHDepAQIAAAALMSw1NDAzNjYxNDYA7mX4rOtH3ggYlhG260feCCpDSVEuV0lSVEVLLklRX0xBU1RTQUxFUFJJQ0UuMTkvMDQvMjAyNC5VU0QBAAAAHDepAQIAAAAMMSw0NjQ5NDcwMzU1AO5l+KzrR94IGJYRtutH3ggqQ0lRLldJUlRFSy5JUV9MQVNUU0FMRVBSSUNFLjIwLzA0LzIwMjQuVVNEAQAAABw3qQECAAAADDEsNDY0OTQ3MDM1NQDuZfis60feCBiWEbbrR94IKkNJUS5XSVJURUsuSVFfTEFTVFNBTEVQUklDRS4yMS8wNC8yMDI0LlVTRAEAAAAcN6kBAgAAAAwxLDQ2NDk0NzAzNTUA7mX4rOtH3ggYlhG260feCCpDSVEuV0lSVEVLLklRX0xBU1RTQUxFUFJJQ0UuMjIvMDQvMjAyNC5VU0QBAAAAHDepAQIAAAAMMSw0NTUyMDMyNzc2AO5l+KzrR94IGJYRtutH3ggqQ0lRLldJUlRFSy5JUV9MQVNUU0FMRVBSSUNFLjExLzA0LzIwMjQuVVNEAQAAABw3qQECAAAADDEsNDkyNTQ4MDIzMgDuZfis60feCBiWEbbrR94IKkNJUS5XSVJURUsuSVFfTEFTVFNB</t>
  </si>
  <si>
    <t>TEVQUklDRS4yNS8wNC8yMDI0LlVTRAEAAAAcN6kBAgAAAAwxLDUzNzYxMjU4NzcA7mX4rOtH3ghL1RG260feCCdDSVEuS1JOLklRX0xBU1RTQUxFUFJJQ0UuMTYvMDQvMjAyNC5VU0QBAAAAwWENAAIAAAAOMTMxLDU3NjE1MDQ4MzgA7mX4rOtH3ghL1RG260feCCdDSVEuS1JOLklRX0xBU1RTQUxFUFJJQ0UuMTUvMDQvMjAyNC5VU0QBAAAAwWENAAIAAAANMTMzLDk3MTI5MTg0NgDuZfis60feCEvVEbbrR94IJ0NJUS5LUk4uSVFfTEFTVFNBTEVQUklDRS4xNC8wNC8yMDI0LlVTRAEAAADBYQ0AAgAAAA4xMzUsOTQyOTg0ODAyOADuZfis60feCEvVEbbrR94IJ0NJUS5LUk4uSVFfTEFTVFNBTEVQUklDRS4xMy8wNC8yMDI0LlVTRAEAAADBYQ0AAgAAAA4xMzUsOTQyOTg0ODAyOADuZfis60feCEvVEbbrR94IJ0NJUS5LUk4uSVFfTEFTVFNBTEVQUklDRS4xOC8wNC8yMDI0LlVTRAEAAADBYQ0AAgAAAA4xMzIsMDExMDg5ODQzNADuZfis60feCEvVEbbrR94IJ0NJUS5LUk4uSVFfTEFTVFNBTEVQUklDRS4xOS8wNC8yMDI0LlVTRAEAAADBYQ0AAgAAAA4xMzAsOTg2NjY2NzA3NgDuZfis60feCEvVEbbrR94IJ0NJUS5LUk4uSVFfTEFTVFNBTEVQUklDRS4yMC8wNC8yMDI0LlVTRAEAAADBYQ0AAgAAAA4xMzAsOTg2NjY2NzA3NgDuZfis60feCBiWEbbrR94IJ0NJUS5LUk4uSVFfTEFTVFNBTEVQUklDRS4yMS8w</t>
  </si>
  <si>
    <t>NC8yMDI0LlVTRAEAAADBYQ0AAgAAAA4xMzAsOTg2NjY2NzA3NgDuZfis60feCFL9EbbrR94IJ0NJUS5LUk4uSVFfTEFTVFNBTEVQUklDRS4xMC8wNC8yMDI0LlVTRAEAAADBYQ0AAgAAAA4xMzYsMjU2MTc4ODUyNADuZfis60feCFL9EbbrR94IJ0NJUS5LUk4uSVFfTEFTVFNBTEVQUklDRS4yNC8wNC8yMDI0LlVTRAEAAADBYQ0AAgAAAA4xMzIsMDc5NTA0MjEwOADuZfis60feCFL9EbbrR94IKENJUS5CUktSLklRX0xBU1RTQUxFUFJJQ0UuMTYvMDQvMjAyNC5VU0QBAAAA1QsIAAIAAAAFODMsODkA7mX4rOtH3gi/JxK260feCChDSVEuQlJLUi5JUV9MQVNUU0FMRVBSSUNFLjE1LzA0LzIwMjQuVVNEAQAAANULCAACAAAABTg1LDc1AO5l+KzrR94IvycStutH3ggoQ0lRLkJSS1IuSVFfTEFTVFNBTEVQUklDRS4xNC8wNC8yMDI0LlVTRAEAAADVCwgAAgAAAAU4Nyw1OADuZfis60feCL8nErbrR94IKENJUS5CUktSLklRX0xBU1RTQUxFUFJJQ0UuMTMvMDQvMjAyNC5VU0QBAAAA1QsIAAIAAAAFODcsNTgA7mX4rOtH3ghS/RG260feCChDSVEuQlJLUi5JUV9MQVNUU0FMRVBSSUNFLjE4LzA0LzIwMjQuVVNEAQAAANULCAACAAAABTc4LDU2AO5l+KzrR94IUv0RtutH3ggoQ0lRLkJSS1IuSVFfTEFTVFNBTEVQUklDRS4xOS8wNC8yMDI0LlVTRAEAAADVCwgAAgAAAAU3Nyw3NgDuZfis60feCFL9EbbrR94IKENJ</t>
  </si>
  <si>
    <t>US5CUktSLklRX0xBU1RTQUxFUFJJQ0UuMjAvMDQvMjAyNC5VU0QBAAAA1QsIAAIAAAAFNzcsNzYA7mX4rOtH3ghS/RG260feCChDSVEuQlJLUi5JUV9MQVNUU0FMRVBSSUNFLjIxLzA0LzIwMjQuVVNEAQAAANULCAACAAAABTc3LDc2AO5l+KzrR94IUv0RtutH3ggoQ0lRLkJSS1IuSVFfTEFTVFNBTEVQUklDRS4xMC8wNC8yMDI0LlVTRAEAAADVCwgAAgAAAAU4OCw1MwDuZfis60feCFL9EbbrR94IKENJUS5CUktSLklRX0xBU1RTQUxFUFJJQ0UuMjQvMDQvMjAyNC5VU0QBAAAA1QsIAAIAAAAEODIsMgDuZfis60feCL8nErbrR94IJ0NJUS5TVEsuSVFfTEFTVFNBTEVQUklDRS4xNi8wNC8yMDI0LlVTRAEAAACC9o4BAgAAAA0wLDA3NjkwODI4NjkyAO5l+KzrR94IFVIStutH3ggnQ0lRLlNUSy5JUV9MQVNUU0FMRVBSSUNFLjE1LzA0LzIwMjQuVVNEAQAAAIL2jgECAAAADTAsMDc3NTQ0NDI2NDgA7mX4rOtH3gi/JxK260feCCdDSVEuU1RLLklRX0xBU1RTQUxFUFJJQ0UuMTQvMDQvMjAyNC5VU0QBAAAAgvaOAQIAAAANMCwwNzc2Nzk5NTg1NgDuZfis60feCBVSErbrR94IJ0NJUS5TVEsuSVFfTEFTVFNBTEVQUklDRS4xMy8wNC8yMDI0LlVTRAEAAACC9o4BAgAAAA0wLDA3NzY3OTk1ODU2AO5l+KzrR94IvycStutH3ggnQ0lRLlNUSy5JUV9MQVNUU0FMRVBSSUNFLjE4LzA0LzIwMjQuVVNEAQAAAIL2jgEC</t>
  </si>
  <si>
    <t>AAAADTAsMDc3Mjc0Nzc2MjgA7mX4rOtH3gi/JxK260feCCdDSVEuU1RLLklRX0xBU1RTQUxFUFJJQ0UuMTkvMDQvMjAyNC5VU0QBAAAAgvaOAQIAAAALMCwwODY3Mjc0ODMA7mX4rOtH3ggVUhK260feCCdDSVEuU1RLLklRX0xBU1RTQUxFUFJJQ0UuMjAvMDQvMjAyNC5VU0QBAAAAgvaOAQIAAAALMCwwODY3Mjc0ODMA7mX4rOtH3gi/JxK260feCCdDSVEuU1RLLklRX0xBU1RTQUxFUFJJQ0UuMjEvMDQvMjAyNC5VU0QBAAAAgvaOAQIAAAALMCwwODY3Mjc0ODMA7mX4rOtH3ggVUhK260feCCdDSVEuU1RLLklRX0xBU1RTQUxFUFJJQ0UuMTAvMDQvMjAyNC5VU0QBAAAAgvaOAQIAAAANMCwwNzgyMTY2NjAxMgDuZfis60feCBVSErbrR94IJ0NJUS5TVEsuSVFfTEFTVFNBTEVQUklDRS4yNC8wNC8yMDI0LlVTRAEAAACC9o4BAgAAAA0wLDA4NDM0OTg1NzI4AO5l+KzrR94IsXwStutH3ggmQ0lRLlBFLklRX0xBU1RTQUxFUFJJQ0UuMTYvMDQvMjAyNC5VU0QBAAAAp2MwAAIAAAANMCwyNjc2NjQwMTY1NwDuZfis60feCLF8ErbrR94IJkNJUS5QRS5JUV9MQVNUU0FMRVBSSUNFLjE1LzA0LzIwMjQuVVNEAQAAAKdjMAACAAAADTAsMjY4ODY5OTQ2ODQA7mX4rOtH3ggVUhK260feCCZDSVEuUEUuSVFfTEFTVFNBTEVQUklDRS4xNC8wNC8yMDI0LlVTRAEAAACnYzAAAgAAAAwwLDI2ODg4NzUzMjIA7mX4rOtH3gix</t>
  </si>
  <si>
    <t>fBK260feCCZDSVEuUEUuSVFfTEFTVFNBTEVQUklDRS4xMy8wNC8yMDI0LlVTRAEAAACnYzAAAgAAAAwwLDI2ODg4NzUzMjIA7mX4rOtH3gixfBK260feCCZDSVEuUEUuSVFfTEFTVFNBTEVQUklDRS4xOC8wNC8yMDI0LlVTRAEAAACnYzAAAgAAAAwwLDI1NDU2MDI2NTQA7mX4rOtH3gixfBK260feCCZDSVEuUEUuSVFfTEFTVFNBTEVQUklDRS4xOS8wNC8yMDI0LlVTRAEAAACnYzAAAgAAAA4wLDI4MDIxNjAyMTA4NQDuZfis60feCLF8ErbrR94IJkNJUS5QRS5JUV9MQVNUU0FMRVBSSUNFLjIwLzA0LzIwMjQuVVNEAQAAAKdjMAACAAAADjAsMjgwMjE2MDIxMDg1AO5l+KzrR94IsXwStutH3ggmQ0lRLlBFLklRX0xBU1RTQUxFUFJJQ0UuMjEvMDQvMjAyNC5VU0QBAAAAp2MwAAIAAAAOMCwyODAyMTYwMjEwODUA7mX4rOtH3gixfBK260feCCZDSVEuUEUuSVFfTEFTVFNBTEVQUklDRS4xMC8wNC8yMDI0LlVTRAEAAACnYzAAAgAAAA0wLDI5NTg0OTM0MzQzAO5l+KzrR94I/aYStutH3ggmQ0lRLlBFLklRX0xBU1RTQUxFUFJJQ0UuMjQvMDQvMjAyNC5VU0QBAAAAp2MwAAIAAAALMCwyOTE1MDA1NzIA7mX4rOtH3gj9phK260feCCpDSVEuTklESE9HLklRX0xBU1RTQUxFUFJJQ0UuMTYvMDQvMjAyNC5VU0QBAAAAEjELcQMAAAAAAO5l+KzrR94I/aYStutH3ggqQ0lRLk5JREhPRy5JUV9MQVNUU0FMRVBSSUNF</t>
  </si>
  <si>
    <t>LjE1LzA0LzIwMjQuVVNEAQAAABIxC3EDAAAAAADuZfis60feCPzRErbrR94IKkNJUS5OSURIT0cuSVFfTEFTVFNBTEVQUklDRS4xNC8wNC8yMDI0LlVTRAEAAAASMQtxAwAAAAAA7mX4rOtH3gj9phK260feCCpDSVEuTklESE9HLklRX0xBU1RTQUxFUFJJQ0UuMTMvMDQvMjAyNC5VU0QBAAAAEjELcQMAAAAAAO5l+KzrR94I/aYStutH3ggqQ0lRLk5JREhPRy5JUV9MQVNUU0FMRVBSSUNFLjE4LzA0LzIwMjQuVVNEAQAAABIxC3EDAAAAAADuZfis60feCP2mErbrR94IKkNJUS5OSURIT0cuSVFfTEFTVFNBTEVQUklDRS4xOS8wNC8yMDI0LlVTRAEAAAASMQtxAwAAAAAA7mX4rOtH3gj9phK260feCCpDSVEuTklESE9HLklRX0xBU1RTQUxFUFJJQ0UuMjAvMDQvMjAyNC5VU0QBAAAAEjELcQMAAAAAAO5l+KzrR94I/aYStutH3ggqQ0lRLk5JREhPRy5JUV9MQVNUU0FMRVBSSUNFLjIxLzA0LzIwMjQuVVNEAQAAABIxC3EDAAAAAADuZfis60feCP2mErbrR94IKkNJUS5OSURIT0cuSVFfTEFTVFNBTEVQUklDRS4xMC8wNC8yMDI0LlVTRAEAAAASMQtxAwAAAAAA7mX4rOtH3gj9phK260feCCpDSVEuTklESE9HLklRX0xBU1RTQUxFUFJJQ0UuMjQvMDQvMjAyNC5VU0QBAAAAEjELcQMAAAAAAO5l+KzrR94I/aYStutH3ggpQ0lRLkFMQkZSLklRX0xBU1RTQUxFUFJJQ0UuMTYvMDQvMjAyNC5VU0QBAAAAInsCAAIA</t>
  </si>
  <si>
    <t>AAANMTc0LDMwMTIwMDk2NADuZfis60feCA9SE7brR94IKUNJUS5BTEJGUi5JUV9MQVNUU0FMRVBSSUNFLjE1LzA0LzIwMjQuVVNEAQAAACJ7AgACAAAADjE3MCw2NTM5MDc0NzA1AO5l+KzrR94I/NEStutH3ggpQ0lRLkFMQkZSLklRX0xBU1RTQUxFUFJJQ0UuMTQvMDQvMjAyNC5VU0QBAAAAInsCAAIAAAANMTY5LDY2MjgwMTg0NwDuZfis60feCA9SE7brR94IKUNJUS5BTEJGUi5JUV9MQVNUU0FMRVBSSUNFLjEzLzA0LzIwMjQuVVNEAQAAACJ7AgACAAAADTE2OSw2NjI4MDE4NDcA7mX4rOtH3ggPUhO260feCClDSVEuQUxCRlIuSVFfTEFTVFNBTEVQUklDRS4xMi8wNC8yMDI0LlVTRAEAAAAiewIAAgAAAA0xNjksNjYyODAxODQ3AO5l+KzrR94ID1ITtutH3ggpQ0lRLkFMQkZSLklRX0xBU1RTQUxFUFJJQ0UuMTcvMDQvMjAyNC5VU0QBAAAAInsCAAIAAAANMTczLDQyMjcwNDU5OQDuZfis60feCA9SE7brR94IKUNJUS5BTEJGUi5JUV9MQVNUU0FMRVBSSUNFLjE4LzA0LzIwMjQuVVNEAQAAACJ7AgACAAAADTE3NCw4NzczNzI2NTIA7mX4rOtH3ggPUhO260feCClDSVEuQUxCRlIuSVFfTEFTVFNBTEVQUklDRS4xOS8wNC8yMDI0LlVTRAEAAAAiewIAAgAAAA0xNzQsOTMzMzMzMzg4AO5l+KzrR94ID1ITtutH3ggpQ0lRLkFMQkZSLklRX0xBU1RTQUxFUFJJQ0UuMjAvMDQvMjAyNC5VU0QBAAAAInsCAAIA</t>
  </si>
  <si>
    <t>AAANMTc0LDkzMzMzMzM4OADuZfis60feCE78ErbrR94IKUNJUS5BTEJGUi5JUV9MQVNUU0FMRVBSSUNFLjA5LzA0LzIwMjQuVVNEAQAAACJ7AgACAAAADTE3MSw1MTU0MTQ2NDIA7mX4rOtH3gj80RK260feCClDSVEuQUxCRlIuSVFfTEFTVFNBTEVQUklDRS4yMy8wNC8yMDI0LlVTRAEAAAAiewIAAgAAAA0xNzQsNDA2MTYzMTQzAO5l+KzrR94ITvwStutH3ggnQ0lRLlk3My5JUV9MQVNUU0FMRVBSSUNFLjE1LzA0LzIwMjQuVVNEAQAAAH24FGwCAAAADjEsOTMzMDE0MzUzNzc4AO5l+KzrR94ITvwStutH3ggnQ0lRLlk3My5JUV9MQVNUU0FMRVBSSUNFLjE0LzA0LzIwMjQuVVNEAQAAAH24FGwCAAAADjEsOTgyNzY3NzkwODY0AO5l+KzrR94ITvwStutH3ggnQ0lRLlk3My5JUV9MQVNUU0FMRVBSSUNFLjEzLzA0LzIwMjQuVVNEAQAAAH24FGwCAAAADjEsOTgyNzY3NzkwODY0AO5l+KzrR94IoycTtutH3ggnQ0lRLlk3My5JUV9MQVNUU0FMRVBSSUNFLjEyLzA0LzIwMjQuVVNEAQAAAH24FGwCAAAADjEsOTgyNzY3NzkwODY0AO5l+KzrR94IoycTtutH3ggnQ0lRLlk3My5JUV9MQVNUU0FMRVBSSUNFLjE3LzA0LzIwMjQuVVNEAQAAAH24FGwCAAAADTEsODI5OTgxOTEzNTYA7mX4rOtH3gijJxO260feCCdDSVEuWTczLklRX0xBU1RTQUxFUFJJQ0UuMTgvMDQvMjAyNC5VU0QBAAAAfbgUbAIAAAAOMSw4MDYz</t>
  </si>
  <si>
    <t>NTUzMDA0NDIA7mX4rOtH3gijJxO260feCCdDSVEuWTczLklRX0xBU1RTQUxFUFJJQ0UuMTkvMDQvMjAyNC5VU0QBAAAAfbgUbAIAAAAOMSw3MzQ0MDAwMDA1NDIA7mX4rOtH3gijJxO260feCCdDSVEuWTczLklRX0xBU1RTQUxFUFJJQ0UuMjAvMDQvMjAyNC5VU0QBAAAAfbgUbAIAAAAOMSw3MzQ0MDAwMDA1NDIA7mX4rOtH3gijJxO260feCCdDSVEuWTczLklRX0xBU1RTQUxFUFJJQ0UuMDkvMDQvMjAyNC5VU0QBAAAAfbgUbAIAAAANMiwzMzM5MTIyODc4NQDuZfis60feCKMnE7brR94IJ0NJUS5ZNzMuSVFfTEFTVFNBTEVQUklDRS4yMy8wNC8yMDI0LlVTRAEAAAB9uBRsAgAAAA4xLDY3NzcyMzA5MDg0OADuZfis60feCKMnE7brR94IKUNJUS5BTEJGUi5JUV9MQVNUU0FMRVBSSUNFLjExLzA0LzIwMjQuVVNEAQAAACJ7AgACAAAADTE3MCwyOTAyNDMwNjIA7mX4rOtH3ggPUhO260feCClDSVEuQUxCRlIuSVFfTEFTVFNBTEVQUklDRS4wOC8wNC8yMDI0LlVTRAEAAAAiewIAAgAAAA0xNzIsNjAwOTU1MjQxAO5l+KzrR94IoycTtutH3ggpQ0lRLkFMQkZSLklRX0xBU1RTQUxFUFJJQ0UuMjIvMDQvMjAyNC5VU0QBAAAAInsCAAIAAAAOMTcyLDk2NDM0MjY4NzUA7mX4rOtH3ggPUhO260feCCdDSVEuR1BJLklRX0xBU1RTQUxFUFJJQ0UuMTQvMDQvMjAyNC5VU0QBAAAAk6AFAAIAAAAGMjY5LDQ0AO5l+Kzr</t>
  </si>
  <si>
    <t>R94ITn0TtutH3ggnQ0lRLkdQSS5JUV9MQVNUU0FMRVBSSUNFLjEzLzA0LzIwMjQuVVNEAQAAAJOgBQACAAAABjI2OSw0NADuZfis60feCA9SE7brR94IJ0NJUS5HUEkuSVFfTEFTVFNBTEVQUklDRS4xMi8wNC8yMDI0LlVTRAEAAACToAUAAgAAAAYyNjksNDQA7mX4rOtH3ghOfRO260feCCdDSVEuR1BJLklRX0xBU1RTQUxFUFJJQ0UuMTEvMDQvMjAyNC5VU0QBAAAAk6AFAAIAAAAGMjcwLDU3AO5l+KzrR94ITn0TtutH3ggnQ0lRLkdQSS5JUV9MQVNUU0FMRVBSSUNFLjE2LzA0LzIwMjQuVVNEAQAAAJOgBQACAAAABjI2OSw2NADuZfis60feCE59E7brR94IJ0NJUS5HUEkuSVFfTEFTVFNBTEVQUklDRS4xNy8wNC8yMDI0LlVTRAEAAACToAUAAgAAAAYyNjUsNzQA7mX4rOtH3ggJqBO260feCCdDSVEuR1BJLklRX0xBU1RTQUxFUFJJQ0UuMTgvMDQvMjAyNC5VU0QBAAAAk6AFAAIAAAAGMjYzLDE2AO5l+KzrR94ITn0TtutH3ggnQ0lRLkdQSS5JUV9MQVNUU0FMRVBSSUNFLjE5LzA0LzIwMjQuVVNEAQAAAJOgBQACAAAABjI2NSw1MwDuZfis60feCAmoE7brR94IJ0NJUS5HUEkuSVFfTEFTVFNBTEVQUklDRS4wOC8wNC8yMDI0LlVTRAEAAACToAUAAgAAAAYyNzgsNjQA7mX4rOtH3ggJqBO260feCCdDSVEuR1BJLklRX0xBU1RTQUxFUFJJQ0UuMjIvMDQvMjAyNC5VU0QBAAAAk6AFAAIAAAAGMjY4LDQyAO5l</t>
  </si>
  <si>
    <t>+KzrR94ICagTtutH3ggpQ0lRLlNNQ1JULklRX0xBU1RTQUxFUFJJQ0UuMTQvMDQvMjAyNC5VU0QBAAAADgoKIgIAAAAMMiwyODMzMzExMjA1AO5l+KzrR94ICagTtutH3ggpQ0lRLlNNQ1JULklRX0xBU1RTQUxFUFJJQ0UuMTMvMDQvMjAyNC5VU0QBAAAADgoKIgIAAAAMMiwyODMzMzExMjA1AO5l+KzrR94ICagTtutH3ggpQ0lRLlNNQ1JULklRX0xBU1RTQUxFUFJJQ0UuMTIvMDQvMjAyNC5VU0QBAAAADgoKIgIAAAAMMiwyODMzMzExMjA1AO5l+KzrR94ICagTtutH3ggpQ0lRLlNNQ1JULklRX0xBU1RTQUxFUFJJQ0UuMTEvMDQvMjAyNC5VU0QBAAAADgoKIgIAAAAJMiwyOTcwODA1AO5l+KzrR94ICagTtutH3ggpQ0lRLlNNQ1JULklRX0xBU1RTQUxFUFJJQ0UuMTYvMDQvMjAyNC5VU0QBAAAADgoKIgIAAAAMMiwyMzE0NTM2NTQ1AO5l+KzrR94IfdITtutH3ggpQ0lRLlNNQ1JULklRX0xBU1RTQUxFUFJJQ0UuMTcvMDQvMjAyNC5VU0QBAAAADgoKIgIAAAAMMiwyMjkyMDM4MzMyAO5l+KzrR94IfdITtutH3ggpQ0lRLlNNQ1JULklRX0xBU1RTQUxFUFJJQ0UuMTgvMDQvMjAyNC5VU0QBAAAADgoKIgIAAAAKMiwyNjg0Njg3NQDuZfis60feCH3SE7brR94IKUNJUS5TTUNSVC5JUV9MQVNUU0FMRVBSSUNFLjE5LzA0LzIwMjQuVVNEAQAAAA4KCiICAAAACjIsMjcwNjY3MTUA7mX4rOtH3gh90hO260feCClD</t>
  </si>
  <si>
    <t>SVEuU01DUlQuSVFfTEFTVFNBTEVQUklDRS4wOC8wNC8yMDI0LlVTRAEAAAAOCgoiAgAAAAsyLDQ4NzM1MjgzMwDuZfis60feCH3SE7brR94IKUNJUS5TTUNSVC5JUV9MQVNUU0FMRVBSSUNFLjIyLzA0LzIwMjQuVVNEAQAAAA4KCiICAAAADDIsMzc0Nzg4ODAyOADuZfis60feCH3SE7brR94IJkNJUS5ERy5JUV9MQVNUU0FMRVBSSUNFLjE0LzA0LzIwMjQuVVNEAQAAAN4SBAACAAAABjE0Nyw3OADuZfis60feCHT6E7brR94IJkNJUS5ERy5JUV9MQVNUU0FMRVBSSUNFLjEzLzA0LzIwMjQuVVNEAQAAAN4SBAACAAAABjE0Nyw3OADuZfis60feCHT6E7brR94IJkNJUS5ERy5JUV9MQVNUU0FMRVBSSUNFLjEyLzA0LzIwMjQuVVNEAQAAAN4SBAACAAAABjE0Nyw3OADuZfis60feCHT6E7brR94IJkNJUS5ERy5JUV9MQVNUU0FMRVBSSUNFLjExLzA0LzIwMjQuVVNEAQAAAN4SBAACAAAABjE1NCwzNwDuZfis60feCHT6E7brR94IJkNJUS5ERy5JUV9MQVNUU0FMRVBSSUNFLjE2LzA0LzIwMjQuVVNEAQAAAN4SBAACAAAABjE0NCw5OQDuZfis60feCH3SE7brR94IJkNJUS5ERy5JUV9MQVNUU0FMRVBSSUNFLjE3LzA0LzIwMjQuVVNEAQAAAN4SBAACAAAABjE0NCw0OQDuZfis60feCHT6E7brR94IJkNJUS5ERy5JUV9MQVNUU0FMRVBSSUNFLjE4LzA0LzIwMjQuVVNEAQAAAN4SBAACAAAABjE0NSw2OADuZfis60fe</t>
  </si>
  <si>
    <t>CHT6E7brR94IJkNJUS5ERy5JUV9MQVNUU0FMRVBSSUNFLjE5LzA0LzIwMjQuVVNEAQAAAN4SBAACAAAABjE0NCw4MgDuZfis60feCHT6E7brR94IJkNJUS5ERy5JUV9MQVNUU0FMRVBSSUNFLjA4LzA0LzIwMjQuVVNEAQAAAN4SBAACAAAABjE1Niw3NADuZfis60feCH3SE7brR94IJkNJUS5ERy5JUV9MQVNUU0FMRVBSSUNFLjIyLzA0LzIwMjQuVVNEAQAAAN4SBAACAAAABjE0Miw4NQDuZfis60feCHT6E7brR94IKkNJUS5PQkVMLklRX0VCSVREQS4yMDAwLjAxLzAxLzIwMjQuLi5VU0QuSAEAAAClEAIAAgAAAAo1MDUsMDMxNTAyAQgAAAAFAAAAATEBAAAACy0xOTUyMzk0MjIwAwAAAAMxNjACAAAABDQwNTEEAAAAATAHAAAACDEvMS8yMDI0CAAAAAoxMi8zMS8yMDIzCQAAAAEw7mX4rOtH3ggGgga260feCDFDSVEuT0JFTC5JUV9FQklUREFfTUFSR0lOLjIwMDAuMDEvMDEvMjAyNC4uLlVTRC5IAQAAAKUQAgACAAAABzI2LDExNjQBCAAAAAUAAAABMQEAAAALLTE5NTIzOTQyMjADAAAAAjUwAgAAAAQ0MDQ3BAAAAAEwBwAAAAgxLzEvMjAyNAgAAAAKMTIvMzEvMjAyMwkAAAABMO5l+KzrR94IBoIGtutH3ggwQ0lRLk9CRUwuSVFfVE9UQUxfQVNTRVRTLjIwMDAuMDEvMDEvMjAyNC4uLlVTRC5IAQAAAKUQAgACAAAACzQ1NTksOTgwMTAzAQgAAAAFAAAAATEBAAAACy0xOTUyMzk0MjIwAwAAAAMxNjACAAAA</t>
  </si>
  <si>
    <t>BDEwMDcEAAAAATAHAAAACDEvMS8yMDI0CAAAAAoxMi8zMS8yMDIzCQAAAAEw7mX4rOtH3ggWqQa260feCC5DSVEuT0JFTC5JUV9DQVNIX0VRVUlWLjIwMDAuMDEvMDEvMjAyNC4uLlVTRC5IAQAAAKUQAgACAAAACTUyLDc0MzQ1MQEIAAAABQAAAAExAQAAAAstMTk1MjM5NDIyMAMAAAADMTYwAgAAAAQxMDk2BAAAAAEwBwAAAAgxLzEvMjAyNAgAAAAKMTIvMzEvMjAyMwkAAAABMO5l+KzrR94IFqkGtutH3ggsQ0lRLk9CRUwuSVFfTkVUX0RFQlQuMjAwMC4wMS8wMS8yMDI0Li4uVVNELkgBAAAApRACAAIAAAALMjY4NCw2NDU3MzgBCAAAAAUAAAABMQEAAAALLTE5NTIzOTQyMjADAAAAAzE2MAIAAAAENDM2NAQAAAABMAcAAAAIMS8xLzIwMjQIAAAACjEyLzMxLzIwMjMJAAAAATDuZfis60feCBapBrbrR94IKkNJUS5TU1RZLklRX0VCSVREQS4yMDAwLjAxLzAxLzIwMjQuLi5VU0QuSAEAAACcVgoAAgAAAAktNSw4NjU5MDkBCAAAAAUAAAABMQEAAAAKMTQ4MjI2OTcwMAMAAAADMTYwAgAAAAQ0MDUxBAAAAAEwBwAAAAgxLzEvMjAyNAgAAAAKMTIvMzEvMjAwNAkAAAABMO5l+KzrR94IFqkGtutH3ggxQ0lRLlNTVFkuSVFfRUJJVERBX01BUkdJTi4yMDAwLjAxLzAxLzIwMjQuLi5VU0QuSAEAAACcVgoAAwAAAAJOTQEIAAAABQAAAAExAQAAAAoxNDgyMjY5NzAwAwAAAAMxNjACAAAABDQwNDcEAAAAATAHAAAA</t>
  </si>
  <si>
    <t>CDEvMS8yMDI0CAAAAAoxMi8zMS8yMDA0CQAAAAEw7mX4rOtH3gg49wa260feCDBDSVEuU1NUWS5JUV9UT1RBTF9BU1NFVFMuMjAwMC4wMS8wMS8yMDI0Li4uVVNELkgBAAAAnFYKAAIAAAAIMCwwMzg3NjUBCAAAAAUAAAABMQEAAAAKMTQ4MjI2OTcwMAMAAAADMTYwAgAAAAQxMDA3BAAAAAEwBwAAAAgxLzEvMjAyNAgAAAAKMTIvMzEvMjAwNAkAAAABMO5l+KzrR94IOPcGtutH3gguQ0lRLlNTVFkuSVFfQ0FTSF9FUVVJVi4yMDAwLjAxLzAxLzIwMjQuLi5VU0QuSAEAAACcVgoAAgAAAAgwLDAyNjk3NAEIAAAABQAAAAExAQAAAAoxNDgyMjY5NzAwAwAAAAMxNjACAAAABDEwOTYEAAAAATAHAAAACDEvMS8yMDI0CAAAAAoxMi8zMS8yMDA0CQAAAAEw7mX4rOtH3ggn0Aa260feCCxDSVEuU1NUWS5JUV9ORVRfREVCVC4yMDAwLjAxLzAxLzIwMjQuLi5VU0QuSAEAAACcVgoAAgAAAAgwLDcwODc3MgEIAAAABQAAAAExAQAAAAoxNDgyMjY5NzAwAwAAAAMxNjACAAAABDQzNjQEAAAAATAHAAAACDEvMS8yMDI0CAAAAAoxMi8zMS8yMDA0CQAAAAEw7mX4rOtH3ggn0Aa260feCClDSVEuTkFSLklRX0VCSVREQS4yMDAwLjAxLzAxLzIwMjQuLi5VU0QuSAEAAAC7Yw0AAgAAAAktMCwyOTU1MTEBCAAAAAUAAAABMQEAAAALLTE5NTQyMDYyMjYDAAAAAzE2MAIAAAAENDA1MQQAAAABMAcAAAAIMS8xLzIwMjQIAAAACjEy</t>
  </si>
  <si>
    <t>LzMxLzIwMjMJAAAAATAGPy2u60feCFpFB7brR94IMENJUS5OQVIuSVFfRUJJVERBX01BUkdJTi4yMDAwLjAxLzAxLzIwMjQuLi5VU0QuSAEAAAC7Yw0AAgAAAActMCwzNjk2AQgAAAAFAAAAATEBAAAACy0xOTU0MjA2MjI2AwAAAAI1NQIAAAAENDA0NwQAAAABMAcAAAAIMS8xLzIwMjQIAAAACjEyLzMxLzIwMjMJAAAAATAGPy2u60feCFpFB7brR94IL0NJUS5OQVIuSVFfVE9UQUxfQVNTRVRTLjIwMDAuMDEvMDEvMjAyNC4uLlVTRC5IAQAAALtjDQACAAAACTM5LDI3NDk3OAEIAAAABQAAAAExAQAAAAstMTk1NDIwNjIyNgMAAAADMTYwAgAAAAQxMDA3BAAAAAEwBwAAAAgxLzEvMjAyNAgAAAAKMTIvMzEvMjAyMwkAAAABMAY/La7rR94IWkUHtutH3ggtQ0lRLk5BUi5JUV9DQVNIX0VRVUlWLjIwMDAuMDEvMDEvMjAyNC4uLlVTRC5IAQAAALtjDQACAAAACDMsMjI3Njk3AQgAAAAFAAAAATEBAAAACy0xOTU0MjA2MjI2AwAAAAMxNjACAAAABDEwOTYEAAAAATAHAAAACDEvMS8yMDI0CAAAAAoxMi8zMS8yMDIzCQAAAAEwBj8trutH3ghaRQe260feCCtDSVEuTkFSLklRX05FVF9ERUJULjIwMDAuMDEvMDEvMjAyNC4uLlVTRC5IAQAAALtjDQACAAAACS0zLDIyNzY5NwEIAAAABQAAAAExAQAAAAstMTk1NDIwNjIyNgMAAAADMTYwAgAAAAQ0MzY0BAAAAAEwBwAAAAgxLzEvMjAyNAgAAAAKMTIvMzEvMjAyMwkA</t>
  </si>
  <si>
    <t>AAABMAY/La7rR94IaWwHtutH3ggpQ0lRLktCTC5JUV9FQklUREEuMjAwMC4wMS8wMS8yMDI0Li4uVVNELkgBAAAAWqk2AQIAAAAJNDIsMjI0NTQ0AQgAAAAFAAAAATEBAAAACy0xOTU1MDE5NDk1AwAAAAMxNjACAAAABDQwNTEEAAAAATAHAAAACDEvMS8yMDI0CAAAAAoxMi8zMS8yMDIzCQAAAAEw7mX4rOtH3ghpbAe260feCDBDSVEuS0JMLklRX0VCSVREQV9NQVJHSU4uMjAwMC4wMS8wMS8yMDI0Li4uVVNELkgBAAAAWqk2AQIAAAAHMTcsMzc3OQEIAAAABQAAAAExAQAAAAstMTk1NTAxOTQ5NQMAAAACMjcCAAAABDQwNDcEAAAAATAHAAAACDEvMS8yMDI0CAAAAAoxMi8zMS8yMDIzCQAAAAEw7mX4rOtH3gh5kwe260feCC9DSVEuS0JMLklRX1RPVEFMX0FTU0VUUy4yMDAwLjAxLzAxLzIwMjQuLi5VU0QuSAEAAABaqTYBAgAAAAoyNzYsMTY4MTkzAQgAAAAFAAAAATEBAAAACy0xOTU1MDE5NDk1AwAAAAMxNjACAAAABDEwMDcEAAAAATAHAAAACDEvMS8yMDI0CAAAAAoxMi8zMS8yMDIzCQAAAAEw7mX4rOtH3gh5kwe260feCC1DSVEuS0JMLklRX0NBU0hfRVFVSVYuMjAwMC4wMS8wMS8yMDI0Li4uVVNELkgBAAAAWqk2AQIAAAAINCw0MzUwMDUBCAAAAAUAAAABMQEAAAALLTE5NTUwMTk0OTUDAAAAAzE2MAIAAAAEMTA5NgQAAAABMAcAAAAIMS8xLzIwMjQIAAAACjEyLzMxLzIwMjMJAAAAATDuZfis60fe</t>
  </si>
  <si>
    <t>CGlsB7brR94IK0NJUS5LQkwuSVFfTkVUX0RFQlQuMjAwMC4wMS8wMS8yMDI0Li4uVVNELkgBAAAAWqk2AQIAAAAJODksMTE1MDQ0AQgAAAAFAAAAATEBAAAACy0xOTU1MDE5NDk1AwAAAAMxNjACAAAABDQzNjQEAAAAATAHAAAACDEvMS8yMDI0CAAAAAoxMi8zMS8yMDIzCQAAAAEw7mX4rOtH3ghpbAe260feCClDSVEuU0JDLklRX0VCSVREQS4yMDAwLjAxLzAxLzIwMjQuLi5VU0QuSAEAAABUl79sAgAAAAk4Miw5MDcwMDgBCAAAAAUAAAABMQEAAAALLTE5NTM4OTMxNzQDAAAAAzE2MAIAAAAENDA1MQQAAAABMAcAAAAIMS8xLzIwMjQIAAAACjEyLzMxLzIwMjMJAAAAATDuZfis60feCIi6B7brR94IMENJUS5TQkMuSVFfRUJJVERBX01BUkdJTi4yMDAwLjAxLzAxLzIwMjQuLi5VU0QuSAEAAABUl79sAgAAAAc0Miw4MzY2AQgAAAAFAAAAATEBAAAACy0xOTUzODkzMTc0AwAAAAMxNjACAAAABDQwNDcEAAAAATAHAAAACDEvMS8yMDI0CAAAAAoxMi8zMS8yMDIzCQAAAAEw7mX4rOtH3giIuge260feCC9DSVEuU0JDLklRX1RPVEFMX0FTU0VUUy4yMDAwLjAxLzAxLzIwMjQuLi5VU0QuSAEAAABUl79sAgAAAAoyNTgsODA1MjcxAQgAAAAFAAAAATEBAAAACy0xOTUzODkzMTc0AwAAAAMxNjACAAAABDEwMDcEAAAAATAHAAAACDEvMS8yMDI0CAAAAAoxMi8zMS8yMDIzCQAAAAEw7mX4rOtH3giIuge260feCC1D</t>
  </si>
  <si>
    <t>SVEuU0JDLklRX0NBU0hfRVFVSVYuMjAwMC4wMS8wMS8yMDI0Li4uVVNELkgBAAAAVJe/bAIAAAAKMTAzLDAyMjkzMgEIAAAABQAAAAExAQAAAAstMTk1Mzg5MzE3NAMAAAADMTYwAgAAAAQxMDk2BAAAAAEwBwAAAAgxLzEvMjAyNAgAAAAKMTIvMzEvMjAyMwkAAAABMO5l+KzrR94IiLoHtutH3ggrQ0lRLlNCQy5JUV9ORVRfREVCVC4yMDAwLjAxLzAxLzIwMjQuLi5VU0QuSAEAAABUl79sAgAAAAotODAsMTU2NDQzAQgAAAAFAAAAATEBAAAACy0xOTUzODkzMTc0AwAAAAMxNjACAAAABDQzNjQEAAAAATAHAAAACDEvMS8yMDI0CAAAAAoxMi8zMS8yMDIzCQAAAAEw7mX4rOtH3giY4Qe260feCClDSVEuUkhSLklRX0VCSVREQS4yMDAwLjAxLzAxLzIwMjQuLi5VU0QuSAEAAADovUInAwAAAAAA7mX4rOtH3gioCAi260feCDBDSVEuUkhSLklRX0VCSVREQV9NQVJHSU4uMjAwMC4wMS8wMS8yMDI0Li4uVVNELkgBAAAA6L1CJwMAAAAAAO5l+KzrR94IuC8ItutH3ggvQ0lRLlJIUi5JUV9UT1RBTF9BU1NFVFMuMjAwMC4wMS8wMS8yMDI0Li4uVVNELkgBAAAA6L1CJwIAAAAFNSwxOTcBCAAAAAUAAAABMQEAAAALLTE5ODg1MDYyNDUDAAAAAzE2MAIAAAAEMTAwNwQAAAABMAcAAAAIMS8xLzIwMjQIAAAACjEyLzMxLzIwMjMJAAAAATDuZfis60feCLgvCLbrR94ILUNJUS5SSFIuSVFfQ0FTSF9FUVVJVi4yMDAwLjAx</t>
  </si>
  <si>
    <t>LzAxLzIwMjQuLi5VU0QuSAEAAADovUInAgAAAAUwLDc2NgEIAAAABQAAAAExAQAAAAstMTk4ODUwNjI0NQMAAAADMTYwAgAAAAQxMDk2BAAAAAEwBwAAAAgxLzEvMjAyNAgAAAAKMTIvMzEvMjAyMwkAAAABMO5l+KzrR94IuC8ItutH3ggrQ0lRLlJIUi5JUV9ORVRfREVCVC4yMDAwLjAxLzAxLzIwMjQuLi5VU0QuSAEAAADovUInAgAAAAYtMCw1NjMBCAAAAAUAAAABMQEAAAALLTE5ODg1MDYyNDUDAAAAAzE2MAIAAAAENDM2NAQAAAABMAcAAAAIMS8xLzIwMjQIAAAACjEyLzMxLzIwMjMJAAAAATDuZfis60feCLgvCLbrR94IKkNJUS5IT0xYLklRX0VCSVREQS4yMDAwLjAxLzAxLzIwMjQuLi5VU0QuSAEAAAAAqAEAAgAAAAYxMjIyLDcBCAAAAAUAAAABMQEAAAALLTE5NjA3MzcxNTUDAAAAAzE2MAIAAAAENDA1MQQAAAABMAcAAAAIMS8xLzIwMjQIAAAACjEyLzMwLzIwMjMJAAAAATDuZfis60feCMhWCLbrR94IMUNJUS5IT0xYLklRX0VCSVREQV9NQVJHSU4uMjAwMC4wMS8wMS8yMDI0Li4uVVNELkgBAAAAAKgBAAIAAAAHMzAsODAzOQEIAAAABQAAAAExAQAAAAstMTk2MDczNzE1NQMAAAADMTYwAgAAAAQ0MDQ3BAAAAAEwBwAAAAgxLzEvMjAyNAgAAAAKMTIvMzAvMjAyMwkAAAABMO5l+KzrR94IyFYItutH3ggwQ0lRLkhPTFguSVFfVE9UQUxfQVNTRVRTLjIwMDAuMDEvMDEvMjAyNC4uLlVTRC5IAQAA</t>
  </si>
  <si>
    <t>AACoAQACAAAABjg0NjksNQEIAAAABQAAAAExAQAAAAstMTk2MDczNzE1NQMAAAADMTYwAgAAAAQxMDA3BAAAAAEwBwAAAAgxLzEvMjAyNAgAAAAKMTIvMzAvMjAyMwkAAAABMO5l+KzrR94IyFYItutH3gguQ0lRLkhPTFguSVFfQ0FTSF9FUVVJVi4yMDAwLjAxLzAxLzIwMjQuLi5VU0QuSAEAAAAAqAEAAgAAAAYxOTMyLDEBCAAAAAUAAAABMQEAAAALLTE5NjA3MzcxNTUDAAAAAzE2MAIAAAAEMTA5NgQAAAABMAcAAAAIMS8xLzIwMjQIAAAACjEyLzMwLzIwMjMJAAAAATDuZfis60feCNh9CLbrR94ILENJUS5IT0xYLklRX05FVF9ERUJULjIwMDAuMDEvMDEvMjAyNC4uLlVTRC5IAQAAAACoAQACAAAABTYzOSw5AQgAAAAFAAAAATEBAAAACy0xOTYwNzM3MTU1AwAAAAMxNjACAAAABDQzNjQEAAAAATAHAAAACDEvMS8yMDI0CAAAAAoxMi8zMC8yMDIzCQAAAAEw7mX4rOtH3gjYfQi260feCClDSVEuU0dILklRX0VCSVREQS4yMDAwLjAxLzAxLzIwMjQuLi5VU0QuSAEAAAC1u2EOAgAAAAsxMDEzLDc2OTU5NwEIAAAABQAAAAExAQAAAAstMTk2MDQ0OTU2OQMAAAADMTYwAgAAAAQ0MDUxBAAAAAEwBwAAAAgxLzEvMjAyNAgAAAAKMTIvMzEvMjAyMwkAAAABMO5l+KzrR94I2H0ItutH3ggwQ0lRLlNHSC5JUV9FQklUREFfTUFSR0lOLjIwMDAuMDEvMDEvMjAyNC4uLlVTRC5IAQAAALW7YQ4CAAAABzE0LDM4OTUB</t>
  </si>
  <si>
    <t>CAAAAAUAAAABMQEAAAALLTE5NjA0NDk1NjkDAAAAATkCAAAABDQwNDcEAAAAATAHAAAACDEvMS8yMDI0CAAAAAoxMi8zMS8yMDIzCQAAAAEw7mX4rOtH3gjYfQi260feCC9DSVEuU0dILklRX1RPVEFMX0FTU0VUUy4yMDAwLjAxLzAxLzIwMjQuLi5VU0QuSAEAAAC1u2EOAgAAAAs5Mjk1LDM2NDY4NQEIAAAABQAAAAExAQAAAAstMTk2MDQ0OTU2OQMAAAADMTYwAgAAAAQxMDA3BAAAAAEwBwAAAAgxLzEvMjAyNAgAAAAKMTIvMzEvMjAyMwkAAAABMO5l+KzrR94I56QItutH3ggtQ0lRLlNHSC5JUV9DQVNIX0VRVUlWLjIwMDAuMDEvMDEvMjAyNC4uLlVTRC5IAQAAALW7YQ4CAAAACjcyNiw5OTM4NjUBCAAAAAUAAAABMQEAAAALLTE5NjA0NDk1NjkDAAAAAzE2MAIAAAAEMTA5NgQAAAABMAcAAAAIMS8xLzIwMjQIAAAACjEyLzMxLzIwMjMJAAAAATDuZfis60feCOekCLbrR94IK0NJUS5TR0guSVFfTkVUX0RFQlQuMjAwMC4wMS8wMS8yMDI0Li4uVVNELkgBAAAAtbthDgIAAAALMzI0OCwzMjk5MjMBCAAAAAUAAAABMQEAAAALLTE5NjA0NDk1NjkDAAAAAzE2MAIAAAAENDM2NAQAAAABMAcAAAAIMS8xLzIwMjQIAAAACjEyLzMxLzIwMjMJAAAAATDuZfis60feCOekCLbrR94IKENJUS5QRS5JUV9FQklUREEuMjAwMC4wMS8wMS8yMDI0Li4uVVNELkgBAAAAp2MwAAMAAAAAAPuM+KzrR94IFVIStutH3ggvQ0lR</t>
  </si>
  <si>
    <t>LlBFLklRX0VCSVREQV9NQVJHSU4uMjAwMC4wMS8wMS8yMDI0Li4uVVNELkgBAAAAp2MwAAMAAAAAAPuM+KzrR94IFVIStutH3gguQ0lRLlBFLklRX1RPVEFMX0FTU0VUUy4yMDAwLjAxLzAxLzIwMjQuLi5VU0QuSAEAAACnYzAAAgAAAAgyNywyNTEyNAEIAAAABQAAAAExAQAAAAstMTk1Nzg0Nzk5OQMAAAADMTYwAgAAAAQxMDA3BAAAAAEwBwAAAAgxLzEvMjAyNAgAAAAKMTIvMzEvMjAyMwkAAAABMPuM+KzrR94IFVIStutH3ggsQ0lRLlBFLklRX0NBU0hfRVFVSVYuMjAwMC4wMS8wMS8yMDI0Li4uVVNELkgBAAAAp2MwAAIAAAAIMCw1MDAwNzQBCAAAAAUAAAABMQEAAAALLTE5NTc4NDc5OTkDAAAAAzE2MAIAAAAEMTA5NgQAAAABMAcAAAAIMS8xLzIwMjQIAAAACjEyLzMxLzIwMjMJAAAAATD7jPis60feCBVSErbrR94IKkNJUS5QRS5JUV9ORVRfREVCVC4yMDAwLjAxLzAxLzIwMjQuLi5VU0QuSAEAAACnYzAAAgAAAAktMCw1MDAwNzQBCAAAAAUAAAABMQEAAAALLTE5NTc4NDc5OTkDAAAAAzE2MAIAAAAENDM2NAQAAAABMAcAAAAIMS8xLzIwMjQIAAAACjEyLzMxLzIwMjMJAAAAATD7jPis60feCBVSErbrR94IKUNJUS5CRlQuSVFfRUJJVERBLjIwMDAuMDEvMDEvMjAyNC4uLlVTRC5IAQAAAFb4kwcCAAAACjE2Miw0NjQ3MDgBCAAAAAUAAAABMQEAAAALLTE5NTIxNDI3NzQDAAAAAzE2MAIAAAAENDA1</t>
  </si>
  <si>
    <t>MQQAAAABMAcAAAAIMS8xLzIwMjQIAAAACjEyLzMxLzIwMjMJAAAAATDuZfis60feCBcaCbbrR94IMENJUS5CRlQuSVFfRUJJVERBX01BUkdJTi4yMDAwLjAxLzAxLzIwMjQuLi5VU0QuSAEAAABW+JMHAgAAAAcyMywwMjQzAQgAAAAFAAAAATEBAAAACy0xOTUyMTQyNzc0AwAAAAMxMjYCAAAABDQwNDcEAAAAATAHAAAACDEvMS8yMDI0CAAAAAoxMi8zMS8yMDIzCQAAAAEw7mX4rOtH3ggXGgm260feCC9DSVEuQkZULklRX1RPVEFMX0FTU0VUUy4yMDAwLjAxLzAxLzIwMjQuLi5VU0QuSAEAAABW+JMHAgAAAAo3MTIsMzAzOTU2AQgAAAAFAAAAATEBAAAACy0xOTUyMTQyNzc0AwAAAAMxNjACAAAABDEwMDcEAAAAATAHAAAACDEvMS8yMDI0CAAAAAoxMi8zMS8yMDIzCQAAAAEw7mX4rOtH3ghbSAq260feCC1DSVEuQkZULklRX0NBU0hfRVFVSVYuMjAwMC4wMS8wMS8yMDI0Li4uVVNELkgBAAAAVviTBwIAAAAKMTEwLDM5MTQ1NAEIAAAABQAAAAExAQAAAAstMTk1MjE0Mjc3NAMAAAADMTYwAgAAAAQxMDk2BAAAAAEwBwAAAAgxLzEvMjAyNAgAAAAKMTIvMzEvMjAyMwkAAAABMO5l+KzrR94IW0gKtutH3ggrQ0lRLkJGVC5JUV9ORVRfREVCVC4yMDAwLjAxLzAxLzIwMjQuLi5VU0QuSAEAAABW+JMHAgAAAAoxNzUsMjQwMjM5AQgAAAAFAAAAATEBAAAACy0xOTUyMTQyNzc0AwAAAAMxNjACAAAABDQzNjQEAAAA</t>
  </si>
  <si>
    <t>ATAHAAAACDEvMS8yMDI0CAAAAAoxMi8zMS8yMDIzCQAAAAEw7mX4rOtH3ghbSAq260feCCpDSVEuQVpSTi5JUV9FQklUREEuMjAwMC4wMS8wMS8yMDI0Li4uVVNELkgBAAAA/FB6JAIAAAAJNTMsMjc3MzI5AQgAAAAFAAAAATEBAAAACy0xOTQ3MzUyOTQxAwAAAAMxNjACAAAABDQwNTEEAAAAATAHAAAACDEvMS8yMDI0CAAAAAoxMi8zMS8yMDIzCQAAAAEw7mX4rOtH3ghbSAq260feCDFDSVEuQVpSTi5JUV9FQklUREFfTUFSR0lOLjIwMDAuMDEvMDEvMjAyNC4uLlVTRC5IAQAAAPxQeiQCAAAABjksMzU5MgEIAAAABQAAAAExAQAAAAstMTk0NzM1Mjk0MQMAAAACNTACAAAABDQwNDcEAAAAATAHAAAACDEvMS8yMDI0CAAAAAoxMi8zMS8yMDIzCQAAAAEw7mX4rOtH3gjEhQq260feCDBDSVEuQVpSTi5JUV9UT1RBTF9BU1NFVFMuMjAwMC4wMS8wMS8yMDI0Li4uVVNELkgBAAAA/FB6JAIAAAAKNzIwLDY4MDg4OAEIAAAABQAAAAExAQAAAAstMTk0NzM1Mjk0MQMAAAADMTYwAgAAAAQxMDA3BAAAAAEwBwAAAAgxLzEvMjAyNAgAAAAKMTIvMzEvMjAyMwkAAAABMPuM+KzrR94IxIUKtutH3gguQ0lRLkFaUk4uSVFfQ0FTSF9FUVVJVi4yMDAwLjAxLzAxLzIwMjQuLi5VU0QuSAEAAAD8UHokAgAAAAk0NCw1NDUxNTMBCAAAAAUAAAABMQEAAAALLTE5NDczNTI5NDEDAAAAAzE2MAIAAAAEMTA5NgQAAAABMAcAAAAI</t>
  </si>
  <si>
    <t>MS8xLzIwMjQIAAAACjEyLzMxLzIwMjMJAAAAATD7jPis60feCMSFCrbrR94ILENJUS5BWlJOLklRX05FVF9ERUJULjIwMDAuMDEvMDEvMjAyNC4uLlVTRC5IAQAAAPxQeiQCAAAACjE1OSw1MDAzODcBCAAAAAUAAAABMQEAAAALLTE5NDczNTI5NDEDAAAAAzE2MAIAAAAENDM2NAQAAAABMAcAAAAIMS8xLzIwMjQIAAAACjEyLzMxLzIwMjMJAAAAATD7jPis60feCMSFCrbrR94ILENJUS5FUFJPIEIuSVFfRUJJVERBLjIwMDAuMDEvMDEvMjAyNC4uLlVTRC5IAQAAAGJyUgACAAAACjE0Nyw3NjI0ODMBCAAAAAUAAAABMQEAAAALLTE5NTI0NTU5OTUDAAAAAzE2MAIAAAAENDA1MQQAAAABMAcAAAAIMS8xLzIwMjQIAAAACjEyLzMxLzIwMjMJAAAAATD7jPis60feCEjBCrbrR94IM0NJUS5FUFJPIEIuSVFfRUJJVERBX01BUkdJTi4yMDAwLjAxLzAxLzIwMjQuLi5VU0QuSAEAAABiclIAAgAAAAcxMiw1NDIyAQgAAAAFAAAAATEBAAAACy0xOTUyNDU1OTk1AwAAAAMxMzcCAAAABDQwNDcEAAAAATAHAAAACDEvMS8yMDI0CAAAAAoxMi8zMS8yMDIzCQAAAAEw+4z4rOtH3ghIwQq260feCDJDSVEuRVBSTyBCLklRX1RPVEFMX0FTU0VUUy4yMDAwLjAxLzAxLzIwMjQuLi5VU0QuSAEAAABiclIAAgAAAAsxMTI4LDMwNDc3NAEIAAAABQAAAAExAQAAAAstMTk1MjQ1NTk5NQMAAAADMTYwAgAAAAQxMDA3BAAAAAEwBwAA</t>
  </si>
  <si>
    <t>AAgxLzEvMjAyNAgAAAAKMTIvMzEvMjAyMwkAAAABMPuM+KzrR94ISMEKtutH3ggwQ0lRLkVQUk8gQi5JUV9DQVNIX0VRVUlWLjIwMDAuMDEvMDEvMjAyNC4uLlVTRC5IAQAAAGJyUgACAAAACTk1LDM1OTUwMwEIAAAABQAAAAExAQAAAAstMTk1MjQ1NTk5NQMAAAADMTYwAgAAAAQxMDk2BAAAAAEwBwAAAAgxLzEvMjAyNAgAAAAKMTIvMzEvMjAyMwkAAAABMPuM+KzrR94ISMEKtutH3gguQ0lRLkVQUk8gQi5JUV9ORVRfREVCVC4yMDAwLjAxLzAxLzIwMjQuLi5VU0QuSAEAAABiclIAAgAAAAoxMjYsMDg1MzQ5AQgAAAAFAAAAATEBAAAACy0xOTUyNDU1OTk1AwAAAAMxNjACAAAABDQzNjQEAAAAATAHAAAACDEvMS8yMDI0CAAAAAoxMi8zMS8yMDIzCQAAAAEw+4z4rOtH3ghIwQq260feCCpDSVEuMjM5NS5JUV9FQklUREEuMjAwMC4wMS8wMS8yMDI0Li4uVVNELkgBAAAAN7BZAAIAAAAINDEsOTU2MzQBCAAAAAUAAAABMQEAAAALLTIwMTE3MDU3NDMDAAAAAzE2MAIAAAAENDA1MQQAAAABMAcAAAAIMS8xLzIwMjQIAAAACjEyLzMxLzIwMjMJAAAAATD7jPis60feCIn8CrbrR94IMUNJUS4yMzk1LklRX0VCSVREQV9NQVJHSU4uMjAwMC4wMS8wMS8yMDI0Li4uVVNELkgBAAAAN7BZAAIAAAAHMjIsMTQ4MgEIAAAABQAAAAExAQAAAAstMjAxMTcwNTc0MwMAAAACNzkCAAAABDQwNDcEAAAAATAHAAAACDEvMS8y</t>
  </si>
  <si>
    <t>MDI0CAAAAAoxMi8zMS8yMDIzCQAAAAEw+4z4rOtH3ghkOwu260feCDBDSVEuMjM5NS5JUV9UT1RBTF9BU1NFVFMuMjAwMC4wMS8wMS8yMDI0Li4uVVNELkgBAAAAN7BZAAIAAAAKNTA2LDMxMzcyNQEIAAAABQAAAAExAQAAAAstMjAxMTcwNTc0MwMAAAADMTYwAgAAAAQxMDA3BAAAAAEwBwAAAAgxLzEvMjAyNAgAAAAKMTIvMzEvMjAyMwkAAAABMPuM+KzrR94IZDsLtutH3gguQ0lRLjIzOTUuSVFfQ0FTSF9FUVVJVi4yMDAwLjAxLzAxLzIwMjQuLi5VU0QuSAEAAAA3sFkAAgAAAAk5MCw2NTU2MzIBCAAAAAUAAAABMQEAAAALLTIwMTE3MDU3NDMDAAAAAzE2MAIAAAAEMTA5NgQAAAABMAcAAAAIMS8xLzIwMjQIAAAACjEyLzMxLzIwMjMJAAAAATD7jPis60feCIn8CrbrR94ILENJUS4yMzk1LklRX05FVF9ERUJULjIwMDAuMDEvMDEvMjAyNC4uLlVTRC5IAQAAADewWQACAAAACTk3LDA4Mjg5NQEIAAAABQAAAAExAQAAAAstMjAxMTcwNTc0MwMAAAADMTYwAgAAAAQ0MzY0BAAAAAEwBwAAAAgxLzEvMjAyNAgAAAAKMTIvMzEvMjAyMwkAAAABMPuM+KzrR94IZDsLtutH3ggqQ0lRLjY1OTkuSVFfRUJJVERBLjIwMDAuMDEvMDEvMjAyNC4uLlVTRC5IAQAAAJ6f6gICAAAACDQsMjQ3NTk4AQgAAAAFAAAAATEBAAAACy0yMDA5ODQ0Mzk5AwAAAAMxNjACAAAABDQwNTEEAAAAATAHAAAACDEvMS8yMDI0CAAAAAox</t>
  </si>
  <si>
    <t>Mi8zMS8yMDIzCQAAAAEw+4z4rOtH3ghkOwu260feCDFDSVEuNjU5OS5JUV9FQklUREFfTUFSR0lOLjIwMDAuMDEvMDEvMjAyNC4uLlVTRC5IAQAAAJ6f6gICAAAABzE0LDI5NjgBCAAAAAUAAAABMQEAAAALLTIwMDk4NDQzOTkDAAAAAjc5AgAAAAQ0MDQ3BAAAAAEwBwAAAAgxLzEvMjAyNAgAAAAKMTIvMzEvMjAyMwkAAAABMPuM+KzrR94IuncLtutH3ggwQ0lRLjY1OTkuSVFfVE9UQUxfQVNTRVRTLjIwMDAuMDEvMDEvMjAyNC4uLlVTRC5IAQAAAJ6f6gICAAAACTM5LDc2OTU4MQEIAAAABQAAAAExAQAAAAstMjAwOTg0NDM5OQMAAAADMTYwAgAAAAQxMDA3BAAAAAEwBwAAAAgxLzEvMjAyNAgAAAAKMTIvMzEvMjAyMwkAAAABMPuM+KzrR94IuncLtutH3gguQ0lRLjY1OTkuSVFfQ0FTSF9FUVVJVi4yMDAwLjAxLzAxLzIwMjQuLi5VU0QuSAEAAACen+oCAgAAAAkxNCw5NzU2NjYBCAAAAAUAAAABMQEAAAALLTIwMDk4NDQzOTkDAAAAAzE2MAIAAAAEMTA5NgQAAAABMAcAAAAIMS8xLzIwMjQIAAAACjEyLzMxLzIwMjMJAAAAATD7jPis60feCLp3C7brR94ILENJUS42NTk5LklRX05FVF9ERUJULjIwMDAuMDEvMDEvMjAyNC4uLlVTRC5IAQAAAJ6f6gICAAAACi0xNCw3NTU3NDkBCAAAAAUAAAABMQEAAAALLTIwMDk4NDQzOTkDAAAAAzE2MAIAAAAENDM2NAQAAAABMAcAAAAIMS8xLzIwMjQIAAAACjEyLzMx</t>
  </si>
  <si>
    <t>LzIwMjMJAAAAATD7jPis60feCLp3C7brR94IKkNJUS5GUElQLklRX0VCSVREQS4yMDAwLjAxLzAxLzIwMjQuLi5VU0QuSAEAAABtJD4BAgAAAAg1LDg3ODk3OAEIAAAABQAAAAExAQAAAAstMTk0NDUxNzAwOAMAAAADMTYwAgAAAAQ0MDUxBAAAAAEwBwAAAAgxLzEvMjAyNAgAAAAKMTIvMzEvMjAyMwkAAAABMPuM+KzrR94IdbcLtutH3ggxQ0lRLkZQSVAuSVFfRUJJVERBX01BUkdJTi4yMDAwLjAxLzAxLzIwMjQuLi5VU0QuSAEAAABtJD4BAgAAAAcxMSwyNTgxAQgAAAAFAAAAATEBAAAACy0xOTQ0NTE3MDA4AwAAAAMxMzcCAAAABDQwNDcEAAAAATAHAAAACDEvMS8yMDI0CAAAAAoxMi8zMS8yMDIzCQAAAAEw+4z4rOtH3gjT8wu260feCDBDSVEuRlBJUC5JUV9UT1RBTF9BU1NFVFMuMjAwMC4wMS8wMS8yMDI0Li4uVVNELkgBAAAAbSQ+AQIAAAAJODMsMTI1NDQ1AQgAAAAFAAAAATEBAAAACy0xOTQ0NTE3MDA4AwAAAAMxNjACAAAABDEwMDcEAAAAATAHAAAACDEvMS8yMDI0CAAAAAoxMi8zMS8yMDIzCQAAAAEw+4z4rOtH3gjRMwy260feCC5DSVEuRlBJUC5JUV9DQVNIX0VRVUlWLjIwMDAuMDEvMDEvMjAyNC4uLlVTRC5IAQAAAG0kPgECAAAACDMsOTUxNjAyAQgAAAAFAAAAATEBAAAACy0xOTQ0NTE3MDA4AwAAAAMxNjACAAAABDEwOTYEAAAAATAHAAAACDEvMS8yMDI0CAAAAAoxMi8zMS8yMDIzCQAA</t>
  </si>
  <si>
    <t>AAEw+4z4rOtH3gh1twu260feCCxDSVEuRlBJUC5JUV9ORVRfREVCVC4yMDAwLjAxLzAxLzIwMjQuLi5VU0QuSAEAAABtJD4BAgAAAAktMCwxODk0MjYBCAAAAAUAAAABMQEAAAALLTE5NDQ1MTcwMDgDAAAAAzE2MAIAAAAENDM2NAQAAAABMAcAAAAIMS8xLzIwMjQIAAAACjEyLzMxLzIwMjMJAAAAATD7jPis60feCNPzC7brR94IKUNJUS5OQ0suSVFfRUJJVERBLjIwMDAuMDEvMDEvMjAyNC4uLlVTRC5IAQAAABXIpgACAAAACTkxLDkzMjUxNQEIAAAABQAAAAExAQAAAAstMTk2MDUyNTgzNAMAAAADMTYwAgAAAAQ0MDUxBAAAAAEwBwAAAAgxLzEvMjAyNAgAAAAKMTIvMzEvMjAyMwkAAAABMPuM+KzrR94I0TMMtutH3ggwQ0lRLk5DSy5JUV9FQklUREFfTUFSR0lOLjIwMDAuMDEvMDEvMjAyNC4uLlVTRC5IAQAAABXIpgACAAAABzI5LDk0MDMBCAAAAAUAAAABMQEAAAALLTE5NjA1MjU4MzQDAAAAATkCAAAABDQwNDcEAAAAATAHAAAACDEvMS8yMDI0CAAAAAoxMi8zMS8yMDIzCQAAAAEw+4z4rOtH3gjRMwy260feCC9DSVEuTkNLLklRX1RPVEFMX0FTU0VUUy4yMDAwLjAxLzAxLzIwMjQuLi5VU0QuSAEAAAAVyKYAAgAAAAo0MDksMjkzNzk3AQgAAAAFAAAAATEBAAAACy0xOTYwNTI1ODM0AwAAAAMxNjACAAAABDEwMDcEAAAAATAHAAAACDEvMS8yMDI0CAAAAAoxMi8zMS8yMDIzCQAAAAEw+4z4rOtH3gjR</t>
  </si>
  <si>
    <t>Mwy260feCC1DSVEuTkNLLklRX0NBU0hfRVFVSVYuMjAwMC4wMS8wMS8yMDI0Li4uVVNELkgBAAAAFcimAAIAAAAJNDYsNTU4OTY0AQgAAAAFAAAAATEBAAAACy0xOTYwNTI1ODM0AwAAAAMxNjACAAAABDEwOTYEAAAAATAHAAAACDEvMS8yMDI0CAAAAAoxMi8zMS8yMDIzCQAAAAEw+4z4rOtH3gjRMwy260feCCtDSVEuTkNLLklRX05FVF9ERUJULjIwMDAuMDEvMDEvMjAyNC4uLlVTRC5IAQAAABXIpgACAAAACjE1OCw4MDQzNjMBCAAAAAUAAAABMQEAAAALLTE5NjA1MjU4MzQDAAAAAzE2MAIAAAAENDM2NAQAAAABMAcAAAAIMS8xLzIwMjQIAAAACjEyLzMxLzIwMjMJAAAAATD7jPis60feCHBwDLbrR94IK0NJUS5BT0ogQi5JUV9FQklUREEuMjAwMC4wMS8wMS8yMDI0Li4uVVNELkgBAAAA1vEkAAIAAAAJNTIsNjYwMzAyAQgAAAAFAAAAATEBAAAACy0xOTU4MDAzNjUyAwAAAAMxNjACAAAABDQwNTEEAAAAATAHAAAACDEvMS8yMDI0CAAAAAoxMi8zMS8yMDIzCQAAAAEwok6KretH3ghwcAy260feCDJDSVEuQU9KIEIuSVFfRUJJVERBX01BUkdJTi4yMDAwLjAxLzAxLzIwMjQuLi5VU0QuSAEAAADW8SQAAgAAAAY2LDc0OTYBCAAAAAUAAAABMQEAAAALLTE5NTgwMDM2NTIDAAAAAjQyAgAAAAQ0MDQ3BAAAAAEwBwAAAAgxLzEvMjAyNAgAAAAKMTIvMzEvMjAyMwkAAAABMKJOiq3rR94IcHAMtutH3ggxQ0lR</t>
  </si>
  <si>
    <t>LkFPSiBCLklRX1RPVEFMX0FTU0VUUy4yMDAwLjAxLzAxLzIwMjQuLi5VU0QuSAEAAADW8SQAAgAAAAk0ODAsODM4NTMBCAAAAAUAAAABMQEAAAALLTE5NTgwMDM2NTIDAAAAAzE2MAIAAAAEMTAwNwQAAAABMAcAAAAIMS8xLzIwMjQIAAAACjEyLzMxLzIwMjMJAAAAATCiToqt60feCHBwDLbrR94IL0NJUS5BT0ogQi5JUV9DQVNIX0VRVUlWLjIwMDAuMDEvMDEvMjAyNC4uLlVTRC5IAQAAANbxJAACAAAACTEzLDI3MjU5MQEIAAAABQAAAAExAQAAAAstMTk1ODAwMzY1MgMAAAADMTYwAgAAAAQxMDk2BAAAAAEwBwAAAAgxLzEvMjAyNAgAAAAKMTIvMzEvMjAyMwkAAAABMKJOiq3rR94IcHAMtutH3ggtQ0lRLkFPSiBCLklRX05FVF9ERUJULjIwMDAuMDEvMDEvMjAyNC4uLlVTRC5IAQAAANbxJAACAAAACTc3LDM2NjU5OQEIAAAABQAAAAExAQAAAAstMTk1ODAwMzY1MgMAAAADMTYwAgAAAAQ0MzY0BAAAAAEwBwAAAAgxLzEvMjAyNAgAAAAKMTIvMzEvMjAyMwkAAAABMKJOiq3rR94IcHAMtutH3ggpQ0lRLlNORy5JUV9FQklUREEuMjAwMC4wMS8wMS8yMDI0Li4uVVNELkgBAAAAbXgNAAIAAAAJLTksMjg0ODQ2AQgAAAAFAAAAATEBAAAACy0xOTUzNzYwMDU1AwAAAAMxNjACAAAABDQwNTEEAAAAATAHAAAACDEvMS8yMDI0CAAAAAoxMi8zMS8yMDIzCQAAAAEw+4z4rOtH3ghwcAy260feCDBDSVEuU05HLklR</t>
  </si>
  <si>
    <t>X0VCSVREQV9NQVJHSU4uMjAwMC4wMS8wMS8yMDI0Li4uVVNELkgBAAAAbXgNAAIAAAAILTExLDU4NjIBCAAAAAUAAAABMQEAAAALLTE5NTM3NjAwNTUDAAAAAjUwAgAAAAQ0MDQ3BAAAAAEwBwAAAAgxLzEvMjAyNAgAAAAKMTIvMzEvMjAyMwkAAAABMPuM+KzrR94IQq8MtutH3ggvQ0lRLlNORy5JUV9UT1RBTF9BU1NFVFMuMjAwMC4wMS8wMS8yMDI0Li4uVVNELkgBAAAAbXgNAAIAAAAJNzksMzYzMzI1AQgAAAAFAAAAATEBAAAACy0xOTUzNzYwMDU1AwAAAAMxNjACAAAABDEwMDcEAAAAATAHAAAACDEvMS8yMDI0CAAAAAoxMi8zMS8yMDIzCQAAAAEw+4z4rOtH3ghCrwy260feCC1DSVEuU05HLklRX0NBU0hfRVFVSVYuMjAwMC4wMS8wMS8yMDI0Li4uVVNELkgBAAAAbXgNAAIAAAAJMTIsNzExMzk2AQgAAAAFAAAAATEBAAAACy0xOTUzNzYwMDU1AwAAAAMxNjACAAAABDEwOTYEAAAAATAHAAAACDEvMS8yMDI0CAAAAAoxMi8zMS8yMDIzCQAAAAEw+4z4rOtH3ghCrwy260feCCtDSVEuU05HLklRX05FVF9ERUJULjIwMDAuMDEvMDEvMjAyNC4uLlVTRC5IAQAAAG14DQACAAAACTM2LDI1NTExMgEIAAAABQAAAAExAQAAAAstMTk1Mzc2MDA1NQMAAAADMTYwAgAAAAQ0MzY0BAAAAAEwBwAAAAgxLzEvMjAyNAgAAAAKMTIvMzEvMjAyMwkAAAABMPuM+KzrR94IQq8MtutH3ggpQ0lRLkZGSC5JUV9FQklUREEu</t>
  </si>
  <si>
    <t>MjAwMC4wMS8wMS8yMDI0Li4uVVNELkgBAAAAtqgKAAIAAAAGNjQ4MywzAQgAAAAFAAAAATEBAAAACy0xOTU2NjQ0NzIyAwAAAAMxNjACAAAABDQwNTEEAAAAATAHAAAACDEvMS8yMDI0CAAAAAoxMi8zMS8yMDIzCQAAAAEw+4z4rOtH3giS7gy260feCDBDSVEuRkZILklRX0VCSVREQV9NQVJHSU4uMjAwMC4wMS8wMS8yMDI0Li4uVVNELkgBAAAAtqgKAAIAAAAHMjAsMzY1OAEIAAAABQAAAAExAQAAAAstMTk1NjY0NDcyMgMAAAADMTYwAgAAAAQ0MDQ3BAAAAAEwBwAAAAgxLzEvMjAyNAgAAAAKMTIvMzEvMjAyMwkAAAABMPuM+KzrR94Iku4MtutH3ggvQ0lRLkZGSC5JUV9UT1RBTF9BU1NFVFMuMjAwMC4wMS8wMS8yMDI0Li4uVVNELkgBAAAAtqgKAAIAAAAHOTE5ODUsMQEIAAAABQAAAAExAQAAAAstMTk1NjY0NDcyMgMAAAADMTYwAgAAAAQxMDA3BAAAAAEwBwAAAAgxLzEvMjAyNAgAAAAKMTIvMzEvMjAyMwkAAAABMPuM+KzrR94Iku4MtutH3ggtQ0lRLkZGSC5JUV9DQVNIX0VRVUlWLjIwMDAuMDEvMDEvMjAyNC4uLlVTRC5IAQAAALaoCgACAAAABjUxMTgsOQEIAAAABQAAAAExAQAAAAstMTk1NjY0NDcyMgMAAAADMTYwAgAAAAQxMDk2BAAAAAEwBwAAAAgxLzEvMjAyNAgAAAAKMTIvMzEvMjAyMwkAAAABMPuM+KzrR94Iku4MtutH3ggrQ0lRLkZGSC5JUV9ORVRfREVCVC4yMDAwLjAxLzAxLzIwMjQu</t>
  </si>
  <si>
    <t>Li5VU0QuSAEAAAC2qAoAAgAAAAY1Njc5LDgBCAAAAAUAAAABMQEAAAALLTE5NTY2NDQ3MjIDAAAAAzE2MAIAAAAENDM2NAQAAAABMAcAAAAIMS8xLzIwMjQIAAAACjEyLzMxLzIwMjMJAAAAATD7jPis60feCJLuDLbrR94ILENJUS5QUkVWIEIuSVFfRUJJVERBLjIwMDAuMDEvMDEvMjAyNC4uLlVTRC5IAQAAAHrwJAACAAAACTIwLDMyMzgwNQEIAAAABQAAAAExAQAAAAstMTk1MDg3MDYxNgMAAAADMTYwAgAAAAQ0MDUxBAAAAAEwBwAAAAgxLzEvMjAyNAgAAAAKMTIvMzEvMjAyMwkAAAABMPuM+KzrR94Iku4MtutH3ggzQ0lRLlBSRVYgQi5JUV9FQklUREFfTUFSR0lOLjIwMDAuMDEvMDEvMjAyNC4uLlVTRC5IAQAAAHrwJAACAAAABzEzLDc4NTIBCAAAAAUAAAABMQEAAAALLTE5NTA4NzA2MTYDAAAAAzEzNwIAAAAENDA0NwQAAAABMAcAAAAIMS8xLzIwMjQIAAAACjEyLzMxLzIwMjMJAAAAATD7jPis60feCJLuDLbrR94IMkNJUS5QUkVWIEIuSVFfVE9UQUxfQVNTRVRTLjIwMDAuMDEvMDEvMjAyNC4uLlVTRC5IAQAAAHrwJAACAAAACjEwNSw0Mzg5NzIBCAAAAAUAAAABMQEAAAALLTE5NTA4NzA2MTYDAAAAAzE2MAIAAAAEMTAwNwQAAAABMAcAAAAIMS8xLzIwMjQIAAAACjEyLzMxLzIwMjMJAAAAATD7jPis60feCPotDbbrR94IMENJUS5QUkVWIEIuSVFfQ0FTSF9FUVVJVi4yMDAwLjAxLzAxLzIwMjQu</t>
  </si>
  <si>
    <t>Li5VU0QuSAEAAAB68CQAAgAAAAkxMSwxNjk0OTEBCAAAAAUAAAABMQEAAAALLTE5NTA4NzA2MTYDAAAAAzE2MAIAAAAEMTA5NgQAAAABMAcAAAAIMS8xLzIwMjQIAAAACjEyLzMxLzIwMjMJAAAAATD7jPis60feCPotDbbrR94ILkNJUS5QUkVWIEIuSVFfTkVUX0RFQlQuMjAwMC4wMS8wMS8yMDI0Li4uVVNELkgBAAAAevAkAAIAAAAJLTMsOTM1NDk0AQgAAAAFAAAAATEBAAAACy0xOTUwODcwNjE2AwAAAAMxNjACAAAABDQzNjQEAAAAATAHAAAACDEvMS8yMDI0CAAAAAoxMi8zMS8yMDIzCQAAAAEw+4z4rOtH3gj6LQ2260feCClDSVEuSVRILklRX0VCSVREQS4yMDAwLjAxLzAxLzIwMjQuLi5VU0QuSAEAAAD33GgBAgAAAAgxNzE0LDg5OAEIAAAABQAAAAExAQAAAAstMTk1MTU0MjcxOQMAAAADMTYwAgAAAAQ0MDUxBAAAAAEwBwAAAAgxLzEvMjAyNAgAAAAKMTIvMzEvMjAyMwkAAAABMPuM+KzrR94I+i0NtutH3ggwQ0lRLklUSC5JUV9FQklUREFfTUFSR0lOLjIwMDAuMDEvMDEvMjAyNC4uLlVTRC5IAQAAAPfcaAECAAAABjczLDkyNAEIAAAABQAAAAExAQAAAAstMTk1MTU0MjcxOQMAAAADMTYwAgAAAAQ0MDQ3BAAAAAEwBwAAAAgxLzEvMjAyNAgAAAAKMTIvMzEvMjAyMwkAAAABMPuM+KzrR94INm0NtutH3ggvQ0lRLklUSC5JUV9UT1RBTF9BU1NFVFMuMjAwMC4wMS8wMS8yMDI0Li4uVVNELkgBAAAA</t>
  </si>
  <si>
    <t>99xoAQIAAAAINjMyMyw1MzIBCAAAAAUAAAABMQEAAAALLTE5NTE1NDI3MTkDAAAAAzE2MAIAAAAEMTAwNwQAAAABMAcAAAAIMS8xLzIwMjQIAAAACjEyLzMxLzIwMjMJAAAAATD7jPis60feCCOsDbbrR94ILUNJUS5JVEguSVFfQ0FTSF9FUVVJVi4yMDAwLjAxLzAxLzIwMjQuLi5VU0QuSAEAAAD33GgBAgAAAAcxNTMsMjE1AQgAAAAFAAAAATEBAAAACy0xOTUxNTQyNzE5AwAAAAMxNjACAAAABDEwOTYEAAAAATAHAAAACDEvMS8yMDI0CAAAAAoxMi8zMS8yMDIzCQAAAAEw+4z4rOtH3gg2bQ2260feCCtDSVEuSVRILklRX05FVF9ERUJULjIwMDAuMDEvMDEvMjAyNC4uLlVTRC5IAQAAAPfcaAECAAAABzYxNSw0OTQBCAAAAAUAAAABMQEAAAALLTE5NTE1NDI3MTkDAAAAAzE2MAIAAAAENDM2NAQAAAABMAcAAAAIMS8xLzIwMjQIAAAACjEyLzMxLzIwMjMJAAAAATD7jPis60feCDZtDbbrR94IKUNJUS5FVVIuSVFfRUJJVERBLjIwMDAuMDEvMDEvMjAyNC4uLlVTRC5IAQAAAP9R0QACAAAACjE2OCwxNTEwMTcBCAAAAAUAAAABMQEAAAALLTE5NTI2OTU4NjkDAAAAAzE2MAIAAAAENDA1MQQAAAABMAcAAAAIMS8xLzIwMjQIAAAACjEyLzMxLzIwMjMJAAAAATD7jPis60feCCOsDbbrR94IMENJUS5FVVIuSVFfRUJJVERBX01BUkdJTi4yMDAwLjAxLzAxLzIwMjQuLi5VU0QuSAEAAAD/UdEAAgAAAAYyLDAzNzEB</t>
  </si>
  <si>
    <t>CAAAAAUAAAABMQEAAAALLTE5NTI2OTU4NjkDAAAAAzEyNgIAAAAENDA0NwQAAAABMAcAAAAIMS8xLzIwMjQIAAAACjEyLzMxLzIwMjMJAAAAATD7jPis60feCCOsDbbrR94IL0NJUS5FVVIuSVFfVE9UQUxfQVNTRVRTLjIwMDAuMDEvMDEvMjAyNC4uLlVTRC5IAQAAAP9R0QACAAAACzIzMDMsNTE3NTAyAQgAAAAFAAAAATEBAAAACy0xOTUyNjk1ODY5AwAAAAMxNjACAAAABDEwMDcEAAAAATAHAAAACDEvMS8yMDI0CAAAAAoxMi8zMS8yMDIzCQAAAAEw+4z4rOtH3ggt6w2260feCC1DSVEuRVVSLklRX0NBU0hfRVFVSVYuMjAwMC4wMS8wMS8yMDI0Li4uVVNELkgBAAAA/1HRAAIAAAAJNjksNjMwNjc3AQgAAAAFAAAAATEBAAAACy0xOTUyNjk1ODY5AwAAAAMxNjACAAAABDEwOTYEAAAAATAHAAAACDEvMS8yMDI0CAAAAAoxMi8zMS8yMDIzCQAAAAEw+4z4rOtH3ggt6w2260feCCtDSVEuRVVSLklRX05FVF9ERUJULjIwMDAuMDEvMDEvMjAyNC4uLlVTRC5IAQAAAP9R0QACAAAACjYxNiwyOTI4MDMBCAAAAAUAAAABMQEAAAALLTE5NTI2OTU4NjkDAAAAAzE2MAIAAAAENDM2NAQAAAABMAcAAAAIMS8xLzIwMjQIAAAACjEyLzMxLzIwMjMJAAAAATD7jPis60feCC3rDbbrR94IKUNJUS5EU0cuSVFfRUJJVERBLjIwMDAuMDEvMDEvMjAyNC4uLlVTRC5IAQAAAE5VpAECAAAACDAsMjk2Nzg1AQgAAAAFAAAAATEB</t>
  </si>
  <si>
    <t>AAAACy0xOTQzNTQ2OTE2AwAAAAMxNjACAAAABDQwNTEEAAAAATAHAAAACDEvMS8yMDI0CAAAAAoxMi8zMS8yMDIzCQAAAAEwwJyKretH3ggt6w2260feCDBDSVEuRFNHLklRX0VCSVREQV9NQVJHSU4uMjAwMC4wMS8wMS8yMDI0Li4uVVNELkgBAAAATlWkAQIAAAAGNCwxNjQ0AQgAAAAFAAAAATEBAAAACy0xOTQzNTQ2OTE2AwAAAAI1NQIAAAAENDA0NwQAAAABMAcAAAAIMS8xLzIwMjQIAAAACjEyLzMxLzIwMjMJAAAAATDAnIqt60feCC3rDbbrR94IL0NJUS5EU0cuSVFfVE9UQUxfQVNTRVRTLjIwMDAuMDEvMDEvMjAyNC4uLlVTRC5IAQAAAE5VpAECAAAACDgsNzAxMDI0AQgAAAAFAAAAATEBAAAACy0xOTQzNTQ2OTE2AwAAAAMxNjACAAAABDEwMDcEAAAAATAHAAAACDEvMS8yMDI0CAAAAAoxMi8zMS8yMDIzCQAAAAEwwJyKretH3ghYKg6260feCC1DSVEuRFNHLklRX0NBU0hfRVFVSVYuMjAwMC4wMS8wMS8yMDI0Li4uVVNELkgBAAAATlWkAQMAAAAAAMCciq3rR94IWCoOtutH3ggrQ0lRLkRTRy5JUV9ORVRfREVCVC4yMDAwLjAxLzAxLzIwMjQuLi5VU0QuSAEAAABOVaQBAgAAAAcxLDQ5OTIxAQgAAAAFAAAAATEBAAAACy0xOTQzNTQ2OTE2AwAAAAMxNjACAAAABDQzNjQEAAAAATAHAAAACDEvMS8yMDI0CAAAAAoxMi8zMS8yMDIzCQAAAAEwwJyKretH3ghYKg6260feCChDSVEuTlguSVFfRUJJVERB</t>
  </si>
  <si>
    <t>LjIwMDAuMDEvMDEvMjAyNC4uLlVTRC5IAQAAAL6kYwICAAAABzE0OCwwMDEBCAAAAAUAAAABMQEAAAALLTE5MTIxMTQxNjgDAAAAAzE2MAIAAAAENDA1MQQAAAABMAcAAAAIMS8xLzIwMjQIAAAACjEwLzMxLzIwMjMJAAAAATD7jPis60feCHlnDrbrR94IL0NJUS5OWC5JUV9FQklUREFfTUFSR0lOLjIwMDAuMDEvMDEvMjAyNC4uLlVTRC5IAQAAAL6kYwICAAAABzEzLDA5MDYBCAAAAAUAAAABMQEAAAALLTE5MTIxMTQxNjgDAAAAAzE2MAIAAAAENDA0NwQAAAABMAcAAAAIMS8xLzIwMjQIAAAACjEwLzMxLzIwMjMJAAAAATD7jPis60feCIenDrbrR94ILkNJUS5OWC5JUV9UT1RBTF9BU1NFVFMuMjAwMC4wMS8wMS8yMDI0Li4uVVNELkgBAAAAvqRjAgIAAAAHODMxLDE0MwEIAAAABQAAAAExAQAAAAstMTkxMjExNDE2OAMAAAADMTYwAgAAAAQxMDA3BAAAAAEwBwAAAAgxLzEvMjAyNAgAAAAKMTAvMzEvMjAyMwkAAAABMPuM+KzrR94Ih6cOtutH3ggsQ0lRLk5YLklRX0NBU0hfRVFVSVYuMjAwMC4wMS8wMS8yMDI0Li4uVVNELkgBAAAAvqRjAgIAAAAGNTgsNDc0AQgAAAAFAAAAATEBAAAACy0xOTEyMTE0MTY4AwAAAAMxNjACAAAABDEwOTYEAAAAATAHAAAACDEvMS8yMDI0CAAAAAoxMC8zMS8yMDIzCQAAAAEw+4z4rOtH3gh5Zw6260feCCpDSVEuTlguSVFfTkVUX0RFQlQuMjAwMC4wMS8wMS8yMDI0Li4u</t>
  </si>
  <si>
    <t>VVNELkgBAAAAvqRjAgIAAAAGNTcsOTExAQgAAAAFAAAAATEBAAAACy0xOTEyMTE0MTY4AwAAAAMxNjACAAAABDQzNjQEAAAAATAHAAAACDEvMS8yMDI0CAAAAAoxMC8zMS8yMDIzCQAAAAEw+4z4rOtH3gh5Zw6260feCClDSVEuRkVOLklRX0VCSVREQS4yMDAwLjAxLzAxLzIwMjQuLi5VU0QuSAEAAADL1CQAAgAAAAg2LDczNjg5MwEIAAAABQAAAAExAQAAAAstMTk0NjA0NDk1NgMAAAADMTYwAgAAAAQ0MDUxBAAAAAEwBwAAAAgxLzEvMjAyNAgAAAAKMTIvMzEvMjAyMwkAAAABMPuM+KzrR94IweYOtutH3ggwQ0lRLkZFTi5JUV9FQklUREFfTUFSR0lOLjIwMDAuMDEvMDEvMjAyNC4uLlVTRC5IAQAAAMvUJAACAAAABzE2LDEyMDUBCAAAAAUAAAABMQEAAAALLTE5NDYwNDQ5NTYDAAAAAjU1AgAAAAQ0MDQ3BAAAAAEwBwAAAAgxLzEvMjAyNAgAAAAKMTIvMzEvMjAyMwkAAAABMPuM+KzrR94IweYOtutH3ggvQ0lRLkZFTi5JUV9UT1RBTF9BU1NFVFMuMjAwMC4wMS8wMS8yMDI0Li4uVVNELkgBAAAAy9QkAAIAAAAJNjcsNjgxMDAxAQgAAAAFAAAAATEBAAAACy0xOTQ2MDQ0OTU2AwAAAAMxNjACAAAABDEwMDcEAAAAATAHAAAACDEvMS8yMDI0CAAAAAoxMi8zMS8yMDIzCQAAAAEw+4z4rOtH3gjB5g6260feCC1DSVEuRkVOLklRX0NBU0hfRVFVSVYuMjAwMC4wMS8wMS8yMDI0Li4uVVNELkgBAAAAy9QkAAIA</t>
  </si>
  <si>
    <t>AAAIMywwODg4NTcBCAAAAAUAAAABMQEAAAALLTE5NDYwNDQ5NTYDAAAAAzE2MAIAAAAEMTA5NgQAAAABMAcAAAAIMS8xLzIwMjQIAAAACjEyLzMxLzIwMjMJAAAAATD7jPis60feCP0iD7brR94IK0NJUS5GRU4uSVFfTkVUX0RFQlQuMjAwMC4wMS8wMS8yMDI0Li4uVVNELkgBAAAAy9QkAAIAAAAJLTEsODU5NjgzAQgAAAAFAAAAATEBAAAACy0xOTQ2MDQ0OTU2AwAAAAMxNjACAAAABDQzNjQEAAAAATAHAAAACDEvMS8yMDI0CAAAAAoxMi8zMS8yMDIzCQAAAAEw+4z4rOtH3gj9Ig+260feCC5DSVEuRUxMQUtUT1IuSVFfRUJJVERBLjIwMDAuMDEvMDEvMjAyNC4uLlVTRC5IAQAAAL0lrwACAAAACjE3Nyw4NjU1OTEBCAAAAAUAAAABMQEAAAALLTE5MzgxNjc3MjUDAAAAAzE2MAIAAAAENDA1MQQAAAABMAcAAAAIMS8xLzIwMjQIAAAACjEyLzMxLzIwMjMJAAAAATD7jPis60feCP0iD7brR94INUNJUS5FTExBS1RPUi5JUV9FQklUREFfTUFSR0lOLjIwMDAuMDEvMDEvMjAyNC4uLlVTRC5IAQAAAL0lrwACAAAABzU1LDk5NzMBCAAAAAUAAAABMQEAAAALLTE5MzgxNjc3MjUDAAAAAjUwAgAAAAQ0MDQ3BAAAAAEwBwAAAAgxLzEvMjAyNAgAAAAKMTIvMzEvMjAyMwkAAAABMPuM+KzrR94I/SIPtutH3gg0Q0lRLkVMTEFLVE9SLklRX1RPVEFMX0FTU0VUUy4yMDAwLjAxLzAxLzIwMjQuLi5VU0QuSAEAAAC9Ja8A</t>
  </si>
  <si>
    <t>AgAAAAoyMTkzLDgyMDA1AQgAAAAFAAAAATEBAAAACy0xOTM4MTY3NzI1AwAAAAMxNjACAAAABDEwMDcEAAAAATAHAAAACDEvMS8yMDI0CAAAAAoxMi8zMS8yMDIzCQAAAAEw+4z4rOtH3ggiYg+260feCDJDSVEuRUxMQUtUT1IuSVFfQ0FTSF9FUVVJVi4yMDAwLjAxLzAxLzIwMjQuLi5VU0QuSAEAAAC9Ja8AAgAAAAozMzQsNzkxNjQ0AQgAAAAFAAAAATEBAAAACy0xOTM4MTY3NzI1AwAAAAMxNjACAAAABDEwOTYEAAAAATAHAAAACDEvMS8yMDI0CAAAAAoxMi8zMS8yMDIzCQAAAAEw+4z4rOtH3ggiYg+260feCDBDSVEuRUxMQUtUT1IuSVFfTkVUX0RFQlQuMjAwMC4wMS8wMS8yMDI0Li4uVVNELkgBAAAAvSWvAAIAAAAKMjQ2LDIzMzAwNQEIAAAABQAAAAExAQAAAAstMTkzODE2NzcyNQMAAAADMTYwAgAAAAQ0MzY0BAAAAAEwBwAAAAgxLzEvMjAyNAgAAAAKMTIvMzEvMjAyMwkAAAABMPuM+KzrR94IImIPtutH3ggrQ0lRLkJVU0VSLklRX0VCSVREQS4yMDAwLjAxLzAxLzIwMjQuLi5VU0QuSAEAAAB+Oc4CAgAAAAotMjQsODM1MzMzAQgAAAAFAAAAATEBAAAACy0xOTQ0MDI2Nzc0AwAAAAMxNjACAAAABDQwNTEEAAAAATAHAAAACDEvMS8yMDI0CAAAAAoxMi8zMS8yMDIzCQAAAAEw+4z4rOtH3ggiYg+260feCDJDSVEuQlVTRVIuSVFfRUJJVERBX01BUkdJTi4yMDAwLjAxLzAxLzIwMjQuLi5VU0QuSAEA</t>
  </si>
  <si>
    <t>AAB+Oc4CAgAAAAktMTMyLDUxOTUBCAAAAAUAAAABMQEAAAALLTE5NDQwMjY3NzQDAAAAAzEzNwIAAAAENDA0NwQAAAABMAcAAAAIMS8xLzIwMjQIAAAACjEyLzMxLzIwMjMJAAAAATD7jPis60feCOTdD7brR94IMUNJUS5CVVNFUi5JUV9UT1RBTF9BU1NFVFMuMjAwMC4wMS8wMS8yMDI0Li4uVVNELkgBAAAAfjnOAgIAAAAHMzcsMjI2NQEIAAAABQAAAAExAQAAAAstMTk0NDAyNjc3NAMAAAADMTYwAgAAAAQxMDA3BAAAAAEwBwAAAAgxLzEvMjAyNAgAAAAKMTIvMzEvMjAyMwkAAAABMPuM+KzrR94I5N0PtutH3ggvQ0lRLkJVU0VSLklRX0NBU0hfRVFVSVYuMjAwMC4wMS8wMS8yMDI0Li4uVVNELkgBAAAAfjnOAgIAAAAJMjcsMDUyODY0AQgAAAAFAAAAATEBAAAACy0xOTQ0MDI2Nzc0AwAAAAMxNjACAAAABDEwOTYEAAAAATAHAAAACDEvMS8yMDI0CAAAAAoxMi8zMS8yMDIzCQAAAAEw+4z4rOtH3ghFoQ+260feCC1DSVEuQlVTRVIuSVFfTkVUX0RFQlQuMjAwMC4wMS8wMS8yMDI0Li4uVVNELkgBAAAAfjnOAgIAAAAKLTI3LDA1Mjg2NAEIAAAABQAAAAExAQAAAAstMTk0NDAyNjc3NAMAAAADMTYwAgAAAAQ0MzY0BAAAAAEwBwAAAAgxLzEvMjAyNAgAAAAKMTIvMzEvMjAyMwkAAAABMPuM+KzrR94IRaEPtutH3ggsQ0lRLkxZS08gQS5JUV9FQklUREEuMjAwMC4wMS8wMS8yMDI0Li4uVVNELkgBAAAArWpA</t>
  </si>
  <si>
    <t>IAIAAAAINiw5NzA0OTEBCAAAAAUAAAABMQEAAAALLTE5NTMzNDg1NTYDAAAAAzE2MAIAAAAENDA1MQQAAAABMAcAAAAIMS8xLzIwMjQIAAAACjEyLzMxLzIwMjMJAAAAATD7jPis60feCOTdD7brR94IM0NJUS5MWUtPIEEuSVFfRUJJVERBX01BUkdJTi4yMDAwLjAxLzAxLzIwMjQuLi5VU0QuSAEAAACtakAgAgAAAAYyLDI4NzkBCAAAAAUAAAABMQEAAAALLTE5NTMzNDg1NTYDAAAAAzEzNwIAAAAENDA0NwQAAAABMAcAAAAIMS8xLzIwMjQIAAAACjEyLzMxLzIwMjMJAAAAATD7jPis60feCOTdD7brR94IMkNJUS5MWUtPIEEuSVFfVE9UQUxfQVNTRVRTLjIwMDAuMDEvMDEvMjAyNC4uLlVTRC5IAQAAAK1qQCACAAAACjE3Niw2MDg5ODEBCAAAAAUAAAABMQEAAAALLTE5NTMzNDg1NTYDAAAAAzE2MAIAAAAEMTAwNwQAAAABMAcAAAAIMS8xLzIwMjQIAAAACjEyLzMxLzIwMjMJAAAAATD7jPis60feCPYcELbrR94IMENJUS5MWUtPIEEuSVFfQ0FTSF9FUVVJVi4yMDAwLjAxLzAxLzIwMjQuLi5VU0QuSAEAAACtakAgAgAAAAg3LDA2OTkyOAEIAAAABQAAAAExAQAAAAstMTk1MzM0ODU1NgMAAAADMTYwAgAAAAQxMDk2BAAAAAEwBwAAAAgxLzEvMjAyNAgAAAAKMTIvMzEvMjAyMwkAAAABMPuM+KzrR94I9hwQtutH3gguQ0lRLkxZS08gQS5JUV9ORVRfREVCVC4yMDAwLjAxLzAxLzIwMjQuLi5VU0QuSAEAAACt</t>
  </si>
  <si>
    <t>akAgAgAAAAk2Miw2MjUwNDIBCAAAAAUAAAABMQEAAAALLTE5NTMzNDg1NTYDAAAAAzE2MAIAAAAENDM2NAQAAAABMAcAAAAIMS8xLzIwMjQIAAAACjEyLzMxLzIwMjMJAAAAATD7jPis60feCPYcELbrR94IKUNJUS5EQ0kuSVFfRUJJVERBLjIwMDAuMDEvMDEvMjAyNC4uLlVTRC5IAQAAAK2qAgACAAAABTU5Myw4AQgAAAAFAAAAATEBAAAACy0xOTY0OTM1OTA3AwAAAAMxNjACAAAABDQwNTEEAAAAATAHAAAACDEvMS8yMDI0CAAAAAoxMC8zMS8yMDIzCQAAAAEw+4z4rOtH3gj2HBC260feCDBDSVEuRENJLklRX0VCSVREQV9NQVJHSU4uMjAwMC4wMS8wMS8yMDI0Li4uVVNELkgBAAAAraoCAAIAAAAHMTcsMzEyOQEIAAAABQAAAAExAQAAAAstMTk2NDkzNTkwNwMAAAADMTYwAgAAAAQ0MDQ3BAAAAAEwBwAAAAgxLzEvMjAyNAgAAAAKMTAvMzEvMjAyMwkAAAABMPuM+KzrR94I9hwQtutH3ggvQ0lRLkRDSS5JUV9UT1RBTF9BU1NFVFMuMjAwMC4wMS8wMS8yMDI0Li4uVVNELkgBAAAAraoCAAIAAAAGMjc2OCw2AQgAAAAFAAAAATEBAAAACy0xOTY0OTM1OTA3AwAAAAMxNjACAAAABDEwMDcEAAAAATAHAAAACDEvMS8yMDI0CAAAAAoxMC8zMS8yMDIzCQAAAAEw+4z4rOtH3ggFXBC260feCC1DSVEuRENJLklRX0NBU0hfRVFVSVYuMjAwMC4wMS8wMS8yMDI0Li4uVVNELkgBAAAAraoCAAIAAAAFMjE3LDgBCAAA</t>
  </si>
  <si>
    <t>AAUAAAABMQEAAAALLTE5NjQ5MzU5MDcDAAAAAzE2MAIAAAAEMTA5NgQAAAABMAcAAAAIMS8xLzIwMjQIAAAACjEwLzMxLzIwMjMJAAAAATD7jPis60feCAVcELbrR94IK0NJUS5EQ0kuSVFfTkVUX0RFQlQuMjAwMC4wMS8wMS8yMDI0Li4uVVNELkgBAAAAraoCAAIAAAAFNDMzLDYBCAAAAAUAAAABMQEAAAALLTE5NjQ5MzU5MDcDAAAAAzE2MAIAAAAENDM2NAQAAAABMAcAAAAIMS8xLzIwMjQIAAAACjEwLzMxLzIwMjMJAAAAATD7jPis60feCAVcELbrR94IKUNJUS5ER1YuSVFfRUJJVERBLjIwMDAuMDEvMDEvMjAyNC4uLlVTRC5IAQAAAPfRvyICAAAACTk3LDE0MjY5OQEIAAAABQAAAAExAQAAAAstMTkzNzk3NzE5NwMAAAADMTYwAgAAAAQ0MDUxBAAAAAEwBwAAAAgxLzEvMjAyNAgAAAAKMTIvMzEvMjAyMwkAAAABMPuM+KzrR94IBVwQtutH3ggwQ0lRLkRHVi5JUV9FQklUREFfTUFSR0lOLjIwMDAuMDEvMDEvMjAyNC4uLlVTRC5IAQAAAPfRvyICAAAABzEwLDM3MTIBCAAAAAUAAAABMQEAAAALLTE5Mzc5NzcxOTcDAAAAAjUwAgAAAAQ0MDQ3BAAAAAEwBwAAAAgxLzEvMjAyNAgAAAAKMTIvMzEvMjAyMwkAAAABMPuM+KzrR94IM5sQtutH3ggvQ0lRLkRHVi5JUV9UT1RBTF9BU1NFVFMuMjAwMC4wMS8wMS8yMDI0Li4uVVNELkgBAAAA99G/IgIAAAAKODA2LDYxNTQ1MgEIAAAABQAAAAExAQAAAAstMTkz</t>
  </si>
  <si>
    <t>Nzk3NzE5NwMAAAADMTYwAgAAAAQxMDA3BAAAAAEwBwAAAAgxLzEvMjAyNAgAAAAKMTIvMzEvMjAyMwkAAAABMPuM+KzrR94IM5sQtutH3ggtQ0lRLkRHVi5JUV9DQVNIX0VRVUlWLjIwMDAuMDEvMDEvMjAyNC4uLlVTRC5IAQAAAPfRvyICAAAACjE2Myw2NDIwOTEBCAAAAAUAAAABMQEAAAALLTE5Mzc5NzcxOTcDAAAAAzE2MAIAAAAEMTA5NgQAAAABMAcAAAAIMS8xLzIwMjQIAAAACjEyLzMxLzIwMjMJAAAAATD7jPis60feCDObELbrR94IK0NJUS5ER1YuSVFfTkVUX0RFQlQuMjAwMC4wMS8wMS8yMDI0Li4uVVNELkgBAAAA99G/IgIAAAAKLTUxLDk1OTc2NgEIAAAABQAAAAExAQAAAAstMTkzNzk3NzE5NwMAAAADMTYwAgAAAAQ0MzY0BAAAAAEwBwAAAAgxLzEvMjAyNAgAAAAKMTIvMzEvMjAyMwkAAAABMPuM+KzrR94IM5sQtutH3ggsQ0lRLjMwMTMwNy5JUV9FQklUREEuMjAwMC4wMS8wMS8yMDI0Li4uVVNELkgBAAAA0Fa2BAIAAAAJNTUsNjczMjEzAQgAAAAFAAAAATEBAAAACy0xOTUwMTM2NTcxAwAAAAMxNjACAAAABDQwNTEEAAAAATAHAAAACDEvMS8yMDI0CAAAAAoxMi8zMS8yMDIzCQAAAAEw+4z4rOtH3gis2BC260feCDNDSVEuMzAxMzA3LklRX0VCSVREQV9NQVJHSU4uMjAwMC4wMS8wMS8yMDI0Li4uVVNELkgBAAAA0Fa2BAIAAAAHMTIsMzc4NgEIAAAABQAAAAExAQAAAAstMTk1MDEzNjU3</t>
  </si>
  <si>
    <t>MQMAAAACMzICAAAABDQwNDcEAAAAATAHAAAACDEvMS8yMDI0CAAAAAoxMi8zMS8yMDIzCQAAAAEw+4z4rOtH3gis2BC260feCDJDSVEuMzAxMzA3LklRX1RPVEFMX0FTU0VUUy4yMDAwLjAxLzAxLzIwMjQuLi5VU0QuSAEAAADQVrYEAgAAAAo4MDMsNDkwMDQ3AQgAAAAFAAAAATEBAAAACy0xOTUwMTM2NTcxAwAAAAMxNjACAAAABDEwMDcEAAAAATAHAAAACDEvMS8yMDI0CAAAAAoxMi8zMS8yMDIzCQAAAAEw+4z4rOtH3gis2BC260feCDBDSVEuMzAxMzA3LklRX0NBU0hfRVFVSVYuMjAwMC4wMS8wMS8yMDI0Li4uVVNELkgBAAAA0Fa2BAIAAAAJNjAsNDk3NjI4AQgAAAAFAAAAATEBAAAACy0xOTUwMTM2NTcxAwAAAAMxNjACAAAABDEwOTYEAAAAATAHAAAACDEvMS8yMDI0CAAAAAoxMi8zMS8yMDIzCQAAAAEw+4z4rOtH3gis2BC260feCC5DSVEuMzAxMzA3LklRX05FVF9ERUJULjIwMDAuMDEvMDEvMjAyNC4uLlVTRC5IAQAAANBWtgQCAAAACTE1LDExMTMyNwEIAAAABQAAAAExAQAAAAstMTk1MDEzNjU3MQMAAAADMTYwAgAAAAQ0MzY0BAAAAAEwBwAAAAgxLzEvMjAyNAgAAAAKMTIvMzEvMjAyMwkAAAABMPuM+KzrR94IrNgQtutH3ggvQ0lRLjA5NDEyNDQ1My5JUV9FQklUREEuMjAwMC4wMS8wMS8yMDI0Li4uVVNELkgBAAAAU90OAAIAAAAKNzc2LDg3NDEwMgEIAAAABQAAAAExAQAAAAstMTk1MTQ4</t>
  </si>
  <si>
    <t>MDAxNgMAAAADMTYwAgAAAAQ0MDUxBAAAAAEwBwAAAAgxLzEvMjAyNAgAAAAKMTIvMzEvMjAyMwkAAAABMPuM+KzrR94IrNgQtutH3gg2Q0lRLjA5NDEyNDQ1My5JUV9FQklUREFfTUFSR0lOLjIwMDAuMDEvMDEvMjAyNC4uLlVTRC5IAQAAAFPdDgACAAAABzE4LDQ1NzMBCAAAAAUAAAABMQEAAAALLTE5NTE0ODAwMTYDAAAAAjUwAgAAAAQ0MDQ3BAAAAAEwBwAAAAgxLzEvMjAyNAgAAAAKMTIvMzEvMjAyMwkAAAABMPuM+KzrR94IrNgQtutH3gg1Q0lRLjA5NDEyNDQ1My5JUV9UT1RBTF9BU1NFVFMuMjAwMC4wMS8wMS8yMDI0Li4uVVNELkgBAAAAU90OAAIAAAALNTE3Nyw1NzkzMDYBCAAAAAUAAAABMQEAAAALLTE5NTE0ODAwMTYDAAAAAzE2MAIAAAAEMTAwNwQAAAABMAcAAAAIMS8xLzIwMjQIAAAACjEyLzMxLzIwMjMJAAAAATD7jPis60feCKEXEbbrR94IM0NJUS4wOTQxMjQ0NTMuSVFfQ0FTSF9FUVVJVi4yMDAwLjAxLzAxLzIwMjQuLi5VU0QuSAEAAABT3Q4AAgAAAAoxNzksNjA0Mjg5AQgAAAAFAAAAATEBAAAACy0xOTUxNDgwMDE2AwAAAAMxNjACAAAABDEwOTYEAAAAATAHAAAACDEvMS8yMDI0CAAAAAoxMi8zMS8yMDIzCQAAAAEw+4z4rOtH3gihFxG260feCDFDSVEuMDk0MTI0NDUzLklRX05FVF9ERUJULjIwMDAuMDEvMDEvMjAyNC4uLlVTRC5IAQAAAFPdDgACAAAACzExNDgsNDE5MzY1AQgA</t>
  </si>
  <si>
    <t>AAAFAAAAATEBAAAACy0xOTUxNDgwMDE2AwAAAAMxNjACAAAABDQzNjQEAAAAATAHAAAACDEvMS8yMDI0CAAAAAoxMi8zMS8yMDIzCQAAAAEw+4z4rOtH3gihFxG260feCCpDSVEuTlJFTi5JUV9FQklUREEuMjAwMC4wMS8wMS8yMDI0Li4uVVNELkgBAAAAA5l3DgIAAAAJMzIsNTM5MzQ2AQgAAAAFAAAAATEBAAAACy0xOTU4NzAwMTgzAwAAAAMxNjACAAAABDQwNTEEAAAAATAHAAAACDEvMS8yMDI0CAAAAAoxMi8zMS8yMDIzCQAAAAEw+4z4rOtH3gihFxG260feCDFDSVEuTlJFTi5JUV9FQklUREFfTUFSR0lOLjIwMDAuMDEvMDEvMjAyNC4uLlVTRC5IAQAAAAOZdw4CAAAABjkxLDc2MgEIAAAABQAAAAExAQAAAAstMTk1ODcwMDE4MwMAAAACMjkCAAAABDQwNDcEAAAAATAHAAAACDEvMS8yMDI0CAAAAAoxMi8zMS8yMDIzCQAAAAEw+4z4rOtH3gjmVhG260feCDBDSVEuTlJFTi5JUV9UT1RBTF9BU1NFVFMuMjAwMC4wMS8wMS8yMDI0Li4uVVNELkgBAAAAA5l3DgIAAAAKOTQyLDU3NTAwNQEIAAAABQAAAAExAQAAAAstMTk1ODcwMDE4MwMAAAADMTYwAgAAAAQxMDA3BAAAAAEwBwAAAAgxLzEvMjAyNAgAAAAKMTIvMzEvMjAyMwkAAAABMPuM+KzrR94I5lYRtutH3gguQ0lRLk5SRU4uSVFfQ0FTSF9FUVVJVi4yMDAwLjAxLzAxLzIwMjQuLi5VU0QuSAEAAAADmXcOAgAAAAgzLDAzOTQzMwEIAAAABQAAAAEx</t>
  </si>
  <si>
    <t>AQAAAAstMTk1ODcwMDE4MwMAAAADMTYwAgAAAAQxMDk2BAAAAAEwBwAAAAgxLzEvMjAyNAgAAAAKMTIvMzEvMjAyMwkAAAABMPuM+KzrR94I5lYRtutH3ggsQ0lRLk5SRU4uSVFfTkVUX0RFQlQuMjAwMC4wMS8wMS8yMDI0Li4uVVNELkgBAAAAA5l3DgIAAAAKNTA0LDI0NTk3NAEIAAAABQAAAAExAQAAAAstMTk1ODcwMDE4MwMAAAADMTYwAgAAAAQ0MzY0BAAAAAEwBwAAAAgxLzEvMjAyNAgAAAAKMTIvMzEvMjAyMwkAAAABMPuM+KzrR94I5lYRtutH3ggsQ0lRLldJUlRFSy5JUV9FQklUREEuMjAwMC4wMS8wMS8yMDI0Li4uVVNELkgBAAAAHDepAQIAAAAIMCw5MzMyMzQBCAAAAAUAAAABMQEAAAALLTE5NTUyNTg0MTEDAAAAAzE2MAIAAAAENDA1MQQAAAABMAcAAAAIMS8xLzIwMjQIAAAACjEyLzMxLzIwMjMJAAAAATD7jPis60feCBiWEbbrR94IM0NJUS5XSVJURUsuSVFfRUJJVERBX01BUkdJTi4yMDAwLjAxLzAxLzIwMjQuLi5VU0QuSAEAAAAcN6kBAgAAAAY4LDkzMzkBCAAAAAUAAAABMQEAAAALLTE5NTUyNTg0MTEDAAAAAjQyAgAAAAQ0MDQ3BAAAAAEwBwAAAAgxLzEvMjAyNAgAAAAKMTIvMzEvMjAyMwkAAAABMPuM+KzrR94IGJYRtutH3ggyQ0lRLldJUlRFSy5JUV9UT1RBTF9BU1NFVFMuMjAwMC4wMS8wMS8yMDI0Li4uVVNELkgBAAAAHDepAQIAAAAINCw0NzQyNzIBCAAAAAUAAAABMQEAAAAL</t>
  </si>
  <si>
    <t>LTE5NTUyNTg0MTEDAAAAAzE2MAIAAAAEMTAwNwQAAAABMAcAAAAIMS8xLzIwMjQIAAAACjEyLzMxLzIwMjMJAAAAATD7jPis60feCBiWEbbrR94IMENJUS5XSVJURUsuSVFfQ0FTSF9FUVVJVi4yMDAwLjAxLzAxLzIwMjQuLi5VU0QuSAEAAAAcN6kBAgAAAAgwLDM3Njk3MQEIAAAABQAAAAExAQAAAAstMTk1NTI1ODQxMQMAAAADMTYwAgAAAAQxMDk2BAAAAAEwBwAAAAgxLzEvMjAyNAgAAAAKMTIvMzEvMjAyMwkAAAABMPuM+KzrR94IGJYRtutH3gguQ0lRLldJUlRFSy5JUV9ORVRfREVCVC4yMDAwLjAxLzAxLzIwMjQuLi5VU0QuSAEAAAAcN6kBAgAAAAktMCwwNzE0NzkBCAAAAAUAAAABMQEAAAALLTE5NTUyNTg0MTEDAAAAAzE2MAIAAAAENDM2NAQAAAABMAcAAAAIMS8xLzIwMjQIAAAACjEyLzMxLzIwMjMJAAAAATD7jPis60feCBiWEbbrR94IKUNJUS5TVEsuSVFfRUJJVERBLjIwMDAuMDEvMDEvMjAyNC4uLlVTRC5IAQAAAIL2jgECAAAACS0yLDUwMTEzOQEIAAAABQAAAAExAQAAAAstMTk1NjExMjUxOQMAAAADMTYwAgAAAAQ0MDUxBAAAAAEwBwAAAAgxLzEvMjAyNAgAAAAKMTIvMzEvMjAyMwkAAAABMPuM+KzrR94IvycStutH3ggwQ0lRLlNUSy5JUV9FQklUREFfTUFSR0lOLjIwMDAuMDEvMDEvMjAyNC4uLlVTRC5IAQAAAIL2jgEDAAAAAAD7jPis60feCL8nErbrR94IL0NJUS5TVEsuSVFfVE9U</t>
  </si>
  <si>
    <t>QUxfQVNTRVRTLjIwMDAuMDEvMDEvMjAyNC4uLlVTRC5IAQAAAIL2jgECAAAACTU3LDIyNzc2NQEIAAAABQAAAAExAQAAAAstMTk1NjExMjUxOQMAAAADMTYwAgAAAAQxMDA3BAAAAAEwBwAAAAgxLzEvMjAyNAgAAAAKMTIvMzEvMjAyMwkAAAABMPuM+KzrR94IvycStutH3ggtQ0lRLlNUSy5JUV9DQVNIX0VRVUlWLjIwMDAuMDEvMDEvMjAyNC4uLlVTRC5IAQAAAIL2jgECAAAACTE5LDAzNTU4NQEIAAAABQAAAAExAQAAAAstMTk1NjExMjUxOQMAAAADMTYwAgAAAAQxMDk2BAAAAAEwBwAAAAgxLzEvMjAyNAgAAAAKMTIvMzEvMjAyMwkAAAABMPuM+KzrR94IvycStutH3ggrQ0lRLlNUSy5JUV9ORVRfREVCVC4yMDAwLjAxLzAxLzIwMjQuLi5VU0QuSAEAAACC9o4BAgAAAAotMTgsODcxNzMzAQgAAAAFAAAAATEBAAAACy0xOTU2MTEyNTE5AwAAAAMxNjACAAAABDQzNjQEAAAAATAHAAAACDEvMS8yMDI0CAAAAAoxMi8zMS8yMDIzCQAAAAEw+4z4rOtH3ggVUhK260feCCxDSVEuTklESE9HLklRX0VCSVREQS4yMDAwLjAxLzAxLzIwMjQuLi5VU0QuSAEAAAASMQtxAwAAAAAA+4z4rOtH3gixfBK260feCDNDSVEuTklESE9HLklRX0VCSVREQV9NQVJHSU4uMjAwMC4wMS8wMS8yMDI0Li4uVVNELkgBAAAAEjELcQMAAAAAAPuM+KzrR94I/aYStutH3ggyQ0lRLk5JREhPRy5JUV9UT1RBTF9BU1NFVFMuMjAwMC4w</t>
  </si>
  <si>
    <t>MS8wMS8yMDI0Li4uVVNELkgBAAAAEjELcQMAAAAAAPuM+KzrR94I/aYStutH3ggwQ0lRLk5JREhPRy5JUV9DQVNIX0VRVUlWLjIwMDAuMDEvMDEvMjAyNC4uLlVTRC5IAQAAABIxC3EDAAAAAAD7jPis60feCLF8ErbrR94ILkNJUS5OSURIT0cuSVFfTkVUX0RFQlQuMjAwMC4wMS8wMS8yMDI0Li4uVVNELkgBAAAAEjELcQMAAAAAAPuM+KzrR94IsXwStutH3ggrQ0lRLkFMQkZSLklRX0VCSVREQS4yMDAwLjAxLzAxLzIwMjQuLi5VU0QuSAEAAAAiewIAAgAAAAg3LDUxMDg1MwEIAAAABQAAAAExAQAAAAstMTk1MzA5OTMzNgMAAAADMTYwAgAAAAQ0MDUxBAAAAAEwBwAAAAgxLzEvMjAyNAgAAAAKMTIvMzEvMjAyMwkAAAABMNA9pa3rR94ITvwStutH3ggyQ0lRLkFMQkZSLklRX0VCSVREQV9NQVJHSU4uMjAwMC4wMS8wMS8yMDI0Li4uVVNELkgBAAAAInsCAAIAAAAHMTUsNDU3NgEIAAAABQAAAAExAQAAAAstMTk1MzA5OTMzNgMAAAACNTACAAAABDQwNDcEAAAAATAHAAAACDEvMS8yMDI0CAAAAAoxMi8zMS8yMDIzCQAAAAEw0D2lretH3ggPUhO260feCDFDSVEuQUxCRlIuSVFfVE9UQUxfQVNTRVRTLjIwMDAuMDEvMDEvMjAyNC4uLlVTRC5IAQAAACJ7AgACAAAACTcxLDgzMzkxNAEIAAAABQAAAAExAQAAAAstMTk1MzA5OTMzNgMAAAADMTYwAgAAAAQxMDA3BAAAAAEwBwAAAAgxLzEvMjAyNAgAAAAKMTIv</t>
  </si>
  <si>
    <t>MzEvMjAyMwkAAAABMNA9pa3rR94ID1ITtutH3ggvQ0lRLkFMQkZSLklRX0NBU0hfRVFVSVYuMjAwMC4wMS8wMS8yMDI0Li4uVVNELkgBAAAAInsCAAIAAAAJMjYsMjk2ODY5AQgAAAAFAAAAATEBAAAACy0xOTUzMDk5MzM2AwAAAAMxNjACAAAABDEwOTYEAAAAATAHAAAACDEvMS8yMDI0CAAAAAoxMi8zMS8yMDIzCQAAAAEw0D2lretH3gijJxO260feCC1DSVEuQUxCRlIuSVFfTkVUX0RFQlQuMjAwMC4wMS8wMS8yMDI0Li4uVVNELkgBAAAAInsCAAIAAAAKLTE0LDk1OTY1NwEIAAAABQAAAAExAQAAAAstMTk1MzA5OTMzNgMAAAADMTYwAgAAAAQ0MzY0BAAAAAEwBwAAAAgxLzEvMjAyNAgAAAAKMTIvMzEvMjAyMwkAAAABMNA9pa3rR94IoycTtutH3ggpQ0lRLlk3My5JUV9FQklUREEuMjAwMC4wMS8wMS8yMDI0Li4uVVNELkgBAAAAfbgUbAIAAAAJLTAsMjk2MTIyAQgAAAAFAAAAATEBAAAACy0xOTIzODMzMTUyAwAAAAMxNjACAAAABDQwNTEEAAAAATAHAAAACDEvMS8yMDI0CAAAAAoxMi8zMS8yMDIzCQAAAAEw+4z4rOtH3ghO/BK260feCDBDSVEuWTczLklRX0VCSVREQV9NQVJHSU4uMjAwMC4wMS8wMS8yMDI0Li4uVVNELkgBAAAAfbgUbAIAAAAHLTMsNTg3NQEIAAAABQAAAAExAQAAAAstMTkyMzgzMzE1MgMAAAADMTM3AgAAAAQ0MDQ3BAAAAAEwBwAAAAgxLzEvMjAyNAgAAAAKMTIvMzEvMjAyMwkA</t>
  </si>
  <si>
    <t>AAABMPuM+KzrR94ITvwStutH3ggvQ0lRLlk3My5JUV9UT1RBTF9BU1NFVFMuMjAwMC4wMS8wMS8yMDI0Li4uVVNELkgBAAAAfbgUbAIAAAAJMjEsODA0MTE0AQgAAAAFAAAAATEBAAAACy0xOTIzODMzMTUyAwAAAAMxNjACAAAABDEwMDcEAAAAATAHAAAACDEvMS8yMDI0CAAAAAoxMi8zMS8yMDIzCQAAAAEw+4z4rOtH3ghO/BK260feCC1DSVEuWTczLklRX0NBU0hfRVFVSVYuMjAwMC4wMS8wMS8yMDI0Li4uVVNELkgBAAAAfbgUbAIAAAAIMSw1Mjc2NDEBCAAAAAUAAAABMQEAAAALLTE5MjM4MzMxNTIDAAAAAzE2MAIAAAAEMTA5NgQAAAABMAcAAAAIMS8xLzIwMjQIAAAACjEyLzMxLzIwMjMJAAAAATD7jPis60feCE78ErbrR94IK0NJUS5ZNzMuSVFfTkVUX0RFQlQuMjAwMC4wMS8wMS8yMDI0Li4uVVNELkgBAAAAfbgUbAIAAAAINCwwNTgxOTgBCAAAAAUAAAABMQEAAAALLTE5MjM4MzMxNTIDAAAAAzE2MAIAAAAENDM2NAQAAAABMAcAAAAIMS8xLzIwMjQIAAAACjEyLzMxLzIwMjMJAAAAATD7jPis60feCE78ErbrR94IKUNJUS5HUEkuSVFfRUJJVERBLjIwMDAuMDEvMDEvMjAyNC4uLlVTRC5IAQAAAJOgBQACAAAABjEwOTYsOQEIAAAABQAAAAExAQAAAAstMTk1OTU0MjM0NgMAAAADMTYwAgAAAAQ0MDUxBAAAAAEwBwAAAAgxLzEvMjAyNAgAAAAKMTIvMzEvMjAyMwkAAAABMPuM+KzrR94ID1ITtutH</t>
  </si>
  <si>
    <t>3ggwQ0lRLkdQSS5JUV9FQklUREFfTUFSR0lOLjIwMDAuMDEvMDEvMjAyNC4uLlVTRC5IAQAAAJOgBQACAAAABjYsMTM2OQEIAAAABQAAAAExAQAAAAstMTk1OTU0MjM0NgMAAAADMTYwAgAAAAQ0MDQ3BAAAAAEwBwAAAAgxLzEvMjAyNAgAAAAKMTIvMzEvMjAyMwkAAAABMPuM+KzrR94ITn0TtutH3ggvQ0lRLkdQSS5JUV9UT1RBTF9BU1NFVFMuMjAwMC4wMS8wMS8yMDI0Li4uVVNELkgBAAAAk6AFAAIAAAAGNzc3NCwxAQgAAAAFAAAAATEBAAAACy0xOTU5NTQyMzQ2AwAAAAMxNjACAAAABDEwMDcEAAAAATAHAAAACDEvMS8yMDI0CAAAAAoxMi8zMS8yMDIzCQAAAAEw+4z4rOtH3ghOfRO260feCC1DSVEuR1BJLklRX0NBU0hfRVFVSVYuMjAwMC4wMS8wMS8yMDI0Li4uVVNELkgBAAAAk6AFAAIAAAAENTcsMgEIAAAABQAAAAExAQAAAAstMTk1OTU0MjM0NgMAAAADMTYwAgAAAAQxMDk2BAAAAAEwBwAAAAgxLzEvMjAyNAgAAAAKMTIvMzEvMjAyMwkAAAABMPuM+KzrR94ITn0TtutH3ggrQ0lRLkdQSS5JUV9ORVRfREVCVC4yMDAwLjAxLzAxLzIwMjQuLi5VU0QuSAEAAACToAUAAgAAAAYzODM2LDEBCAAAAAUAAAABMQEAAAALLTE5NTk1NDIzNDYDAAAAAzE2MAIAAAAENDM2NAQAAAABMAcAAAAIMS8xLzIwMjQIAAAACjEyLzMxLzIwMjMJAAAAATD7jPis60feCE59E7brR94IK0NJUS5TTUNSVC5JUV9FQklU</t>
  </si>
  <si>
    <t>REEuMjAwMC4wMS8wMS8yMDI0Li4uVVNELkgBAAAADgoKIgIAAAAJMTMsNjg2NDY1AQgAAAAFAAAAATEBAAAACy0xOTUxNzcwMTQ2AwAAAAMxNjACAAAABDQwNTEEAAAAATAHAAAACDEvMS8yMDI0CAAAAAoxMi8zMS8yMDIzCQAAAAEw0D2lretH3ghOfRO260feCDJDSVEuU01DUlQuSVFfRUJJVERBX01BUkdJTi4yMDAwLjAxLzAxLzIwMjQuLi5VU0QuSAEAAAAOCgoiAgAAAAczNCw1NTMzAQgAAAAFAAAAATEBAAAACy0xOTUxNzcwMTQ2AwAAAAMxMTcCAAAABDQwNDcEAAAAATAHAAAACDEvMS8yMDI0CAAAAAoxMi8zMS8yMDIzCQAAAAEw0D2lretH3ghOfRO260feCDFDSVEuU01DUlQuSVFfVE9UQUxfQVNTRVRTLjIwMDAuMDEvMDEvMjAyNC4uLlVTRC5IAQAAAA4KCiICAAAACjEwOCw0ODQxNTgBCAAAAAUAAAABMQEAAAALLTE5NTE3NzAxNDYDAAAAAzE2MAIAAAAEMTAwNwQAAAABMAcAAAAIMS8xLzIwMjQIAAAACjEyLzMxLzIwMjMJAAAAATDQPaWt60feCAmoE7brR94IL0NJUS5TTUNSVC5JUV9DQVNIX0VRVUlWLjIwMDAuMDEvMDEvMjAyNC4uLlVTRC5IAQAAAA4KCiICAAAACTIwLDMxNzMyNwEIAAAABQAAAAExAQAAAAstMTk1MTc3MDE0NgMAAAADMTYwAgAAAAQxMDk2BAAAAAEwBwAAAAgxLzEvMjAyNAgAAAAKMTIvMzEvMjAyMwkAAAABMNA9pa3rR94ICagTtutH3ggtQ0lRLlNNQ1JULklRX05FVF9E</t>
  </si>
  <si>
    <t>RUJULjIwMDAuMDEvMDEvMjAyNC4uLlVTRC5IAQAAAA4KCiICAAAACi0xNyw4Mzk2OTEBCAAAAAUAAAABMQEAAAALLTE5NTE3NzAxNDYDAAAAAzE2MAIAAAAENDM2NAQAAAABMAcAAAAIMS8xLzIwMjQIAAAACjEyLzMxLzIwMjMJAAAAATDQPaWt60feCAmoE7brR94IKENJUS5ERy5JUV9FQklUREEuMjAwMC4wMS8wMS8yMDI0Li4uVVNELkgBAAAA3hIEAAIAAAAGMzYyMCwxAQgAAAAFAAAAATEBAAAACy0xOTY1MDM3ODk0AwAAAAMxNjACAAAABDQwNTEEAAAAATAHAAAACDEvMS8yMDI0CAAAAAkxMS8zLzIwMjMJAAAAATD7jPis60feCAmoE7brR94IL0NJUS5ERy5JUV9FQklUREFfTUFSR0lOLjIwMDAuMDEvMDEvMjAyNC4uLlVTRC5IAQAAAN4SBAACAAAABjksMjczNwEIAAAABQAAAAExAQAAAAstMTk2NTAzNzg5NAMAAAADMTYwAgAAAAQ0MDQ3BAAAAAEwBwAAAAgxLzEvMjAyNAgAAAAJMTEvMy8yMDIzCQAAAAEw+4z4rOtH3gh0+hO260feCC5DSVEuREcuSVFfVE9UQUxfQVNTRVRTLjIwMDAuMDEvMDEvMjAyNC4uLlVTRC5IAQAAAN4SBAACAAAACTMwNjI0LDYyNgEIAAAABQAAAAExAQAAAAstMTk2NTAzNzg5NAMAAAADMTYwAgAAAAQxMDA3BAAAAAEwBwAAAAgxLzEvMjAyNAgAAAAJMTEvMy8yMDIzCQAAAAEw+4z4rOtH3gh0+hO260feCCxDSVEuREcuSVFfQ0FTSF9FUVVJVi4yMDAwLjAxLzAxLzIwMjQu</t>
  </si>
  <si>
    <t>Li5VU0QuSAEAAADeEgQAAgAAAAczNjUsNDQ3AQgAAAAFAAAAATEBAAAACy0xOTY1MDM3ODk0AwAAAAMxNjACAAAABDEwOTYEAAAAATAHAAAACDEvMS8yMDI0CAAAAAkxMS8zLzIwMjMJAAAAATD7jPis60feCH3SE7brR94IKkNJUS5ERy5JUV9ORVRfREVCVC4yMDAwLjAxLzAxLzIwMjQuLi5VU0QuSAEAAADeEgQAAgAAAAkxNzcyMSwyODcBCAAAAAUAAAABMQEAAAALLTE5NjUwMzc4OTQDAAAAAzE2MAIAAAAENDM2NAQAAAABMAcAAAAIMS8xLzIwMjQIAAAACTExLzMvMjAyMwkAAAABMPuM+KzrR94IfdITtutH3ggpQ0lRLlNVUC5JUV9FQklUREEuMjAwMC4wMS8wMS8yMDI0Li4uVVNELkgBAAAAEA+CIQIAAAAJMzcsMzYzNzA4AQgAAAAFAAAAATEBAAAACy0xOTI5OTM5NTUwAwAAAAMxNjACAAAABDQwNTEEAAAAATAHAAAACDEvMS8yMDI0CAAAAAoxMi8zMS8yMDIzCQAAAAEw8/+JretH3gjRuOO160feCDBDSVEuU1VQLklRX0VCSVREQV9NQVJHSU4uMjAwMC4wMS8wMS8yMDI0Li4uVVNELkgBAAAAEA+CIQIAAAAHMTQsMDU4OQEIAAAABQAAAAExAQAAAAstMTkyOTkzOTU1MAMAAAACNTUCAAAABDQwNDcEAAAAATAHAAAACDEvMS8yMDI0CAAAAAoxMi8zMS8yMDIzCQAAAAEw8/+JretH3gj7COS160feCC9DSVEuU1VQLklRX1RPVEFMX0FTU0VUUy4yMDAwLjAxLzAxLzIwMjQuLi5VU0QuSAEAAAAQD4IhAgAA</t>
  </si>
  <si>
    <t>AAoxMzUsOTk4ODc5AQgAAAAFAAAAATEBAAAACy0xOTI5OTM5NTUwAwAAAAMxNjACAAAABDEwMDcEAAAAATAHAAAACDEvMS8yMDI0CAAAAAoxMi8zMS8yMDIzCQAAAAEw8/+JretH3gj7COS160feCC1DSVEuU1VQLklRX0NBU0hfRVFVSVYuMjAwMC4wMS8wMS8yMDI0Li4uVVNELkgBAAAAEA+CIQIAAAAJMTQsODE1MDUxAQgAAAAFAAAAATEBAAAACy0xOTI5OTM5NTUwAwAAAAMxNjACAAAABDEwOTYEAAAAATAHAAAACDEvMS8yMDI0CAAAAAoxMi8zMS8yMDIzCQAAAAEw8/+JretH3ggh4eO160feCCtDSVEuU1VQLklRX05FVF9ERUJULjIwMDAuMDEvMDEvMjAyNC4uLlVTRC5IAQAAABAPgiECAAAACDMsOTMzMzU3AQgAAAAFAAAAATEBAAAACy0xOTI5OTM5NTUwAwAAAAMxNjACAAAABDQzNjQEAAAAATAHAAAACDEvMS8yMDI0CAAAAAoxMi8zMS8yMDIzCQAAAAEw8/+JretH3ggh4eO160feCClDSVEuU09OLklRX0VCSVREQS4yMDAwLjAxLzAxLzIwMjQuLi5VU0QuSAEAAAD8owQAAgAAAAc5MDMsMzk5AQgAAAAFAAAAATEBAAAACy0xOTU3MzM3MDMyAwAAAAMxNjACAAAABDQwNTEEAAAAATAHAAAACDEvMS8yMDI0CAAAAAoxMi8zMS8yMDIzCQAAAAEw8/+JretH3gj7COS160feCDBDSVEuU09OLklRX0VCSVREQV9NQVJHSU4uMjAwMC4wMS8wMS8yMDI0Li4uVVNELkgBAAAA/KMEAAIAAAAHMTYsNjAyMgEIAAAA</t>
  </si>
  <si>
    <t>BQAAAAExAQAAAAstMTk1NzMzNzAzMgMAAAADMTYwAgAAAAQ0MDQ3BAAAAAEwBwAAAAgxLzEvMjAyNAgAAAAKMTIvMzEvMjAyMwkAAAABMPP/ia3rR94I7TDktetH3ggvQ0lRLlNPTi5JUV9UT1RBTF9BU1NFVFMuMjAwMC4wMS8wMS8yMDI0Li4uVVNELkgBAAAA/KMEAAIAAAAINzE5MSw5NTcBCAAAAAUAAAABMQEAAAALLTE5NTczMzcwMzIDAAAAAzE2MAIAAAAEMTAwNwQAAAABMAcAAAAIMS8xLzIwMjQIAAAACjEyLzMxLzIwMjMJAAAAATDz/4mt60feCO0w5LXrR94ILUNJUS5TT04uSVFfQ0FTSF9FUVVJVi4yMDAwLjAxLzAxLzIwMjQuLi5VU0QuSAEAAAD8owQAAgAAAAcxMzgsODk1AQgAAAAFAAAAATEBAAAACy0xOTU3MzM3MDMyAwAAAAMxNjACAAAABDEwOTYEAAAAATAHAAAACDEvMS8yMDI0CAAAAAoxMi8zMS8yMDIzCQAAAAEw8/+JretH3gjtMOS160feCCtDSVEuU09OLklRX05FVF9ERUJULjIwMDAuMDEvMDEvMjAyNC4uLlVTRC5IAQAAAPyjBAACAAAACDMxMzUsMDIzAQgAAAAFAAAAATEBAAAACy0xOTU3MzM3MDMyAwAAAAMxNjACAAAABDQzNjQEAAAAATAHAAAACDEvMS8yMDI0CAAAAAoxMi8zMS8yMDIzCQAAAAEw8/+JretH3gjtMOS160feCCpDSVEuUEdOWS5JUV9FQklUREEuMjAwMC4wMS8wMS8yMDI0Li4uVVNELkgBAAAAL3rQBgIAAAAGNjQsNDY1AQgAAAAFAAAAATEBAAAACy0xOTU3MjA3</t>
  </si>
  <si>
    <t>MDIwAwAAAAMxNjACAAAABDQwNTEEAAAAATAHAAAACDEvMS8yMDI0CAAAAAoxMi8zMS8yMDIzCQAAAAEw8/+JretH3gjtMOS160feCDFDSVEuUEdOWS5JUV9FQklUREFfTUFSR0lOLjIwMDAuMDEvMDEvMjAyNC4uLlVTRC5IAQAAAC960AYCAAAABjUsOTIxOAEIAAAABQAAAAExAQAAAAstMTk1NzIwNzAyMAMAAAADMTYwAgAAAAQ0MDQ3BAAAAAEwBwAAAAgxLzEvMjAyNAgAAAAKMTIvMzEvMjAyMwkAAAABMPP/ia3rR94I7TDktetH3ggwQ0lRLlBHTlkuSVFfVE9UQUxfQVNTRVRTLjIwMDAuMDEvMDEvMjAyNC4uLlVTRC5IAQAAAC960AYCAAAABjc1Niw2MgEIAAAABQAAAAExAQAAAAstMTk1NzIwNzAyMAMAAAADMTYwAgAAAAQxMDA3BAAAAAEwBwAAAAgxLzEvMjAyNAgAAAAKMTIvMzEvMjAyMwkAAAABMPP/ia3rR94I3FjktetH3gguQ0lRLlBHTlkuSVFfQ0FTSF9FUVVJVi4yMDAwLjAxLzAxLzIwMjQuLi5VU0QuSAEAAAAvetAGAgAAAAY5NywyOTYBCAAAAAUAAAABMQEAAAALLTE5NTcyMDcwMjADAAAAAzE2MAIAAAAEMTA5NgQAAAABMAcAAAAIMS8xLzIwMjQIAAAACjEyLzMxLzIwMjMJAAAAATCgJ4qt60feCNxY5LXrR94ILENJUS5QR05ZLklRX05FVF9ERUJULjIwMDAuMDEvMDEvMjAyNC4uLlVTRC5IAQAAAC960AYCAAAACC0zNTEsNjk3AQgAAAAFAAAAATEBAAAACy0xOTU3MjA3MDIwAwAAAAMxNjAC</t>
  </si>
  <si>
    <t>AAAABDQzNjQEAAAAATAHAAAACDEvMS8yMDI0CAAAAAoxMi8zMS8yMDIzCQAAAAEwoCeKretH3gjcWOS160feCClDSVEuSU5ULklRX0VCSVREQS4yMDAwLjAxLzAxLzIwMjQuLi5VU0QuSAEAAABRsUwNAgAAAAY4LDQ4NjIBCAAAAAUAAAABMQEAAAALLTE5Mzk2MTUwMjgDAAAAAzE2MAIAAAAENDA1MQQAAAABMAcAAAAIMS8xLzIwMjQIAAAACjEyLzMxLzIwMjMJAAAAATCgJ4qt60feCKTQ5LXrR94IMENJUS5JTlQuSVFfRUJJVERBX01BUkdJTi4yMDAwLjAxLzAxLzIwMjQuLi5VU0QuSAEAAABRsUwNAgAAAAc0NSwxMzczAQgAAAAFAAAAATEBAAAACy0xOTM5NjE1MDI4AwAAAAMxMzcCAAAABDQwNDcEAAAAATAHAAAACDEvMS8yMDI0CAAAAAoxMi8zMS8yMDIzCQAAAAEwoCeKretH3giR+OS160feCC9DSVEuSU5ULklRX1RPVEFMX0FTU0VUUy4yMDAwLjAxLzAxLzIwMjQuLi5VU0QuSAEAAABRsUwNAgAAAAkyNSwxNzY3OTgBCAAAAAUAAAABMQEAAAALLTE5Mzk2MTUwMjgDAAAAAzE2MAIAAAAEMTAwNwQAAAABMAcAAAAIMS8xLzIwMjQIAAAACjEyLzMxLzIwMjMJAAAAATCgJ4qt60feCJH45LXrR94ILUNJUS5JTlQuSVFfQ0FTSF9FUVVJVi4yMDAwLjAxLzAxLzIwMjQuLi5VU0QuSAEAAABRsUwNAgAAAAgwLDgwMTY1NgEIAAAABQAAAAExAQAAAAstMTkzOTYxNTAyOAMAAAADMTYwAgAAAAQxMDk2BAAAAAEw</t>
  </si>
  <si>
    <t>BwAAAAgxLzEvMjAyNAgAAAAKMTIvMzEvMjAyMwkAAAABMKAniq3rR94IkfjktetH3ggrQ0lRLklOVC5JUV9ORVRfREVCVC4yMDAwLjAxLzAxLzIwMjQuLi5VU0QuSAEAAABRsUwNAgAAAAgyLDI0Mjk4NwEIAAAABQAAAAExAQAAAAstMTkzOTYxNTAyOAMAAAADMTYwAgAAAAQ0MzY0BAAAAAEwBwAAAAgxLzEvMjAyNAgAAAAKMTIvMzEvMjAyMwkAAAABMKAniq3rR94IkfjktetH3ggqQ0lRLlZJSDEuSVFfRUJJVERBLjIwMDAuMDEvMDEvMjAyNC4uLlVTRC5IAQAAAE9MbQECAAAACTk1LDAwMzg2OQEIAAAABQAAAAExAQAAAAstMTk1NjAwMTY3MwMAAAADMTYwAgAAAAQ0MDUxBAAAAAEwBwAAAAgxLzEvMjAyNAgAAAAKMTIvMzEvMjAyMwkAAAABMKAniq3rR94IkfjktetH3ggxQ0lRLlZJSDEuSVFfRUJJVERBX01BUkdJTi4yMDAwLjAxLzAxLzIwMjQuLi5VU0QuSAEAAABPTG0BAgAAAAc4Myw2NzQ4AQgAAAAFAAAAATEBAAAACy0xOTU2MDAxNjczAwAAAAI1MAIAAAAENDA0NwQAAAABMAcAAAAIMS8xLzIwMjQIAAAACjEyLzMxLzIwMjMJAAAAATCgJ4qt60feCFRQ5bXrR94IMENJUS5WSUgxLklRX1RPVEFMX0FTU0VUUy4yMDAwLjAxLzAxLzIwMjQuLi5VU0QuSAEAAABPTG0BAgAAAAsyMTAwLDc2OTMxNQEIAAAABQAAAAExAQAAAAstMTk1NjAwMTY3MwMAAAADMTYwAgAAAAQxMDA3BAAAAAEwBwAAAAgxLzEv</t>
  </si>
  <si>
    <t>MjAyNAgAAAAKMTIvMzEvMjAyMwkAAAABMKAniq3rR94IVFDltetH3gguQ0lRLlZJSDEuSVFfQ0FTSF9FUVVJVi4yMDAwLjAxLzAxLzIwMjQuLi5VU0QuSAEAAABPTG0BAgAAAAoyNjIsNzc4ODIyAQgAAAAFAAAAATEBAAAACy0xOTU2MDAxNjczAwAAAAMxNjACAAAABDEwOTYEAAAAATAHAAAACDEvMS8yMDI0CAAAAAoxMi8zMS8yMDIzCQAAAAEwoCeKretH3gh6KOW160feCCxDSVEuVklIMS5JUV9ORVRfREVCVC4yMDAwLjAxLzAxLzIwMjQuLi5VU0QuSAEAAABPTG0BAgAAAAo3NjUsNTY3NTkxAQgAAAAFAAAAATEBAAAACy0xOTU2MDAxNjczAwAAAAMxNjACAAAABDQzNjQEAAAAATAHAAAACDEvMS8yMDI0CAAAAAoxMi8zMS8yMDIzCQAAAAEwoCeKretH3gh6KOW160feCClDSVEuTktULklRX0VCSVREQS4yMDAwLjAxLzAxLzIwMjQuLi5VU0QuSAEAAABKVg0AAgAAAAo1NDcsMTQyNjk5AQgAAAAFAAAAATEBAAAACy0xOTU4ODQ5ODk4AwAAAAMxNjACAAAABDQwNTEEAAAAATAHAAAACDEvMS8yMDI0CAAAAAoxMi8zMS8yMDIzCQAAAAEwoCeKretH3ghKeOW160feCDBDSVEuTktULklRX0VCSVREQV9NQVJHSU4uMjAwMC4wMS8wMS8yMDI0Li4uVVNELkgBAAAASlYNAAIAAAAHMTksMjgzMgEIAAAABQAAAAExAQAAAAstMTk1ODg0OTg5OAMAAAACNTACAAAABDQwNDcEAAAAATAHAAAACDEvMS8yMDI0CAAAAAox</t>
  </si>
  <si>
    <t>Mi8zMS8yMDIzCQAAAAEwoCeKretH3ghKeOW160feCC9DSVEuTktULklRX1RPVEFMX0FTU0VUUy4yMDAwLjAxLzAxLzIwMjQuLi5VU0QuSAEAAABKVg0AAgAAAAszOTgzLDY0MDk4NQEIAAAABQAAAAExAQAAAAstMTk1ODg0OTg5OAMAAAADMTYwAgAAAAQxMDA3BAAAAAEwBwAAAAgxLzEvMjAyNAgAAAAKMTIvMzEvMjAyMwkAAAABMKAniq3rR94ISnjltetH3ggtQ0lRLk5LVC5JUV9DQVNIX0VRVUlWLjIwMDAuMDEvMDEvMjAyNC4uLlVTRC5IAQAAAEpWDQACAAAACjk4MSw1NDA4NDIBCAAAAAUAAAABMQEAAAALLTE5NTg4NDk4OTgDAAAAAzE2MAIAAAAEMTA5NgQAAAABMAcAAAAIMS8xLzIwMjQIAAAACjEyLzMxLzIwMjMJAAAAATCgJ4qt60feCEp45bXrR94IK0NJUS5OS1QuSVFfTkVUX0RFQlQuMjAwMC4wMS8wMS8yMDI0Li4uVVNELkgBAAAASlYNAAIAAAALLTc1Miw3MzU3MTMBCAAAAAUAAAABMQEAAAALLTE5NTg4NDk4OTgDAAAAAzE2MAIAAAAENDM2NAQAAAABMAcAAAAIMS8xLzIwMjQIAAAACjEyLzMxLzIwMjMJAAAAATCgJ4qt60feCEp45bXrR94IKUNJUS5TV1QuSVFfRUJJVERBLjIwMDAuMDEvMDEvMjAyNC4uLlVTRC5IAQAAACV4YHADAAAAAACiToqt60feCEp45bXrR94IMENJUS5TV1QuSVFfRUJJVERBX01BUkdJTi4yMDAwLjAxLzAxLzIwMjQuLi5VU0QuSAEAAAAleGBwAwAAAAAAok6KretH</t>
  </si>
  <si>
    <t>3ghfoOW160feCC9DSVEuU1dULklRX1RPVEFMX0FTU0VUUy4yMDAwLjAxLzAxLzIwMjQuLi5VU0QuSAEAAAAleGBwAwAAAAAAok6KretH3ghfoOW160feCC1DSVEuU1dULklRX0NBU0hfRVFVSVYuMjAwMC4wMS8wMS8yMDI0Li4uVVNELkgBAAAAJXhgcAMAAAAAAKJOiq3rR94IX6DltetH3ggrQ0lRLlNXVC5JUV9ORVRfREVCVC4yMDAwLjAxLzAxLzIwMjQuLi5VU0QuSAEAAAAleGBwAwAAAAAAok6KretH3ghfoOW160feCCpDSVEuODE2My5JUV9FQklUREEuMjAwMC4wMS8wMS8yMDI0Li4uVVNELkgBAAAAFG8NAAIAAAAJMjMsOTYzOTA0AQgAAAAFAAAAATEBAAAACy0yMDEwNTQ5Mzg4AwAAAAMxNjACAAAABDQwNTEEAAAAATAHAAAACDEvMS8yMDI0CAAAAAoxMi8zMS8yMDIzCQAAAAEwok6KretH3ghfoOW160feCDFDSVEuODE2My5JUV9FQklUREFfTUFSR0lOLjIwMDAuMDEvMDEvMjAyNC4uLlVTRC5IAQAAABRvDQACAAAABjUsNzUwMwEIAAAABQAAAAExAQAAAAstMjAxMDU0OTM4OAMAAAACNzkCAAAABDQwNDcEAAAAATAHAAAACDEvMS8yMDI0CAAAAAoxMi8zMS8yMDIzCQAAAAEwok6KretH3ghD8eW160feCDBDSVEuODE2My5JUV9UT1RBTF9BU1NFVFMuMjAwMC4wMS8wMS8yMDI0Li4uVVNELkgBAAAAFG8NAAIAAAAKMjQ5LDIzNzM2NwEIAAAABQAAAAExAQAAAAstMjAxMDU0OTM4OAMAAAADMTYwAgAA</t>
  </si>
  <si>
    <t>AAQxMDA3BAAAAAEwBwAAAAgxLzEvMjAyNAgAAAAKMTIvMzEvMjAyMwkAAAABMKJOiq3rR94IQ/HltetH3gguQ0lRLjgxNjMuSVFfQ0FTSF9FUVVJVi4yMDAwLjAxLzAxLzIwMjQuLi5VU0QuSAEAAAAUbw0AAgAAAAk4Myw1NDAyMzkBCAAAAAUAAAABMQEAAAALLTIwMTA1NDkzODgDAAAAAzE2MAIAAAAEMTA5NgQAAAABMAcAAAAIMS8xLzIwMjQIAAAACjEyLzMxLzIwMjMJAAAAATCiToqt60feCBHJ5bXrR94ILENJUS44MTYzLklRX05FVF9ERUJULjIwMDAuMDEvMDEvMjAyNC4uLlVTRC5IAQAAABRvDQACAAAACi0xNSwwOTYyNjYBCAAAAAUAAAABMQEAAAALLTIwMTA1NDkzODgDAAAAAzE2MAIAAAAENDM2NAQAAAABMAcAAAAIMS8xLzIwMjQIAAAACjEyLzMxLzIwMjMJAAAAATCiToqt60feCBHJ5bXrR94IKkNJUS5UTlhULklRX0VCSVREQS4yMDAwLjAxLzAxLzIwMjQuLi5VU0QuSAEAAACalGENAgAAAAk5OSwyMTk2MzEBCAAAAAUAAAABMQEAAAALLTE5NTQxMDMwNTEDAAAAAzE2MAIAAAAENDA1MQQAAAABMAcAAAAIMS8xLzIwMjQIAAAACjEyLzMxLzIwMjMJAAAAATCiToqt60feCEMZ5rXrR94IMUNJUS5UTlhULklRX0VCSVREQV9NQVJHSU4uMjAwMC4wMS8wMS8yMDI0Li4uVVNELkgBAAAAmpRhDQIAAAAHMjIsNjgwNAEIAAAABQAAAAExAQAAAAstMTk1NDEwMzA1MQMAAAACNTACAAAABDQwNDcEAAAA</t>
  </si>
  <si>
    <t>ATAHAAAACDEvMS8yMDI0CAAAAAoxMi8zMS8yMDIzCQAAAAEwok6KretH3gi/QOa160feCDBDSVEuVE5YVC5JUV9UT1RBTF9BU1NFVFMuMjAwMC4wMS8wMS8yMDI0Li4uVVNELkgBAAAAmpRhDQIAAAALMTEzMSwwMDY5NjMBCAAAAAUAAAABMQEAAAALLTE5NTQxMDMwNTEDAAAAAzE2MAIAAAAEMTAwNwQAAAABMAcAAAAIMS8xLzIwMjQIAAAACjEyLzMxLzIwMjMJAAAAATCiToqt60feCL9A5rXrR94ILkNJUS5UTlhULklRX0NBU0hfRVFVSVYuMjAwMC4wMS8wMS8yMDI0Li4uVVNELkgBAAAAmpRhDQIAAAAKMTc4LDcwODk2NAEIAAAABQAAAAExAQAAAAstMTk1NDEwMzA1MQMAAAADMTYwAgAAAAQxMDk2BAAAAAEwBwAAAAgxLzEvMjAyNAgAAAAKMTIvMzEvMjAyMwkAAAABMKJOiq3rR94Iv0DmtetH3ggsQ0lRLlROWFQuSVFfTkVUX0RFQlQuMjAwMC4wMS8wMS8yMDI0Li4uVVNELkgBAAAAmpRhDQIAAAAKMTIwLDIzOTg1OAEIAAAABQAAAAExAQAAAAstMTk1NDEwMzA1MQMAAAADMTYwAgAAAAQ0MzY0BAAAAAEwBwAAAAgxLzEvMjAyNAgAAAAKMTIvMzEvMjAyMwkAAAABMKJOiq3rR94Iv0DmtetH3ggrQ0lRLkJUUyBCLklRX0VCSVREQS4yMDAwLjAxLzAxLzIwMjQuLi5VU0QuSAEAAAAQTnUAAgAAAAkzNiwyNDUzNjEBCAAAAAUAAAABMQEAAAALLTE5NDc5NzQ4ODMDAAAAAzE2MAIAAAAENDA1MQQAAAABMAcA</t>
  </si>
  <si>
    <t>AAAIMS8xLzIwMjQIAAAACjEyLzMxLzIwMjMJAAAAATCiToqt60feCL9A5rXrR94IMkNJUS5CVFMgQi5JUV9FQklUREFfTUFSR0lOLjIwMDAuMDEvMDEvMjAyNC4uLlVTRC5IAQAAABBOdQACAAAABzEzLDU4NjMBCAAAAAUAAAABMQEAAAALLTE5NDc5NzQ4ODMDAAAAAzEzNwIAAAAENDA0NwQAAAABMAcAAAAIMS8xLzIwMjQIAAAACjEyLzMxLzIwMjMJAAAAATCiToqt60feCLvM5rXrR94IMUNJUS5CVFMgQi5JUV9UT1RBTF9BU1NFVFMuMjAwMC4wMS8wMS8yMDI0Li4uVVNELkgBAAAAEE51AAIAAAAKMjkzLDk3NTg0NgEIAAAABQAAAAExAQAAAAstMTk0Nzk3NDg4MwMAAAADMTYwAgAAAAQxMDA3BAAAAAEwBwAAAAgxLzEvMjAyNAgAAAAKMTIvMzEvMjAyMwkAAAABMKJOiq3rR94Iu8zmtetH3ggvQ0lRLkJUUyBCLklRX0NBU0hfRVFVSVYuMjAwMC4wMS8wMS8yMDI0Li4uVVNELkgBAAAAEE51AAIAAAAJNTIsOTMxNDg1AQgAAAAFAAAAATEBAAAACy0xOTQ3OTc0ODgzAwAAAAMxNjACAAAABDEwOTYEAAAAATAHAAAACDEvMS8yMDI0CAAAAAoxMi8zMS8yMDIzCQAAAAEwok6KretH3gh3pea160feCC1DSVEuQlRTIEIuSVFfTkVUX0RFQlQuMjAwMC4wMS8wMS8yMDI0Li4uVVNELkgBAAAAEE51AAIAAAAJLTgsMjMzODMxAQgAAAAFAAAAATEBAAAACy0xOTQ3OTc0ODgzAwAAAAMxNjACAAAABDQzNjQEAAAAATAH</t>
  </si>
  <si>
    <t>AAAACDEvMS8yMDI0CAAAAAoxMi8zMS8yMDIzCQAAAAEwok6KretH3gh3pea160feCClDSVEuODBNLklRX0VCSVREQS4yMDAwLjAxLzAxLzIwMjQuLi5VU0QuSAEAAABiJtEOAgAAAAktMSw3NjI0MTEBCAAAAAUAAAABMQEAAAALLTE5MzYwMjAwNjIDAAAAAzE2MAIAAAAENDA1MQQAAAABMAcAAAAIMS8xLzIwMjQIAAAACjEyLzMxLzIwMjMJAAAAATCiToqt60feCMXz5rXrR94IMENJUS44ME0uSVFfRUJJVERBX01BUkdJTi4yMDAwLjAxLzAxLzIwMjQuLi5VU0QuSAEAAABiJtEOAwAAAAAAok6KretH3gjF8+a160feCC9DSVEuODBNLklRX1RPVEFMX0FTU0VUUy4yMDAwLjAxLzAxLzIwMjQuLi5VU0QuSAEAAABiJtEOAgAAAAg1MSw2MTMyOAEIAAAABQAAAAExAQAAAAstMTkzNjAyMDA2MgMAAAADMTYwAgAAAAQxMDA3BAAAAAEwBwAAAAgxLzEvMjAyNAgAAAAKMTIvMzEvMjAyMwkAAAABMKJOiq3rR94IxfPmtetH3ggtQ0lRLjgwTS5JUV9DQVNIX0VRVUlWLjIwMDAuMDEvMDEvMjAyNC4uLlVTRC5IAQAAAGIm0Q4CAAAACDAsMjU1NjQzAQgAAAAFAAAAATEBAAAACy0xOTM2MDIwMDYyAwAAAAMxNjACAAAABDEwOTYEAAAAATAHAAAACDEvMS8yMDI0CAAAAAoxMi8zMS8yMDIzCQAAAAEwok6KretH3gjF8+a160feCCtDSVEuODBNLklRX05FVF9ERUJULjIwMDAuMDEvMDEvMjAyNC4uLlVTRC5IAQAAAGIm0Q4C</t>
  </si>
  <si>
    <t>AAAACS0wLDI1NTY0MwEIAAAABQAAAAExAQAAAAstMTkzNjAyMDA2MgMAAAADMTYwAgAAAAQ0MzY0BAAAAAEwBwAAAAgxLzEvMjAyNAgAAAAKMTIvMzEvMjAyMwkAAAABMKJOiq3rR94IxfPmtetH3ggqQ0lRLlRBVEUuSVFfRUJJVERBLjIwMDAuMDEvMDEvMjAyNC4uLlVTRC5IAQAAADDEBQACAAAACTM3Myw0MTY2NAEIAAAABQAAAAExAQAAAAstMTk3MDM4ODM1NgMAAAADMTYwAgAAAAQ0MDUxBAAAAAEwBwAAAAgxLzEvMjAyNAgAAAAJOS8zMC8yMDIzCQAAAAEwok6KretH3gjWGue160feCDFDSVEuVEFURS5JUV9FQklUREFfTUFSR0lOLjIwMDAuMDEvMDEvMjAyNC4uLlVTRC5IAQAAADDEBQACAAAABzE3LDM5NjIBCAAAAAUAAAABMQEAAAALLTE5NzAzODgzNTYDAAAAAjU1AgAAAAQ0MDQ3BAAAAAEwBwAAAAgxLzEvMjAyNAgAAAAJOS8zMC8yMDIzCQAAAAEwok6KretH3gjWGue160feCDBDSVEuVEFURS5JUV9UT1RBTF9BU1NFVFMuMjAwMC4wMS8wMS8yMDI0Li4uVVNELkgBAAAAMMQFAAIAAAALMjg0MywzMzU4NTYBCAAAAAUAAAABMQEAAAALLTE5NzAzODgzNTYDAAAAAzE2MAIAAAAEMTAwNwQAAAABMAcAAAAIMS8xLzIwMjQIAAAACTkvMzAvMjAyMwkAAAABMKJOiq3rR94I1hrntetH3gguQ0lRLlRBVEUuSVFfQ0FTSF9FUVVJVi4yMDAwLjAxLzAxLzIwMjQuLi5VU0QuSAEAAAAwxAUAAgAAAAo0Nzcs</t>
  </si>
  <si>
    <t>MTQzNDg1AQgAAAAFAAAAATEBAAAACy0xOTcwMzg4MzU2AwAAAAMxNjACAAAABDEwOTYEAAAAATAHAAAACDEvMS8yMDI0CAAAAAk5LzMwLzIwMjMJAAAAATCiToqt60feCNYa57XrR94ILENJUS5UQVRFLklRX05FVF9ERUJULjIwMDAuMDEvMDEvMjAyNC4uLlVTRC5IAQAAADDEBQACAAAACjMwMyw4NTg2MzkBCAAAAAUAAAABMQEAAAALLTE5NzAzODgzNTYDAAAAAzE2MAIAAAAENDM2NAQAAAABMAcAAAAIMS8xLzIwMjQIAAAACTkvMzAvMjAyMwkAAAABMKJOiq3rR94I1hrntetH3ggsQ0lRLlBFUlAgQi5JUV9FQklUREEuMjAwMC4wMS8wMS8yMDI0Li4uVVNELkgBAAAA0sUMAgIAAAAJLTEsODIxMDQ5AQgAAAAFAAAAATEBAAAACy0xOTUwODMxOTgxAwAAAAMxNjACAAAABDQwNTEEAAAAATAHAAAACDEvMS8yMDI0CAAAAAoxMi8zMS8yMDIzCQAAAAEwok6KretH3ggWt+e160feCDNDSVEuUEVSUCBCLklRX0VCSVREQV9NQVJHSU4uMjAwMC4wMS8wMS8yMDI0Li4uVVNELkgBAAAA0sUMAgIAAAAJLTE4NCwzMTE0AQgAAAAFAAAAATEBAAAACy0xOTUwODMxOTgxAwAAAAMxMzcCAAAABDQwNDcEAAAAATAHAAAACDEvMS8yMDI0CAAAAAoxMi8zMS8yMDIzCQAAAAEwok6KretH3ggWt+e160feCDJDSVEuUEVSUCBCLklRX1RPVEFMX0FTU0VUUy4yMDAwLjAxLzAxLzIwMjQuLi5VU0QuSAEAAADSxQwCAgAAAAcxLDIy</t>
  </si>
  <si>
    <t>NDA2AQgAAAAFAAAAATEBAAAACy0xOTUwODMxOTgxAwAAAAMxNjACAAAABDEwMDcEAAAAATAHAAAACDEvMS8yMDI0CAAAAAoxMi8zMS8yMDIzCQAAAAEwok6KretH3ggl3ue160feCDBDSVEuUEVSUCBCLklRX0NBU0hfRVFVSVYuMjAwMC4wMS8wMS8yMDI0Li4uVVNELkgBAAAA0sUMAgIAAAAIMCw1NTAxOTMBCAAAAAUAAAABMQEAAAALLTE5NTA4MzE5ODEDAAAAAzE2MAIAAAAEMTA5NgQAAAABMAcAAAAIMS8xLzIwMjQIAAAACjEyLzMxLzIwMjMJAAAAATCiToqt60feCCXe57XrR94ILkNJUS5QRVJQIEIuSVFfTkVUX0RFQlQuMjAwMC4wMS8wMS8yMDI0Li4uVVNELkgBAAAA0sUMAgIAAAAJLTAsNTQ0NjY5AQgAAAAFAAAAATEBAAAACy0xOTUwODMxOTgxAwAAAAMxNjACAAAABDQzNjQEAAAAATAHAAAACDEvMS8yMDI0CAAAAAoxMi8zMS8yMDIzCQAAAAEwok6KretH3ggl3ue160feCClDSVEuQ0dTLklRX0VCSVREQS4yMDAwLjAxLzAxLzIwMjQuLi5VU0QuSAEAAADIYg0AAgAAAAkzNSw1NDM1MTEBCAAAAAUAAAABMQEAAAALLTE5Mzc0Nzc0OTUDAAAAAzE2MAIAAAAENDA1MQQAAAABMAcAAAAIMS8xLzIwMjQIAAAACjEyLzMxLzIwMjMJAAAAATCiToqt60feCCXe57XrR94IMENJUS5DR1MuSVFfRUJJVERBX01BUkdJTi4yMDAwLjAxLzAxLzIwMjQuLi5VU0QuSAEAAADIYg0AAgAAAAcxMiwzNzA3AQgAAAAF</t>
  </si>
  <si>
    <t>AAAAATEBAAAACy0xOTM3NDc3NDk1AwAAAAI1NQIAAAAENDA0NwQAAAABMAcAAAAIMS8xLzIwMjQIAAAACjEyLzMxLzIwMjMJAAAAATCiToqt60feCEgs6LXrR94IL0NJUS5DR1MuSVFfVE9UQUxfQVNTRVRTLjIwMDAuMDEvMDEvMjAyNC4uLlVTRC5IAQAAAMhiDQACAAAACjIyMSw3MDM1MjEBCAAAAAUAAAABMQEAAAALLTE5Mzc0Nzc0OTUDAAAAAzE2MAIAAAAEMTAwNwQAAAABMAcAAAAIMS8xLzIwMjQIAAAACjEyLzMxLzIwMjMJAAAAATCxdYqt60feCEgs6LXrR94ILUNJUS5DR1MuSVFfQ0FTSF9FUVVJVi4yMDAwLjAxLzAxLzIwMjQuLi5VU0QuSAEAAADIYg0AAgAAAAk0MSw0MzE0NDYBCAAAAAUAAAABMQEAAAALLTE5Mzc0Nzc0OTUDAAAAAzE2MAIAAAAEMTA5NgQAAAABMAcAAAAIMS8xLzIwMjQIAAAACjEyLzMxLzIwMjMJAAAAATCxdYqt60feCDUF6LXrR94IK0NJUS5DR1MuSVFfTkVUX0RFQlQuMjAwMC4wMS8wMS8yMDI0Li4uVVNELkgBAAAAyGINAAIAAAAKLTQxLDQzMTQ0NgEIAAAABQAAAAExAQAAAAstMTkzNzQ3NzQ5NQMAAAADMTYwAgAAAAQ0MzY0BAAAAAEwBwAAAAgxLzEvMjAyNAgAAAAKMTIvMzEvMjAyMwkAAAABMLF1iq3rR94INQXotetH3ggpQ0lRLkcyTS5JUV9FQklUREEuMjAwMC4wMS8wMS8yMDI0Li4uVVNELkgBAAAArIQAEQIAAAAJNDIsNTMxMjI2AQgAAAAFAAAAATEBAAAACy0x</t>
  </si>
  <si>
    <t>OTUxNDgyMzI3AwAAAAMxNjACAAAABDQwNTEEAAAAATAHAAAACDEvMS8yMDI0CAAAAAoxMi8zMS8yMDIzCQAAAAEwATmLretH3gjHKPO160feCDBDSVEuRzJNLklRX0VCSVREQV9NQVJHSU4uMjAwMC4wMS8wMS8yMDI0Li4uVVNELkgBAAAArIQAEQIAAAAHNDMsNDE4NgEIAAAABQAAAAExAQAAAAstMTk1MTQ4MjMyNwMAAAACNTACAAAABDQwNDcEAAAAATAHAAAACDEvMS8yMDI0CAAAAAoxMi8zMS8yMDIzCQAAAAEwATmLretH3gjHKPO160feCC9DSVEuRzJNLklRX1RPVEFMX0FTU0VUUy4yMDAwLjAxLzAxLzIwMjQuLi5VU0QuSAEAAACshAARAgAAAAozMDEsMzU1MTQ1AQgAAAAFAAAAATEBAAAACy0xOTUxNDgyMzI3AwAAAAMxNjACAAAABDEwMDcEAAAAATAHAAAACDEvMS8yMDI0CAAAAAoxMi8zMS8yMDIzCQAAAAEwATmLretH3gjXT/O160feCC1DSVEuRzJNLklRX0NBU0hfRVFVSVYuMjAwMC4wMS8wMS8yMDI0Li4uVVNELkgBAAAArIQAEQIAAAAJMTcsMTE4MzgyAQgAAAAFAAAAATEBAAAACy0xOTUxNDgyMzI3AwAAAAMxNjACAAAABDEwOTYEAAAAATAHAAAACDEvMS8yMDI0CAAAAAoxMi8zMS8yMDIzCQAAAAEwATmLretH3gjXT/O160feCCtDSVEuRzJNLklRX05FVF9ERUJULjIwMDAuMDEvMDEvMjAyNC4uLlVTRC5IAQAAAKyEABECAAAACTcyLDUwNDY5OAEIAAAABQAAAAExAQAAAAstMTk1MTQ4MjMy</t>
  </si>
  <si>
    <t>NwMAAAADMTYwAgAAAAQ0MzY0BAAAAAEwBwAAAAgxLzEvMjAyNAgAAAAKMTIvMzEvMjAyMwkAAAABMA5gi63rR94I10/ztetH3ggrQ0lRLklORjFULklRX0VCSVREQS4yMDAwLjAxLzAxLzIwMjQuLi5VU0QuSAEAAACN190BAgAAAAoxNTksMDMzOTM0AQgAAAAFAAAAATEBAAAACy0xOTQ3MTYxODg5AwAAAAMxNjACAAAABDQwNTEEAAAAATAHAAAACDEvMS8yMDI0CAAAAAoxMi8zMS8yMDIzCQAAAAEw4eikretH3ghIJf6160feCDJDSVEuSU5GMVQuSVFfRUJJVERBX01BUkdJTi4yMDAwLjAxLzAxLzIwMjQuLi5VU0QuSAEAAACN190BAgAAAAcxMywyNjUyAQgAAAAFAAAAATEBAAAACy0xOTQ3MTYxODg5AwAAAAI1MAIAAAAENDA0NwQAAAABMAcAAAAIMS8xLzIwMjQIAAAACjEyLzMxLzIwMjMJAAAAATDh6KSt60feCEgl/rXrR94IMUNJUS5JTkYxVC5JUV9UT1RBTF9BU1NFVFMuMjAwMC4wMS8wMS8yMDI0Li4uVVNELkgBAAAAjdfdAQIAAAALMTYxNCwzNjA1NjEBCAAAAAUAAAABMQEAAAALLTE5NDcxNjE4ODkDAAAAAzE2MAIAAAAEMTAwNwQAAAABMAcAAAAIMS8xLzIwMjQIAAAACjEyLzMxLzIwMjMJAAAAATDh6KSt60feCFhM/rXrR94IL0NJUS5JTkYxVC5JUV9DQVNIX0VRVUlWLjIwMDAuMDEvMDEvMjAyNC4uLlVTRC5IAQAAAI3X3QECAAAACTk2LDI5MTU4OAEIAAAABQAAAAExAQAAAAstMTk0NzE2MTg4</t>
  </si>
  <si>
    <t>OQMAAAADMTYwAgAAAAQxMDk2BAAAAAEwBwAAAAgxLzEvMjAyNAgAAAAKMTIvMzEvMjAyMwkAAAABMOHopK3rR94IWEz+tetH3ggtQ0lRLklORjFULklRX05FVF9ERUJULjIwMDAuMDEvMDEvMjAyNC4uLlVTRC5IAQAAAI3X3QECAAAACTM5MSwzMzk2NwEIAAAABQAAAAExAQAAAAstMTk0NzE2MTg4OQMAAAADMTYwAgAAAAQ0MzY0BAAAAAEwBwAAAAgxLzEvMjAyNAgAAAAKMTIvMzEvMjAyMwkAAAABMOHopK3rR94IWEz+tetH3ggqQ0lRLjE2NjIuSVFfRUJJVERBLjIwMDAuMDEvMDEvMjAyNC4uLlVTRC5IAQAAAETIUwACAAAACjUzMSwxNTAyMDQBCAAAAAUAAAABMQEAAAALLTIwMTA3MTE2MDEDAAAAAzE2MAIAAAAENDA1MQQAAAABMAcAAAAIMS8xLzIwMjQIAAAACjEyLzMxLzIwMjMJAAAAATCxdYqt60feCI/I6LXrR94IMUNJUS4xNjYyLklRX0VCSVREQV9NQVJHSU4uMjAwMC4wMS8wMS8yMDI0Li4uVVNELkgBAAAARMhTAAIAAAAHMjEsOTM1NgEIAAAABQAAAAExAQAAAAstMjAxMDcxMTYwMQMAAAACNzkCAAAABDQwNDcEAAAAATAHAAAACDEvMS8yMDI0CAAAAAoxMi8zMS8yMDIzCQAAAAEwsXWKretH3givFum160feCDBDSVEuMTY2Mi5JUV9UT1RBTF9BU1NFVFMuMjAwMC4wMS8wMS8yMDI0Li4uVVNELkgBAAAARMhTAAIAAAALNDI3MCwxOTMxMDMBCAAAAAUAAAABMQEAAAALLTIwMTA3MTE2MDEDAAAA</t>
  </si>
  <si>
    <t>AzE2MAIAAAAEMTAwNwQAAAABMAcAAAAIMS8xLzIwMjQIAAAACjEyLzMxLzIwMjMJAAAAATCxdYqt60feCME96bXrR94ILkNJUS4xNjYyLklRX0NBU0hfRVFVSVYuMjAwMC4wMS8wMS8yMDI0Li4uVVNELkgBAAAARMhTAAIAAAALMTE4MiwzNjExMjUBCAAAAAUAAAABMQEAAAALLTIwMTA3MTE2MDEDAAAAAzE2MAIAAAAEMTA5NgQAAAABMAcAAAAIMS8xLzIwMjQIAAAACjEyLzMxLzIwMjMJAAAAATCxdYqt60feCJ/v6LXrR94ILENJUS4xNjYyLklRX05FVF9ERUJULjIwMDAuMDEvMDEvMjAyNC4uLlVTRC5IAQAAAETIUwACAAAADC0xMjAzLDY0MzQ1NQEIAAAABQAAAAExAQAAAAstMjAxMDcxMTYwMQMAAAADMTYwAgAAAAQ0MzY0BAAAAAEwBwAAAAgxLzEvMjAyNAgAAAAKMTIvMzEvMjAyMwkAAAABMLF1iq3rR94In+/otetH3ggrQ0lRLlNBTVBPLklRX0VCSVREQS4yMDAwLjAxLzAxLzIwMjQuLi5VU0QuSAEAAABPTi0AAgAAAAsxOTAzLDM5MzM4OQEIAAAABQAAAAExAQAAAAstMTk1NTI5MzU5NgMAAAADMTYwAgAAAAQ0MDUxBAAAAAEwBwAAAAgxLzEvMjAyNAgAAAAKMTIvMzEvMjAyMwkAAAABMLF1iq3rR94I0GTptetH3ggyQ0lRLlNBTVBPLklRX0VCSVREQV9NQVJHSU4uMjAwMC4wMS8wMS8yMDI0Li4uVVNELkgBAAAAT04tAAIAAAAHMjAsODE3MgEIAAAABQAAAAExAQAAAAstMTk1NTI5MzU5NgMAAAAC</t>
  </si>
  <si>
    <t>NTACAAAABDQwNDcEAAAAATAHAAAACDEvMS8yMDI0CAAAAAoxMi8zMS8yMDIzCQAAAAEwsXWKretH3gjQZOm160feCDFDSVEuU0FNUE8uSVFfVE9UQUxfQVNTRVRTLjIwMDAuMDEvMDEvMjAyNC4uLlVTRC5IAQAAAE9OLQACAAAADDI2Nzc2LDgzMjA5MQEIAAAABQAAAAExAQAAAAstMTk1NTI5MzU5NgMAAAADMTYwAgAAAAQxMDA3BAAAAAEwBwAAAAgxLzEvMjAyNAgAAAAKMTIvMzEvMjAyMwkAAAABMLF1iq3rR94I0GTptetH3ggvQ0lRLlNBTVBPLklRX0NBU0hfRVFVSVYuMjAwMC4wMS8wMS8yMDI0Li4uVVNELkgBAAAAT04tAAIAAAALMTQ5NSw1MjMzNzcBCAAAAAUAAAABMQEAAAALLTE5NTUyOTM1OTYDAAAAAzE2MAIAAAAEMTA5NgQAAAABMAcAAAAIMS8xLzIwMjQIAAAACjEyLzMxLzIwMjMJAAAAATCxdYqt60feCNBk6bXrR94ILUNJUS5TQU1QTy5JUV9ORVRfREVCVC4yMDAwLjAxLzAxLzIwMjQuLi5VU0QuSAEAAABPTi0AAgAAAAsxODM4LDE3ODQwMQEIAAAABQAAAAExAQAAAAstMTk1NTI5MzU5NgMAAAADMTYwAgAAAAQ0MzY0BAAAAAEwBwAAAAgxLzEvMjAyNAgAAAAKMTIvMzEvMjAyMwkAAAABMLF1iq3rR94I4YvptetH3ggqQ0lRLlNVU0cuSVFfRUJJVERBLjIwMDAuMDEvMDEvMjAyNC4uLlVTRC5IAQAAADoSKgICAAAACDEsNzUxMzczAQgAAAAFAAAAATEBAAAACy0xOTQ0MjI0MDA3AwAAAAMx</t>
  </si>
  <si>
    <t>NjACAAAABDQwNTEEAAAAATAHAAAACDEvMS8yMDI0CAAAAAoxMi8zMS8yMDIzCQAAAAEwsXWKretH3gjhi+m160feCDFDSVEuU1VTRy5JUV9FQklUREFfTUFSR0lOLjIwMDAuMDEvMDEvMjAyNC4uLlVTRC5IAQAAADoSKgICAAAABTEwLDMzAQgAAAAFAAAAATEBAAAACy0xOTQ0MjI0MDA3AwAAAAMxMzcCAAAABDQwNDcEAAAAATAHAAAACDEvMS8yMDI0CAAAAAoxMi8zMS8yMDIzCQAAAAEwsXWKretH3gjssum160feCDBDSVEuU1VTRy5JUV9UT1RBTF9BU1NFVFMuMjAwMC4wMS8wMS8yMDI0Li4uVVNELkgBAAAAOhIqAgIAAAAJMjUsMzM5MTc4AQgAAAAFAAAAATEBAAAACy0xOTQ0MjI0MDA3AwAAAAMxNjACAAAABDEwMDcEAAAAATAHAAAACDEvMS8yMDI0CAAAAAoxMi8zMS8yMDIzCQAAAAEwsXWKretH3gj+2em160feCC5DSVEuU1VTRy5JUV9DQVNIX0VRVUlWLjIwMDAuMDEvMDEvMjAyNC4uLlVTRC5IAQAAADoSKgICAAAACDEsNTg0MjIxAQgAAAAFAAAAATEBAAAACy0xOTQ0MjI0MDA3AwAAAAMxNjACAAAABDEwOTYEAAAAATAHAAAACDEvMS8yMDI0CAAAAAoxMi8zMS8yMDIzCQAAAAEwsXWKretH3gj+2em160feCCxDSVEuU1VTRy5JUV9ORVRfREVCVC4yMDAwLjAxLzAxLzIwMjQuLi5VU0QuSAEAAAA6EioCAgAAAAY4LDAwOTkBCAAAAAUAAAABMQEAAAALLTE5NDQyMjQwMDcDAAAAAzE2MAIAAAAENDM2</t>
  </si>
  <si>
    <t>NAQAAAABMAcAAAAIMS8xLzIwMjQIAAAACjEyLzMxLzIwMjMJAAAAATCxdYqt60feCP7Z6bXrR94IK0NJUS5NQUdMRS5JUV9FQklUREEuMjAwMC4wMS8wMS8yMDI0Li4uVVNELkgBAAAAkePlJwIAAAAIMiw4MDcyODgBCAAAAAUAAAABMQEAAAALLTE5NDQxOTgxMjEDAAAAAzE2MAIAAAAENDA1MQQAAAABMAcAAAAIMS8xLzIwMjQIAAAACjEyLzMxLzIwMjMJAAAAATAmh4ut60feCEjS9rXrR94IMkNJUS5NQUdMRS5JUV9FQklUREFfTUFSR0lOLjIwMDAuMDEvMDEvMjAyNC4uLlVTRC5IAQAAAJHj5ScCAAAABzE2LDQ2MjEBCAAAAAUAAAABMQEAAAALLTE5NDQxOTgxMjEDAAAAAzEzNwIAAAAENDA0NwQAAAABMAcAAAAIMS8xLzIwMjQIAAAACjEyLzMxLzIwMjMJAAAAATAmh4ut60feCEjS9rXrR94IMUNJUS5NQUdMRS5JUV9UT1RBTF9BU1NFVFMuMjAwMC4wMS8wMS8yMDI0Li4uVVNELkgBAAAAkePlJwIAAAAJMjcsMTQzMTUzAQgAAAAFAAAAATEBAAAACy0xOTQ0MTk4MTIxAwAAAAMxNjACAAAABDEwMDcEAAAAATAHAAAACDEvMS8yMDI0CAAAAAoxMi8zMS8yMDIzCQAAAAEwJoeLretH3ghI0va160feCC9DSVEuTUFHTEUuSVFfQ0FTSF9FUVVJVi4yMDAwLjAxLzAxLzIwMjQuLi5VU0QuSAEAAACR4+UnAgAAAAcwLDcwMzkxAQgAAAAFAAAAATEBAAAACy0xOTQ0MTk4MTIxAwAAAAMxNjACAAAABDEwOTYEAAAA</t>
  </si>
  <si>
    <t>ATAHAAAACDEvMS8yMDI0CAAAAAoxMi8zMS8yMDIzCQAAAAEwJoeLretH3ghX+fa160feCC1DSVEuTUFHTEUuSVFfTkVUX0RFQlQuMjAwMC4wMS8wMS8yMDI0Li4uVVNELkgBAAAAkePlJwIAAAAINSwyOTIzMDMBCAAAAAUAAAABMQEAAAALLTE5NDQxOTgxMjEDAAAAAzE2MAIAAAAENDM2NAQAAAABMAcAAAAIMS8xLzIwMjQIAAAACjEyLzMxLzIwMjMJAAAAATAmh4ut60feCFf59rXrR94IK0NJUS5MRU1PTi5JUV9FQklUREEuMjAwMC4wMS8wMS8yMDI0Li4uVVNELkgBAAAA+SbHFgIAAAAINyw4MTE0MjkBCAAAAAUAAAABMQEAAAALLTE5NTQ4MzkyMDYDAAAAAzE2MAIAAAAENDA1MQQAAAABMAcAAAAIMS8xLzIwMjQIAAAACjEyLzMxLzIwMjMJAAAAATAGPy2u60feCD126rXrR94IMkNJUS5MRU1PTi5JUV9FQklUREFfTUFSR0lOLjIwMDAuMDEvMDEvMjAyNC4uLlVTRC5IAQAAAPkmxxYCAAAABzI2LDgyNTgBCAAAAAUAAAABMQEAAAALLTE5NTQ4MzkyMDYDAAAAAjUwAgAAAAQ0MDQ3BAAAAAEwBwAAAAgxLzEvMjAyNAgAAAAKMTIvMzEvMjAyMwkAAAABMAY/La7rR94IUJ3qtetH3ggxQ0lRLkxFTU9OLklRX1RPVEFMX0FTU0VUUy4yMDAwLjAxLzAxLzIwMjQuLi5VU0QuSAEAAAD5JscWAgAAAAk1NCwwMzQ0ODcBCAAAAAUAAAABMQEAAAALLTE5NTQ4MzkyMDYDAAAAAzE2MAIAAAAEMTAwNwQAAAABMAcAAAAI</t>
  </si>
  <si>
    <t>MS8xLzIwMjQIAAAACjEyLzMxLzIwMjMJAAAAATAGPy2u60feCFCd6rXrR94IL0NJUS5MRU1PTi5JUV9DQVNIX0VRVUlWLjIwMDAuMDEvMDEvMjAyNC4uLlVTRC5IAQAAAPkmxxYCAAAACDgsMTY3MzQ4AQgAAAAFAAAAATEBAAAACy0xOTU0ODM5MjA2AwAAAAMxNjACAAAABDEwOTYEAAAAATAHAAAACDEvMS8yMDI0CAAAAAoxMi8zMS8yMDIzCQAAAAEwBj8trutH3ghQneq160feCC1DSVEuTEVNT04uSVFfTkVUX0RFQlQuMjAwMC4wMS8wMS8yMDI0Li4uVVNELkgBAAAA+SbHFgIAAAAIMSwxMTYzOTIBCAAAAAUAAAABMQEAAAALLTE5NTQ4MzkyMDYDAAAAAzE2MAIAAAAENDM2NAQAAAABMAcAAAAIMS8xLzIwMjQIAAAACjEyLzMxLzIwMjMJAAAAATAGPy2u60feCGTE6rXrR94IKUNJUS5NTkcuSVFfRUJJVERBLjIwMDAuMDEvMDEvMjAyNC4uLlVTRC5IAQAAANTcgiMCAAAACzIyNjQsNzM3MzUyAQgAAAAFAAAAATEBAAAACy0xOTU1MjY3NDQ4AwAAAAMxNjACAAAABDQwNTEEAAAAATAHAAAACDEvMS8yMDI0CAAAAAoxMi8zMS8yMDIzCQAAAAEwsXWKretH3ghkxOq160feCDBDSVEuTU5HLklRX0VCSVREQV9NQVJHSU4uMjAwMC4wMS8wMS8yMDI0Li4uVVNELkgBAAAA1NyCIwIAAAAHMjgsMzEyMQEIAAAABQAAAAExAQAAAAstMTk1NTI2NzQ0OAMAAAACNTUCAAAABDQwNDcEAAAAATAHAAAACDEvMS8yMDI0CAAA</t>
  </si>
  <si>
    <t>AAoxMi8zMS8yMDIzCQAAAAEwsXWKretH3ghkxOq160feCC9DSVEuTU5HLklRX1RPVEFMX0FTU0VUUy4yMDAwLjAxLzAxLzIwMjQuLi5VU0QuSAEAAADU3IIjAgAAAA0yNDA5NjksMDczMjQ2AQgAAAAFAAAAATEBAAAACy0xOTU1MjY3NDQ4AwAAAAMxNjACAAAABDEwMDcEAAAAATAHAAAACDEvMS8yMDI0CAAAAAoxMi8zMS8yMDIzCQAAAAEwsXWKretH3ghu6+q160feCC1DSVEuTU5HLklRX0NBU0hfRVFVSVYuMjAwMC4wMS8wMS8yMDI0Li4uVVNELkgBAAAA1NyCIwIAAAALNjU1NywyOTM1MjUBCAAAAAUAAAABMQEAAAALLTE5NTUyNjc0NDgDAAAAAzE2MAIAAAAEMTA5NgQAAAABMAcAAAAIMS8xLzIwMjQIAAAACjEyLzMxLzIwMjMJAAAAATCxdYqt60feCG7r6rXrR94IK0NJUS5NTkcuSVFfTkVUX0RFQlQuMjAwMC4wMS8wMS8yMDI0Li4uVVNELkgBAAAA1NyCIwIAAAALMzY3NiwwNTg0OTEBCAAAAAUAAAABMQEAAAALLTE5NTUyNjc0NDgDAAAAAzE2MAIAAAAENDM2NAQAAAABMAcAAAAIMS8xLzIwMjQIAAAACjEyLzMxLzIwMjMJAAAAATCxdYqt60feCHsS67XrR94ILENJUS5MT0dJIEEuSVFfRUJJVERBLjIwMDAuMDEvMDEvMjAyNC4uLlVTRC5IAQAAAPNNDAICAAAACTIzLDk2NDE3MQEIAAAABQAAAAExAQAAAAstMTk1MjY3ODc4MwMAAAADMTYwAgAAAAQ0MDUxBAAAAAEwBwAAAAgxLzEvMjAyNAgAAAAK</t>
  </si>
  <si>
    <t>MTIvMzEvMjAyMwkAAAABMLF1iq3rR94IexLrtetH3ggzQ0lRLkxPR0kgQS5JUV9FQklUREFfTUFSR0lOLjIwMDAuMDEvMDEvMjAyNC4uLlVTRC5IAQAAAPNNDAICAAAABjY3LDUwNwEIAAAABQAAAAExAQAAAAstMTk1MjY3ODc4MwMAAAADMTM3AgAAAAQ0MDQ3BAAAAAEwBwAAAAgxLzEvMjAyNAgAAAAKMTIvMzEvMjAyMwkAAAABMLF1iq3rR94IrIfrtetH3ggyQ0lRLkxPR0kgQS5JUV9UT1RBTF9BU1NFVFMuMjAwMC4wMS8wMS8yMDI0Li4uVVNELkgBAAAA800MAgIAAAAKNTQ4LDY5MDAyOAEIAAAABQAAAAExAQAAAAstMTk1MjY3ODc4MwMAAAADMTYwAgAAAAQxMDA3BAAAAAEwBwAAAAgxLzEvMjAyNAgAAAAKMTIvMzEvMjAyMwkAAAABMLF1iq3rR94IrIfrtetH3ggwQ0lRLkxPR0kgQS5JUV9DQVNIX0VRVUlWLjIwMDAuMDEvMDEvMjAyNC4uLlVTRC5IAQAAAPNNDAICAAAACDIsODgzNjU1AQgAAAAFAAAAATEBAAAACy0xOTUyNjc4NzgzAwAAAAMxNjACAAAABDEwOTYEAAAAATAHAAAACDEvMS8yMDI0CAAAAAoxMi8zMS8yMDIzCQAAAAEwsXWKretH3giLOeu160feCC5DSVEuTE9HSSBBLklRX05FVF9ERUJULjIwMDAuMDEvMDEvMjAyNC4uLlVTRC5IAQAAAPNNDAICAAAACTI0NiwzMDM5NQEIAAAABQAAAAExAQAAAAstMTk1MjY3ODc4MwMAAAADMTYwAgAAAAQ0MzY0BAAAAAEwBwAAAAgxLzEvMjAyNAgA</t>
  </si>
  <si>
    <t>AAAKMTIvMzEvMjAyMwkAAAABMLF1iq3rR94IiznrtetH3ggpQ0lRLkFHTy5JUV9FQklUREEuMjAwMC4wMS8wMS8yMDI0Li4uVVNELkgBAAAAW+d9AAIAAAADMzA5AQgAAAAFAAAAATEBAAAACy0xOTU3MzczMTk1AwAAAAMxNjACAAAABDQwNTEEAAAAATAHAAAACDEvMS8yMDI0CAAAAAoxMi8zMS8yMDIzCQAAAAEwsXWKretH3gi8ruu160feCDBDSVEuQUdPLklRX0VCSVREQV9NQVJHSU4uMjAwMC4wMS8wMS8yMDI0Li4uVVNELkgBAAAAW+d9AAIAAAAHMzIsNTI2MwEIAAAABQAAAAExAQAAAAstMTk1NzM3MzE5NQMAAAADMTYwAgAAAAQ0MDQ3BAAAAAEwBwAAAAgxLzEvMjAyNAgAAAAKMTIvMzEvMjAyMwkAAAABMLF1iq3rR94IvK7rtetH3ggvQ0lRLkFHTy5JUV9UT1RBTF9BU1NFVFMuMjAwMC4wMS8wMS8yMDI0Li4uVVNELkgBAAAAW+d9AAIAAAAFMTI1MzkBCAAAAAUAAAABMQEAAAALLTE5NTczNzMxOTUDAAAAAzE2MAIAAAAEMTAwNwQAAAABMAcAAAAIMS8xLzIwMjQIAAAACjEyLzMxLzIwMjMJAAAAATCxdYqt60feCLyu67XrR94ILUNJUS5BR08uSVFfQ0FTSF9FUVVJVi4yMDAwLjAxLzAxLzIwMjQuLi5VU0QuSAEAAABb530AAgAAAAMxMzIBCAAAAAUAAAABMQEAAAALLTE5NTczNzMxOTUDAAAAAzE2MAIAAAAEMTA5NgQAAAABMAcAAAAIMS8xLzIwMjQIAAAACjEyLzMxLzIwMjMJAAAAATCxdYqt60fe</t>
  </si>
  <si>
    <t>CLyu67XrR94IK0NJUS5BR08uSVFfTkVUX0RFQlQuMjAwMC4wMS8wMS8yMDI0Li4uVVNELkgBAAAAW+d9AAIAAAAEMTY1OQEIAAAABQAAAAExAQAAAAstMTk1NzM3MzE5NQMAAAADMTYwAgAAAAQ0MzY0BAAAAAEwBwAAAAgxLzEvMjAyNAgAAAAKMTIvMzEvMjAyMwkAAAABMLF1iq3rR94IyNXrtetH3ggpQ0lRLktUWS5JUV9FQklUREEuMjAwMC4wMS8wMS8yMDI0Li4uVVNELkgBAAAAAf0HAAIAAAAKMjE4LDc0NjAyNgEIAAAABQAAAAExAQAAAAstMTk1Mjc2MDYwOAMAAAADMTYwAgAAAAQ0MDUxBAAAAAEwBwAAAAgxLzEvMjAyNAgAAAAKMTIvMzEvMjAyMwkAAAABMLF1iq3rR94IyNXrtetH3ggwQ0lRLktUWS5JUV9FQklUREFfTUFSR0lOLjIwMDAuMDEvMDEvMjAyNC4uLlVTRC5IAQAAAAH9BwACAAAABzE2LDQ3ODIBCAAAAAUAAAABMQEAAAALLTE5NTI3NjA2MDgDAAAAAzEyNgIAAAAENDA0NwQAAAABMAcAAAAIMS8xLzIwMjQIAAAACjEyLzMxLzIwMjMJAAAAATCxdYqt60feCMjV67XrR94IL0NJUS5LVFkuSVFfVE9UQUxfQVNTRVRTLjIwMDAuMDEvMDEvMjAyNC4uLlVTRC5IAQAAAAH9BwACAAAACTkyOSw2NzA2MQEIAAAABQAAAAExAQAAAAstMTk1Mjc2MDYwOAMAAAADMTYwAgAAAAQxMDA3BAAAAAEwBwAAAAgxLzEvMjAyNAgAAAAKMTIvMzEvMjAyMwkAAAABMLF1iq3rR94I1/zrtetH3ggtQ0lRLktU</t>
  </si>
  <si>
    <t>WS5JUV9DQVNIX0VRVUlWLjIwMDAuMDEvMDEvMjAyNC4uLlVTRC5IAQAAAAH9BwACAAAACDIyLDYzNzY3AQgAAAAFAAAAATEBAAAACy0xOTUyNzYwNjA4AwAAAAMxNjACAAAABDEwOTYEAAAAATAHAAAACDEvMS8yMDI0CAAAAAoxMi8zMS8yMDIzCQAAAAEwsXWKretH3gjX/Ou160feCCtDSVEuS1RZLklRX05FVF9ERUJULjIwMDAuMDEvMDEvMjAyNC4uLlVTRC5IAQAAAAH9BwACAAAACjIzNiw4MDUyOTEBCAAAAAUAAAABMQEAAAALLTE5NTI3NjA2MDgDAAAAAzE2MAIAAAAENDM2NAQAAAABMAcAAAAIMS8xLzIwMjQIAAAACjEyLzMxLzIwMjMJAAAAATCxdYqt60feCNf867XrR94IKkNJUS5TVklLLklRX0VCSVREQS4yMDAwLjAxLzAxLzIwMjQuLi5VU0QuSAEAAADedAYAAgAAAAg4LDQ2NzEwOAEIAAAABQAAAAExAQAAAAstMTk1NDg2NTA4NgMAAAADMTYwAgAAAAQ0MDUxBAAAAAEwBwAAAAgxLzEvMjAyNAgAAAAKMTIvMzEvMjAyMwkAAAABMLF1iq3rR94I6CPstetH3ggxQ0lRLlNWSUsuSVFfRUJJVERBX01BUkdJTi4yMDAwLjAxLzAxLzIwMjQuLi5VU0QuSAEAAADedAYAAgAAAAcxMCwzMDg1AQgAAAAFAAAAATEBAAAACy0xOTU0ODY1MDg2AwAAAAMxMzcCAAAABDQwNDcEAAAAATAHAAAACDEvMS8yMDI0CAAAAAoxMi8zMS8yMDIzCQAAAAEwsXWKretH3ggIcuy160feCDBDSVEuU1ZJSy5JUV9UT1RBTF9B</t>
  </si>
  <si>
    <t>U1NFVFMuMjAwMC4wMS8wMS8yMDI0Li4uVVNELkgBAAAA3nQGAAIAAAAJMTAwLDE1NTMyAQgAAAAFAAAAATEBAAAACy0xOTU0ODY1MDg2AwAAAAMxNjACAAAABDEwMDcEAAAAATAHAAAACDEvMS8yMDI0CAAAAAoxMi8zMS8yMDIzCQAAAAEwwJyKretH3ggIcuy160feCC5DSVEuU1ZJSy5JUV9DQVNIX0VRVUlWLjIwMDAuMDEvMDEvMjAyNC4uLlVTRC5IAQAAAN50BgACAAAACDksNzI0MzgyAQgAAAAFAAAAATEBAAAACy0xOTU0ODY1MDg2AwAAAAMxNjACAAAABDEwOTYEAAAAATAHAAAACDEvMS8yMDI0CAAAAAoxMi8zMS8yMDIzCQAAAAEwwJyKretH3gj6Suy160feCCxDSVEuU1ZJSy5JUV9ORVRfREVCVC4yMDAwLjAxLzAxLzIwMjQuLi5VU0QuSAEAAADedAYAAgAAAAg0LDA1MTgzNAEIAAAABQAAAAExAQAAAAstMTk1NDg2NTA4NgMAAAADMTYwAgAAAAQ0MzY0BAAAAAEwBwAAAAgxLzEvMjAyNAgAAAAKMTIvMzEvMjAyMwkAAAABMMCciq3rR94I+krstetH3ggpQ0lRLlNUQi5JUV9FQklUREEuMjAwMC4wMS8wMS8yMDI0Li4uVVNELkgBAAAAgV4NAAIAAAALNDUyNCw4MTIzMzUBCAAAAAUAAAABMQEAAAALLTE5NTU0OTYxMTUDAAAAAzE2MAIAAAAENDA1MQQAAAABMAcAAAAIMS8xLzIwMjQIAAAACjEyLzMxLzIwMjMJAAAAATDAnIqt60feCBaZ7LXrR94IMENJUS5TVEIuSVFfRUJJVERBX01BUkdJTi4yMDAw</t>
  </si>
  <si>
    <t>LjAxLzAxLzIwMjQuLi5VU0QuSAEAAACBXg0AAgAAAAY3OCwzMjQBCAAAAAUAAAABMQEAAAALLTE5NTU0OTYxMTUDAAAAAzExNwIAAAAENDA0NwQAAAABMAcAAAAIMS8xLzIwMjQIAAAACjEyLzMxLzIwMjMJAAAAATDAnIqt60feCBaZ7LXrR94IL0NJUS5TVEIuSVFfVE9UQUxfQVNTRVRTLjIwMDAuMDEvMDEvMjAyNC4uLlVTRC5IAQAAAIFeDQACAAAADDg4NDUyLDkxNjY3OQEIAAAABQAAAAExAQAAAAstMTk1NTQ5NjExNQMAAAADMTYwAgAAAAQxMDA3BAAAAAEwBwAAAAgxLzEvMjAyNAgAAAAKMTIvMzEvMjAyMwkAAAABMMCciq3rR94IFpnstetH3ggtQ0lRLlNUQi5JUV9DQVNIX0VRVUlWLjIwMDAuMDEvMDEvMjAyNC4uLlVTRC5IAQAAAIFeDQACAAAACzE0ODQsNTY5OTkxAQgAAAAFAAAAATEBAAAACy0xOTU1NDk2MTE1AwAAAAMxNjACAAAABDEwOTYEAAAAATAHAAAACDEvMS8yMDI0CAAAAAoxMi8zMS8yMDIzCQAAAAEwwJyKretH3ggWmey160feCCtDSVEuU1RCLklRX05FVF9ERUJULjIwMDAuMDEvMDEvMjAyNC4uLlVTRC5IAQAAAIFeDQACAAAACzM4MDMsMTM4MTQ5AQgAAAAFAAAAATEBAAAACy0xOTU1NDk2MTE1AwAAAAMxNjACAAAABDQzNjQEAAAAATAHAAAACDEvMS8yMDI0CAAAAAoxMi8zMS8yMDIzCQAAAAEwwJyKretH3gglwOy160feCClDSVEuRFJSLklRX0VCSVREQS4yMDAwLjAxLzAxLzIw</t>
  </si>
  <si>
    <t>MjQuLi5VU0QuSAEAAACjGRMnAgAAAAoxNjQsMjY3ODk0AQgAAAAFAAAAATEBAAAACy0xOTU5Mzc4ODY3AwAAAAMxNjACAAAABDQwNTEEAAAAATAHAAAACDEvMS8yMDI0CAAAAAoxMi8zMS8yMDIzCQAAAAEwwJyKretH3gglwOy160feCDBDSVEuRFJSLklRX0VCSVREQV9NQVJHSU4uMjAwMC4wMS8wMS8yMDI0Li4uVVNELkgBAAAAoxkTJwIAAAAHOTUsNjg4NQEIAAAABQAAAAExAQAAAAstMTk1OTM3ODg2NwMAAAABOQIAAAAENDA0NwQAAAABMAcAAAAIMS8xLzIwMjQIAAAACjEyLzMxLzIwMjMJAAAAATDAnIqt60feCCXA7LXrR94IL0NJUS5EUlIuSVFfVE9UQUxfQVNTRVRTLjIwMDAuMDEvMDEvMjAyNC4uLlVTRC5IAQAAAKMZEycCAAAACTY4LDY2MDUzMgEIAAAABQAAAAExAQAAAAstMTk1OTM3ODg2NwMAAAADMTYwAgAAAAQxMDA3BAAAAAEwBwAAAAgxLzEvMjAyNAgAAAAKMTIvMzEvMjAyMwkAAAABMMCciq3rR94INufstetH3ggtQ0lRLkRSUi5JUV9DQVNIX0VRVUlWLjIwMDAuMDEvMDEvMjAyNC4uLlVTRC5IAQAAAKMZEycCAAAACTE2LDk5OTMxOAEIAAAABQAAAAExAQAAAAstMTk1OTM3ODg2NwMAAAADMTYwAgAAAAQxMDk2BAAAAAEwBwAAAAgxLzEvMjAyNAgAAAAKMTIvMzEvMjAyMwkAAAABMMCciq3rR94INufstetH3ggrQ0lRLkRSUi5JUV9ORVRfREVCVC4yMDAwLjAxLzAxLzIwMjQuLi5VU0Qu</t>
  </si>
  <si>
    <t>SAEAAACjGRMnAgAAAAotMTYsNjMzMjY1AQgAAAAFAAAAATEBAAAACy0xOTU5Mzc4ODY3AwAAAAMxNjACAAAABDQzNjQEAAAAATAHAAAACDEvMS8yMDI0CAAAAAoxMi8zMS8yMDIzCQAAAAEwwJyKretH3gg25+y160feCClDSVEuUEVHLklRX0VCSVREQS4yMDAwLjAxLzAxLzIwMjQuLi5VU0QuSAEAAADyjQQAAgAAAAQ0Nzk4AQgAAAAFAAAAATEBAAAACy0xOTU4MDUxOTg0AwAAAAMxNjACAAAABDQwNTEEAAAAATAHAAAACDEvMS8yMDI0CAAAAAoxMi8zMS8yMDIzCQAAAAEwwJyKretH3gg25+y160feCDBDSVEuUEVHLklRX0VCSVREQV9NQVJHSU4uMjAwMC4wMS8wMS8yMDI0Li4uVVNELkgBAAAA8o0EAAIAAAAHNDIsNjk4MgEIAAAABQAAAAExAQAAAAstMTk1ODA1MTk4NAMAAAADMTYwAgAAAAQ0MDQ3BAAAAAEwBwAAAAgxLzEvMjAyNAgAAAAKMTIvMzEvMjAyMwkAAAABMMCciq3rR94IVzXttetH3ggvQ0lRLlBFRy5JUV9UT1RBTF9BU1NFVFMuMjAwMC4wMS8wMS8yMDI0Li4uVVNELkgBAAAA8o0EAAIAAAAFNTA3NDEBCAAAAAUAAAABMQEAAAALLTE5NTgwNTE5ODQDAAAAAzE2MAIAAAAEMTAwNwQAAAABMAcAAAAIMS8xLzIwMjQIAAAACjEyLzMxLzIwMjMJAAAAATDAnIqt60feCFc17bXrR94ILUNJUS5QRUcuSVFfQ0FTSF9FUVVJVi4yMDAwLjAxLzAxLzIwMjQuLi5VU0QuSAEAAADyjQQAAgAAAAI1NAEI</t>
  </si>
  <si>
    <t>AAAABQAAAAExAQAAAAstMTk1ODA1MTk4NAMAAAADMTYwAgAAAAQxMDk2BAAAAAEwBwAAAAgxLzEvMjAyNAgAAAAKMTIvMzEvMjAyMwkAAAABMMCciq3rR94IRw7ttetH3ggrQ0lRLlBFRy5JUV9ORVRfREVCVC4yMDAwLjAxLzAxLzIwMjQuLi5VU0QuSAEAAADyjQQAAgAAAAUyMDM3OQEIAAAABQAAAAExAQAAAAstMTk1ODA1MTk4NAMAAAADMTYwAgAAAAQ0MzY0BAAAAAEwBwAAAAgxLzEvMjAyNAgAAAAKMTIvMzEvMjAyMwkAAAABMMCciq3rR94IRw7ttetH3ggsQ0lRLkxCVFkuQS5JUV9FQklUREEuMjAwMC4wMS8wMS8yMDI0Li4uVVNELkgBAAAAA+uXAAIAAAAFOTUxLDkBCAAAAAUAAAABMQEAAAALLTE5NTkyMzg0MDQDAAAAAzE2MAIAAAAENDA1MQQAAAABMAcAAAAIMS8xLzIwMjQIAAAACjEyLzMxLzIwMjMJAAAAATDAnIqt60feCFc17bXrR94IM0NJUS5MQlRZLkEuSVFfRUJJVERBX01BUkdJTi4yMDAwLjAxLzAxLzIwMjQuLi5VU0QuSAEAAAAD65cAAgAAAAcyMywxMjc5AQgAAAAFAAAAATEBAAAACy0xOTU5MjM4NDA0AwAAAAMxNjACAAAABDQwNDcEAAAAATAHAAAACDEvMS8yMDI0CAAAAAoxMi8zMS8yMDIzCQAAAAEwwJyKretH3ghoXO2160feCDJDSVEuTEJUWS5BLklRX1RPVEFMX0FTU0VUUy4yMDAwLjAxLzAxLzIwMjQuLi5VU0QuSAEAAAAD65cAAgAAAAc0MjA4Nyw5AQgAAAAFAAAAATEBAAAA</t>
  </si>
  <si>
    <t>Cy0xOTU5MjM4NDA0AwAAAAMxNjACAAAABDEwMDcEAAAAATAHAAAACDEvMS8yMDI0CAAAAAoxMi8zMS8yMDIzCQAAAAEwwJyKretH3ghoXO2160feCDBDSVEuTEJUWS5BLklRX0NBU0hfRVFVSVYuMjAwMC4wMS8wMS8yMDI0Li4uVVNELkgBAAAAA+uXAAIAAAAGMTQxMCwxAQgAAAAFAAAAATEBAAAACy0xOTU5MjM4NDA0AwAAAAMxNjACAAAABDEwOTYEAAAAATAHAAAACDEvMS8yMDI0CAAAAAoxMi8zMS8yMDIzCQAAAAEwwJyKretH3ghoXO2160feCC5DSVEuTEJUWS5BLklRX05FVF9ERUJULjIwMDAuMDEvMDEvMjAyNC4uLlVTRC5IAQAAAAPrlwACAAAABjY1OTQsMgEIAAAABQAAAAExAQAAAAstMTk1OTIzODQwNAMAAAADMTYwAgAAAAQ0MzY0BAAAAAEwBwAAAAgxLzEvMjAyNAgAAAAKMTIvMzEvMjAyMwkAAAABMMCciq3rR94IaFzttetH3ggvQ0lRLkdGSU5CVVIgTy5JUV9FQklUREEuMjAwMC4wMS8wMS8yMDI0Li4uVVNELkgBAAAA3mcBAAMAAAACTkEAwJyKretH3giFqu2160feCDZDSVEuR0ZJTkJVUiBPLklRX0VCSVREQV9NQVJHSU4uMjAwMC4wMS8wMS8yMDI0Li4uVVNELkgBAAAA3mcBAAMAAAACTkEAwJyKretH3giW0e2160feCDVDSVEuR0ZJTkJVUiBPLklRX1RPVEFMX0FTU0VUUy4yMDAwLjAxLzAxLzIwMjQuLi5VU0QuSAEAAADeZwEAAgAAAAw0MDg4Nyw1NTk3NTUBCAAAAAUAAAABMQEAAAAL</t>
  </si>
  <si>
    <t>LTE5MzkzNjQ5NTIDAAAAAzE2MAIAAAAEMTAwNwQAAAABMAcAAAAIMS8xLzIwMjQIAAAACjEyLzMxLzIwMjMJAAAAATDAnIqt60feCJbR7bXrR94IM0NJUS5HRklOQlVSIE8uSVFfQ0FTSF9FUVVJVi4yMDAwLjAxLzAxLzIwMjQuLi5VU0QuSAEAAADeZwEAAgAAAAo4OTgsMDI5Njc3AQgAAAAFAAAAATEBAAAACy0xOTM5MzY0OTUyAwAAAAMxNjACAAAABDEwOTYEAAAAATAHAAAACDEvMS8yMDI0CAAAAAoxMi8zMS8yMDIzCQAAAAEwwJyKretH3giFqu2160feCDFDSVEuR0ZJTkJVUiBPLklRX05FVF9ERUJULjIwMDAuMDEvMDEvMjAyNC4uLlVTRC5IAQAAAN5nAQACAAAACzI4MTIsMDk1MTcxAQgAAAAFAAAAATEBAAAACy0xOTM5MzY0OTUyAwAAAAMxNjACAAAABDQzNjQEAAAAATAHAAAACDEvMS8yMDI0CAAAAAoxMi8zMS8yMDIzCQAAAAEwwJyKretH3giFqu2160feCCpDSVEuUk5XSC5JUV9FQklUREEuMjAwMC4wMS8wMS8yMDI0Li4uVVNELkgBAAAArFoNAAIAAAAJODgsMTE3NzcxAQgAAAAFAAAAATEBAAAACy0xOTM5MTQ1MjMwAwAAAAMxNjACAAAABDQwNTEEAAAAATAHAAAACDEvMS8yMDI0CAAAAAoxMi8zMS8yMDIzCQAAAAEwwJyKretH3gim+O2160feCDFDSVEuUk5XSC5JUV9FQklUREFfTUFSR0lOLjIwMDAuMDEvMDEvMjAyNC4uLlVTRC5IAQAAAKxaDQACAAAABjgsMDI5OQEIAAAABQAAAAExAQAA</t>
  </si>
  <si>
    <t>AAstMTkzOTE0NTIzMAMAAAACNTUCAAAABDQwNDcEAAAAATAHAAAACDEvMS8yMDI0CAAAAAoxMi8zMS8yMDIzCQAAAAEwwJyKretH3gim+O2160feCDBDSVEuUk5XSC5JUV9UT1RBTF9BU1NFVFMuMjAwMC4wMS8wMS8yMDI0Li4uVVNELkgBAAAArFoNAAIAAAAKNTk4LDA4NTU0NQEIAAAABQAAAAExAQAAAAstMTkzOTE0NTIzMAMAAAADMTYwAgAAAAQxMDA3BAAAAAEwBwAAAAgxLzEvMjAyNAgAAAAKMTIvMzEvMjAyMwkAAAABMMCciq3rR94IpvjttetH3gguQ0lRLlJOV0guSVFfQ0FTSF9FUVVJVi4yMDAwLjAxLzAxLzIwMjQuLi5VU0QuSAEAAACsWg0AAgAAAAk1NCwxMzg0MzIBCAAAAAUAAAABMQEAAAALLTE5MzkxNDUyMzADAAAAAzE2MAIAAAAEMTA5NgQAAAABMAcAAAAIMS8xLzIwMjQIAAAACjEyLzMxLzIwMjMJAAAAATDAnIqt60feCKb47bXrR94ILENJUS5STldILklRX05FVF9ERUJULjIwMDAuMDEvMDEvMjAyNC4uLlVTRC5IAQAAAKxaDQACAAAACi0yOCw4OTEzMjMBCAAAAAUAAAABMQEAAAALLTE5MzkxNDUyMzADAAAAAzE2MAIAAAAENDM2NAQAAAABMAcAAAAIMS8xLzIwMjQIAAAACjEyLzMxLzIwMjMJAAAAATDAnIqt60feCLYf7rXrR94IKkNJUS5BWEZPLklRX0VCSVREQS4yMDAwLjAxLzAxLzIwMjQuLi5VU0QuSAEAAADfbFMAAgAAAAo0NjYsNTU1NTY1AQgAAAAFAAAAATEBAAAACy0xOTU4</t>
  </si>
  <si>
    <t>NzU3NTE3AwAAAAMxNjACAAAABDQwNTEEAAAAATAHAAAACDEvMS8yMDI0CAAAAAoxMi8zMS8yMDIzCQAAAAEwwJyKretH3gjGRu6160feCDFDSVEuQVhGTy5JUV9FQklUREFfTUFSR0lOLjIwMDAuMDEvMDEvMjAyNC4uLlVTRC5IAQAAAN9sUwACAAAABjUsNzg0NgEIAAAABQAAAAExAQAAAAstMTk1ODc1NzUxNwMAAAADMTM3AgAAAAQ0MDQ3BAAAAAEwBwAAAAgxLzEvMjAyNAgAAAAKMTIvMzEvMjAyMwkAAAABMMCciq3rR94I1m3utetH3ggwQ0lRLkFYRk8uSVFfVE9UQUxfQVNTRVRTLjIwMDAuMDEvMDEvMjAyNC4uLlVTRC5IAQAAAN9sUwACAAAACzI5ODQsODgxNzA1AQgAAAAFAAAAATEBAAAACy0xOTU4NzU3NTE3AwAAAAMxNjACAAAABDEwMDcEAAAAATAHAAAACDEvMS8yMDI0CAAAAAoxMi8zMS8yMDIzCQAAAAEwwJyKretH3gjWbe6160feCC5DSVEuQVhGTy5JUV9DQVNIX0VRVUlWLjIwMDAuMDEvMDEvMjAyNC4uLlVTRC5IAQAAAN9sUwACAAAACDY4LDQxMjI0AQgAAAAFAAAAATEBAAAACy0xOTU4NzU3NTE3AwAAAAMxNjACAAAABDEwOTYEAAAAATAHAAAACDEvMS8yMDI0CAAAAAoxMi8zMS8yMDIzCQAAAAEwwJyKretH3gjGRu6160feCCxDSVEuQVhGTy5JUV9ORVRfREVCVC4yMDAwLjAxLzAxLzIwMjQuLi5VU0QuSAEAAADfbFMAAgAAAAo5MDIsNDg0NzIxAQgAAAAFAAAAATEBAAAACy0xOTU4NzU3</t>
  </si>
  <si>
    <t>NTE3AwAAAAMxNjACAAAABDQzNjQEAAAAATAHAAAACDEvMS8yMDI0CAAAAAoxMi8zMS8yMDIzCQAAAAEwwJyKretH3gjWbe6160feCCpDSVEuQ1JNTC5JUV9FQklUREEuMjAwMC4wMS8wMS8yMDI0Li4uVVNELkgBAAAAlOz3IAIAAAAJLTAsNDA1ODQzAQgAAAAFAAAAATEBAAAACy0xOTU1MjUzMjU4AwAAAAMxNjACAAAABDQwNTEEAAAAATAHAAAACDEvMS8yMDI0CAAAAAoxMi8zMS8yMDIzCQAAAAEw0MOKretH3ggG4+6160feCDFDSVEuQ1JNTC5JUV9FQklUREFfTUFSR0lOLjIwMDAuMDEvMDEvMjAyNC4uLlVTRC5IAQAAAJTs9yADAAAAAk5NAQgAAAAFAAAAATEBAAAACy0xOTU1MjUzMjU4AwAAAAMxNjACAAAABDQwNDcEAAAAATAHAAAACDEvMS8yMDI0CAAAAAoxMi8zMS8yMDIzCQAAAAEw0MOKretH3ggWCu+160feCDBDSVEuQ1JNTC5JUV9UT1RBTF9BU1NFVFMuMjAwMC4wMS8wMS8yMDI0Li4uVVNELkgBAAAAlOz3IAIAAAAJMzYsMTc0MTI5AQgAAAAFAAAAATEBAAAACy0xOTU1MjUzMjU4AwAAAAMxNjACAAAABDEwMDcEAAAAATAHAAAACDEvMS8yMDI0CAAAAAoxMi8zMS8yMDIzCQAAAAEw0MOKretH3ggmMe+160feCC5DSVEuQ1JNTC5JUV9DQVNIX0VRVUlWLjIwMDAuMDEvMDEvMjAyNC4uLlVTRC5IAQAAAJTs9yACAAAACDAsMjAxNzMxAQgAAAAFAAAAATEBAAAACy0xOTU1MjUzMjU4AwAAAAMxNjAC</t>
  </si>
  <si>
    <t>AAAABDEwOTYEAAAAATAHAAAACDEvMS8yMDI0CAAAAAoxMi8zMS8yMDIzCQAAAAEw0MOKretH3ggWCu+160feCCxDSVEuQ1JNTC5JUV9ORVRfREVCVC4yMDAwLjAxLzAxLzIwMjQuLi5VU0QuSAEAAACU7PcgAgAAAAgtMCwxNjIzNgEIAAAABQAAAAExAQAAAAstMTk1NTI1MzI1OAMAAAADMTYwAgAAAAQ0MzY0BAAAAAEwBwAAAAgxLzEvMjAyNAgAAAAKMTIvMzEvMjAyMwkAAAABMNDDiq3rR94IFgrvtetH3ggpQ0lRLkFVQi5JUV9FQklUREEuMjAwMC4wMS8wMS8yMDI0Li4uVVNELkgBAAAAAIMFAAMAAAACTkEA0MOKretH3gg2WO+160feCDBDSVEuQVVCLklRX0VCSVREQV9NQVJHSU4uMjAwMC4wMS8wMS8yMDI0Li4uVVNELkgBAAAAAIMFAAMAAAACTkEA0MOKretH3gg2WO+160feCC9DSVEuQVVCLklRX1RPVEFMX0FTU0VUUy4yMDAwLjAxLzAxLzIwMjQuLi5VU0QuSAEAAAAAgwUAAgAAAAkyMTE2NiwxOTcBCAAAAAUAAAABMQEAAAALLTE5NTczNTA5NDcDAAAAAzE2MAIAAAAEMTAwNwQAAAABMAcAAAAIMS8xLzIwMjQIAAAACjEyLzMxLzIwMjMJAAAAATDQw4qt60feCEZ/77XrR94ILUNJUS5BVUIuSVFfQ0FTSF9FUVVJVi4yMDAwLjAxLzAxLzIwMjQuLi5VU0QuSAEAAAAAgwUAAgAAAAczNzgsMTMxAQgAAAAFAAAAATEBAAAACy0xOTU3MzUwOTQ3AwAAAAMxNjACAAAABDEwOTYEAAAAATAHAAAACDEvMS8y</t>
  </si>
  <si>
    <t>MDI0CAAAAAoxMi8zMS8yMDIzCQAAAAEw0MOKretH3ghGf++160feCCtDSVEuQVVCLklRX05FVF9ERUJULjIwMDAuMDEvMDEvMjAyNC4uLlVTRC5IAQAAAACDBQACAAAACDExMzMsNTc1AQgAAAAFAAAAATEBAAAACy0xOTU3MzUwOTQ3AwAAAAMxNjACAAAABDQzNjQEAAAAATAHAAAACDEvMS8yMDI0CAAAAAoxMi8zMS8yMDIzCQAAAAEw0MOKretH3ghGf++160feCCpDSVEuUFBIQy5JUV9FQklUREEuMjAwMC4wMS8wMS8yMDI0Li4uVVNELkgBAAAA7OV2ZAIAAAAJLTAsMTYxMDU2AQgAAAAFAAAAATEBAAAACy0xOTIxMzgxMzAwAwAAAAMxNjACAAAABDQwNTEEAAAAATAHAAAACDEvMS8yMDI0CAAAAAoxMi8zMS8yMDIzCQAAAAEw0MOKretH3ghGf++160feCDFDSVEuUFBIQy5JUV9FQklUREFfTUFSR0lOLjIwMDAuMDEvMDEvMjAyNC4uLlVTRC5IAQAAAOzldmQCAAAABy0wLDExOTMBCAAAAAUAAAABMQEAAAALLTE5MjEzODEzMDADAAAAAzE2MAIAAAAENDA0NwQAAAABMAcAAAAIMS8xLzIwMjQIAAAACjEyLzMxLzIwMjMJAAAAATDQw4qt60feCGfN77XrR94IMENJUS5QUEhDLklRX1RPVEFMX0FTU0VUUy4yMDAwLjAxLzAxLzIwMjQuLi5VU0QuSAEAAADs5XZkAgAAAAoxNDcsNjg2MTc4AQgAAAAFAAAAATEBAAAACy0xOTIxMzgxMzAwAwAAAAMxNjACAAAABDEwMDcEAAAAATAHAAAACDEvMS8yMDI0CAAAAAox</t>
  </si>
  <si>
    <t>Mi8zMS8yMDIzCQAAAAEw0MOKretH3ghnze+160feCC5DSVEuUFBIQy5JUV9DQVNIX0VRVUlWLjIwMDAuMDEvMDEvMjAyNC4uLlVTRC5IAQAAAOzldmQCAAAACTE0LDM0MTM3NgEIAAAABQAAAAExAQAAAAstMTkyMTM4MTMwMAMAAAADMTYwAgAAAAQxMDk2BAAAAAEwBwAAAAgxLzEvMjAyNAgAAAAKMTIvMzEvMjAyMwkAAAABMNDDiq3rR94IV6bvtetH3ggsQ0lRLlBQSEMuSVFfTkVUX0RFQlQuMjAwMC4wMS8wMS8yMDI0Li4uVVNELkgBAAAA7OV2ZAIAAAAHMjEsNDQ2NQEIAAAABQAAAAExAQAAAAstMTkyMTM4MTMwMAMAAAADMTYwAgAAAAQ0MzY0BAAAAAEwBwAAAAgxLzEvMjAyNAgAAAAKMTIvMzEvMjAyMwkAAAABMNDDiq3rR94IV6bvtetH3ggqQ0lRLjM2NjguSVFfRUJJVERBLjIwMDAuMDEvMDEvMjAyNC4uLlVTRC5IAQAAAMhvXA0CAAAACTE5LDYxNTIxNAEIAAAABQAAAAExAQAAAAstMjAxMDMzODI1OQMAAAADMTYwAgAAAAQ0MDUxBAAAAAEwBwAAAAgxLzEvMjAyNAgAAAAKMTIvMzEvMjAyMwkAAAABMNDDiq3rR94IZ83vtetH3ggxQ0lRLjM2NjguSVFfRUJJVERBX01BUkdJTi4yMDAwLjAxLzAxLzIwMjQuLi5VU0QuSAEAAADIb1wNAgAAAAY5LDM4OTcBCAAAAAUAAAABMQEAAAALLTIwMTAzMzgyNTkDAAAAAjc5AgAAAAQ0MDQ3BAAAAAEwBwAAAAgxLzEvMjAyNAgAAAAKMTIvMzEvMjAyMwkAAAAB</t>
  </si>
  <si>
    <t>MNDDiq3rR94IZ83vtetH3ggwQ0lRLjM2NjguSVFfVE9UQUxfQVNTRVRTLjIwMDAuMDEvMDEvMjAyNC4uLlVTRC5IAQAAAMhvXA0CAAAACTU1MCwyNjg4MwEIAAAABQAAAAExAQAAAAstMjAxMDMzODI1OQMAAAADMTYwAgAAAAQxMDA3BAAAAAEwBwAAAAgxLzEvMjAyNAgAAAAKMTIvMzEvMjAyMwkAAAABMNDDiq3rR94Id/TvtetH3gguQ0lRLjM2NjguSVFfQ0FTSF9FUVVJVi4yMDAwLjAxLzAxLzIwMjQuLi5VU0QuSAEAAADIb1wNAgAAAAozOTUsNzk0NTg1AQgAAAAFAAAAATEBAAAACy0yMDEwMzM4MjU5AwAAAAMxNjACAAAABDEwOTYEAAAAATAHAAAACDEvMS8yMDI0CAAAAAoxMi8zMS8yMDIzCQAAAAEw0MOKretH3gh39O+160feCCxDSVEuMzY2OC5JUV9ORVRfREVCVC4yMDAwLjAxLzAxLzIwMjQuLi5VU0QuSAEAAADIb1wNAgAAAAstNDYyLDA3NDg1NQEIAAAABQAAAAExAQAAAAstMjAxMDMzODI1OQMAAAADMTYwAgAAAAQ0MzY0BAAAAAEwBwAAAAgxLzEvMjAyNAgAAAAKMTIvMzEvMjAyMwkAAAABMNDDiq3rR94Id/TvtetH3ggrQ0lRLk1PUkxELklRX0VCSVREQS4yMDAwLjAxLzAxLzIwMjQuLi5VU0QuSAEAAADCH5UqAwAAAAAA0MOKretH3gh39O+160feCDJDSVEuTU9STEQuSVFfRUJJVERBX01BUkdJTi4yMDAwLjAxLzAxLzIwMjQuLi5VU0QuSAEAAADCH5UqAwAAAAAA0MOKretH3gh39O+160fe</t>
  </si>
  <si>
    <t>CDFDSVEuTU9STEQuSVFfVE9UQUxfQVNTRVRTLjIwMDAuMDEvMDEvMjAyNC4uLlVTRC5IAQAAAMIflSoCAAAACjI0Myw1NTQ3ODIBCAAAAAUAAAABMQEAAAALLTE5NDgzMDA5MjkDAAAAAzE2MAIAAAAEMTAwNwQAAAABMAcAAAAIMS8xLzIwMjQIAAAACjEyLzMxLzIwMjMJAAAAATDQw4qt60feCIYb8LXrR94IL0NJUS5NT1JMRC5JUV9DQVNIX0VRVUlWLjIwMDAuMDEvMDEvMjAyNC4uLlVTRC5IAQAAAMIflSoCAAAACTE4LDMxNDAzNgEIAAAABQAAAAExAQAAAAstMTk0ODMwMDkyOQMAAAADMTYwAgAAAAQxMDk2BAAAAAEwBwAAAAgxLzEvMjAyNAgAAAAKMTIvMzEvMjAyMwkAAAABMNDDiq3rR94IhhvwtetH3ggtQ0lRLk1PUkxELklRX05FVF9ERUJULjIwMDAuMDEvMDEvMjAyNC4uLlVTRC5IAQAAAMIflSoCAAAACjEwMyw3ODYzNzMBCAAAAAUAAAABMQEAAAALLTE5NDgzMDA5MjkDAAAAAzE2MAIAAAAENDM2NAQAAAABMAcAAAAIMS8xLzIwMjQIAAAACjEyLzMxLzIwMjMJAAAAATDQw4qt60feCIYb8LXrR94ILENJUS4wMDAzMzMuSVFfRUJJVERBLjIwMDAuMDEvMDEvMjAyNC4uLlVTRC5IAQAAAKFqGQMCAAAACzYwMzYsMzU4MDE2AQgAAAAFAAAAATEBAAAACy0xOTUzNzczMDM4AwAAAAMxNjACAAAABDQwNTEEAAAAATAHAAAACDEvMS8yMDI0CAAAAAoxMi8zMS8yMDIzCQAAAAEw0MOKretH3giGG/C160fe</t>
  </si>
  <si>
    <t>CDNDSVEuMDAwMzMzLklRX0VCSVREQV9NQVJHSU4uMjAwMC4wMS8wMS8yMDI0Li4uVVNELkgBAAAAoWoZAwIAAAAGMTEsNTA1AQgAAAAFAAAAATEBAAAACy0xOTUzNzczMDM4AwAAAAIzMgIAAAAENDA0NwQAAAABMAcAAAAIMS8xLzIwMjQIAAAACjEyLzMxLzIwMjMJAAAAATDQw4qt60feCKtp8LXrR94IMkNJUS4wMDAzMzMuSVFfVE9UQUxfQVNTRVRTLjIwMDAuMDEvMDEvMjAyNC4uLlVTRC5IAQAAAKFqGQMCAAAADDY4NTQzLDkzNDQyMgEIAAAABQAAAAExAQAAAAstMTk1Mzc3MzAzOAMAAAADMTYwAgAAAAQxMDA3BAAAAAEwBwAAAAgxLzEvMjAyNAgAAAAKMTIvMzEvMjAyMwkAAAABMNDDiq3rR94Iq2nwtetH3ggwQ0lRLjAwMDMzMy5JUV9DQVNIX0VRVUlWLjIwMDAuMDEvMDEvMjAyNC4uLlVTRC5IAQAAAKFqGQMCAAAADDExNTE4LDEyMTI2OAEIAAAABQAAAAExAQAAAAstMTk1Mzc3MzAzOAMAAAADMTYwAgAAAAQxMDk2BAAAAAEwBwAAAAgxLzEvMjAyNAgAAAAKMTIvMzEvMjAyMwkAAAABMNDDiq3rR94IlkLwtetH3gguQ0lRLjAwMDMzMy5JUV9ORVRfREVCVC4yMDAwLjAxLzAxLzIwMjQuLi5VU0QuSAEAAAChahkDAgAAAAwtOTU0NywyNDQ2NDkBCAAAAAUAAAABMQEAAAALLTE5NTM3NzMwMzgDAAAAAzE2MAIAAAAENDM2NAQAAAABMAcAAAAIMS8xLzIwMjQIAAAACjEyLzMxLzIwMjMJAAAAATDQw4qt</t>
  </si>
  <si>
    <t>60feCJZC8LXrR94IJ0NJUS5GTk0uSVFfTEFTVFNBTEVQUklDRS4xOC8wNi8yMDI0LlVTRAEAAADi92wGAgAAAAw3LDY2NDgyMjQyNjcA0MOKretH3ghLkeO160feCCdDSVEuRk5NLklRX0xBU1RTQUxFUFJJQ0UuMDIvMDcvMjAyNC5VU0QBAAAA4vdsBgIAAAAMNyw0Mjc3NTU5MDc3ANDDiq3rR94I0bjjtetH3ggnQ0lRLlNVTi5JUV9MQVNUU0FMRVBSSUNFLjI0LzA2LzIwMjQuVVNEAQAAAN4nOQECAAAABTU2LDI1ANDDiq3rR94I0bjjtetH3ggnQ0lRLlNVTi5JUV9MQVNUU0FMRVBSSUNFLjIzLzA2LzIwMjQuVVNEAQAAAN4nOQECAAAABTU2LDEzANDDiq3rR94I0bjjtetH3ggnQ0lRLlNVTi5JUV9MQVNUU0FMRVBSSUNFLjIyLzA2LzIwMjQuVVNEAQAAAN4nOQECAAAABTU2LDEzANDDiq3rR94IIeHjtetH3ggnQ0lRLlNVTi5JUV9MQVNUU0FMRVBSSUNFLjIxLzA2LzIwMjQuVVNEAQAAAN4nOQECAAAABTU2LDEzANDDiq3rR94IIeHjtetH3ggnQ0lRLlNVTi5JUV9MQVNUU0FMRVBSSUNFLjI2LzA2LzIwMjQuVVNEAQAAAN4nOQECAAAABTU2LDc1ANDDiq3rR94IIeHjtetH3ggnQ0lRLlNVTi5JUV9MQVNUU0FMRVBSSUNFLjI3LzA2LzIwMjQuVVNEAQAAAN4nOQECAAAABTU2LDk3ANDDiq3rR94I0bjjtetH3ggnQ0lRLlNVTi5JUV9MQVNUU0FMRVBSSUNFLjI4LzA2LzIwMjQuVVNEAQAAAN4nOQECAAAABTU2</t>
  </si>
  <si>
    <t>LDU0ANDDiq3rR94IIeHjtetH3ggnQ0lRLlNVTi5JUV9MQVNUU0FMRVBSSUNFLjI5LzA2LzIwMjQuVVNEAQAAAN4nOQECAAAABTU2LDU0ANDDiq3rR94IIeHjtetH3ggnQ0lRLlNVTi5JUV9MQVNUU0FMRVBSSUNFLjE4LzA2LzIwMjQuVVNEAQAAAN4nOQECAAAABTU0LDQ4ANDDiq3rR94IIeHjtetH3ggnQ0lRLlNVTi5JUV9MQVNUU0FMRVBSSUNFLjAyLzA3LzIwMjQuVVNEAQAAAN4nOQECAAAABTU2LDE0ANDDiq3rR94IIeHjtetH3ggnQ0lRLlNVUC5JUV9MQVNUU0FMRVBSSUNFLjIzLzA2LzIwMjQuVVNEAQAAABAPgiECAAAADjEsNzM2MDg5MTkxMzc1ANDDiq3rR94IIeHjtetH3ggnQ0lRLlNVUC5JUV9MQVNUU0FMRVBSSUNFLjIyLzA2LzIwMjQuVVNEAQAAABAPgiECAAAADjEsNzM2MDg5MTkxMzc1ANDDiq3rR94I+wjktetH3ggnQ0lRLlNVUC5JUV9MQVNUU0FMRVBSSUNFLjIxLzA2LzIwMjQuVVNEAQAAABAPgiECAAAADjEsNzM2MDg5MTkxMzc1ANDDiq3rR94I+wjktetH3ggnQ0lRLlNVUC5JUV9MQVNUU0FMRVBSSUNFLjIwLzA2LzIwMjQuVVNEAQAAABAPgiECAAAADDEsNzc0NjAwMzk4MgDQw4qt60feCPsI5LXrR94IJ0NJUS5TVVAuSVFfTEFTVFNBTEVQUklDRS4yNS8wNi8yMDI0LlVTRAEAAAAQD4IhAgAAAA4xLDk5NjAyMDYzMjAyNQDQw4qt60feCPsI5LXrR94IJ0NJUS5TVVAuSVFfTEFTVFNB</t>
  </si>
  <si>
    <t>TEVQUklDRS4yNi8wNi8yMDI0LlVTRAEAAAAQD4IhAgAAAAwyLDAxOTY2NjUwMjQA0MOKretH3gj7COS160feCCdDSVEuU1VQLklRX0xBU1RTQUxFUFJJQ0UuMjcvMDYvMjAyNC5VU0QBAAAAEA+CIQIAAAAMMiwwMjMxOTA4MjU2ANDDiq3rR94I+wjktetH3ggnQ0lRLlNVUC5JUV9MQVNUU0FMRVBSSUNFLjI4LzA2LzIwMjQuVVNEAQAAABAPgiECAAAADjIsMDkxNTc0MzA1MjU1ANDDiq3rR94I+wjktetH3ggnQ0lRLlNVUC5JUV9MQVNUU0FMRVBSSUNFLjE3LzA2LzIwMjQuVVNEAQAAABAPgiECAAAADTEsNzM4MzM2MDE4OTYA0MOKretH3gj7COS160feCCdDSVEuU1VQLklRX0xBU1RTQUxFUFJJQ0UuMDEvMDcvMjAyNC5VU0QBAAAAEA+CIQIAAAANMiwyNjIxNTc1MTY3MQDQw4qt60feCCHh47XrR94IJ0NJUS5TT04uSVFfTEFTVFNBTEVQUklDRS4yMy8wNi8yMDI0LlVTRAEAAAD8owQAAgAAAAQ1NSw2AOLqiq3rR94I7TDktetH3ggnQ0lRLlNPTi5JUV9MQVNUU0FMRVBSSUNFLjIyLzA2LzIwMjQuVVNEAQAAAPyjBAACAAAABDU1LDYA4uqKretH3gj7COS160feCCdDSVEuU09OLklRX0xBU1RTQUxFUFJJQ0UuMjEvMDYvMjAyNC5VU0QBAAAA/KMEAAIAAAAENTUsNgDi6oqt60feCO0w5LXrR94IJ0NJUS5TT04uSVFfTEFTVFNBTEVQUklDRS4yMC8wNi8yMDI0LlVTRAEAAAD8owQAAgAAAAU1Niw0NgDi6oqt</t>
  </si>
  <si>
    <t>60feCNxY5LXrR94IJ0NJUS5TT04uSVFfTEFTVFNBTEVQUklDRS4yNS8wNi8yMDI0LlVTRAEAAAD8owQAAgAAAAU1MSw5NQDi6oqt60feCNxY5LXrR94IJ0NJUS5TT04uSVFfTEFTVFNBTEVQUklDRS4yNi8wNi8yMDI0LlVTRAEAAAD8owQAAgAAAAU1MSw2NgDi6oqt60feCNxY5LXrR94IJ0NJUS5TT04uSVFfTEFTVFNBTEVQUklDRS4yNy8wNi8yMDI0LlVTRAEAAAD8owQAAgAAAAU1MSw2NADi6oqt60feCO0w5LXrR94IJ0NJUS5TT04uSVFfTEFTVFNBTEVQUklDRS4yOC8wNi8yMDI0LlVTRAEAAAD8owQAAgAAAAU1MCw3MgDi6oqt60feCO0w5LXrR94IJ0NJUS5TT04uSVFfTEFTVFNBTEVQUklDRS4xNy8wNi8yMDI0LlVTRAEAAAD8owQAAgAAAAU1Nyw1OQDi6oqt60feCO0w5LXrR94IJ0NJUS5TT04uSVFfTEFTVFNBTEVQUklDRS4wMS8wNy8yMDI0LlVTRAEAAAD8owQAAgAAAAU1MCwzMQDi6oqt60feCNxY5LXrR94IKENJUS5QR05ZLklRX0xBU1RTQUxFUFJJQ0UuMjMvMDYvMjAyNC5VU0QBAAAAL3rQBgIAAAAFMjUsODYA4uqKretH3gjcWOS160feCChDSVEuUEdOWS5JUV9MQVNUU0FMRVBSSUNFLjIyLzA2LzIwMjQuVVNEAQAAAC960AYCAAAABTI1LDg2AOLqiq3rR94I3FjktetH3ggoQ0lRLlBHTlkuSVFfTEFTVFNBTEVQUklDRS4yMS8wNi8yMDI0LlVTRAEAAAAvetAGAgAAAAUyNSw4NgDi6oqt60fe</t>
  </si>
  <si>
    <t>CMuA5LXrR94IKENJUS5QR05ZLklRX0xBU1RTQUxFUFJJQ0UuMjAvMDYvMjAyNC5VU0QBAAAAL3rQBgIAAAAFMjUsMzQA4uqKretH3gjLgOS160feCChDSVEuUEdOWS5JUV9MQVNUU0FMRVBSSUNFLjI1LzA2LzIwMjQuVVNEAQAAAC960AYCAAAABTI2LDUyAOLqiq3rR94I3FjktetH3ggoQ0lRLlBHTlkuSVFfTEFTVFNBTEVQUklDRS4yNi8wNi8yMDI0LlVTRAEAAAAvetAGAgAAAAUyNyw1NADi6oqt60feCMuA5LXrR94IKENJUS5QR05ZLklRX0xBU1RTQUxFUFJJQ0UuMjcvMDYvMjAyNC5VU0QBAAAAL3rQBgIAAAAFMjgsNjIA4uqKretH3gjLgOS160feCChDSVEuUEdOWS5JUV9MQVNUU0FMRVBSSUNFLjI4LzA2LzIwMjQuVVNEAQAAAC960AYCAAAABTI4LDYxAOLqiq3rR94Iy4DktetH3ggoQ0lRLlBHTlkuSVFfTEFTVFNBTEVQUklDRS4xNy8wNi8yMDI0LlVTRAEAAAAvetAGAgAAAAUyNiw3MQDi6oqt60feCMuA5LXrR94IKENJUS5QR05ZLklRX0xBU1RTQUxFUFJJQ0UuMDEvMDcvMjAyNC5VU0QBAAAAL3rQBgIAAAAFMjgsMzgA4uqKretH3gjLgOS160feCClDSVEuQU9KIEIuSVFfTEFTVFNBTEVQUklDRS4yMy8wNi8yMDI0LlVTRAEAAADW8SQAAgAAAA0xMCw1NTYxMjI5MzEyAOLqiq3rR94It6jktetH3ggpQ0lRLkFPSiBCLklRX0xBU1RTQUxFUFJJQ0UuMjIvMDYvMjAyNC5VU0QBAAAA1vEkAAIAAAAN</t>
  </si>
  <si>
    <t>MTAsNTU2MTIyOTMxMgAOYIut60feCBa357XrR94IKUNJUS5BT0ogQi5JUV9MQVNUU0FMRVBSSUNFLjIxLzA2LzIwMjQuVVNEAQAAANbxJAACAAAADTEwLDU1NjEyMjkzMTIADmCLretH3ggWt+e160feCClDSVEuQU9KIEIuSVFfTEFTVFNBTEVQUklDRS4yMC8wNi8yMDI0LlVTRAEAAADW8SQAAgAAAAwxMCw2MzE5MjQyNDgADmCLretH3ggl3ue160feCClDSVEuQU9KIEIuSVFfTEFTVFNBTEVQUklDRS4yNS8wNi8yMDI0LlVTRAEAAADW8SQAAgAAAA0xMSwzMDk3OTgwNTI4AA5gi63rR94IJd7ntetH3ggpQ0lRLkFPSiBCLklRX0xBU1RTQUxFUFJJQ0UuMjYvMDYvMjAyNC5VU0QBAAAA1vEkAAIAAAAMMTEsMTk5MzQ2OTIxAOLqiq3rR94It6jktetH3ggpQ0lRLkFPSiBCLklRX0xBU1RTQUxFUFJJQ0UuMjcvMDYvMjAyNC5VU0QBAAAA1vEkAAIAAAANMTEsMTQ4NjA3OTY1NgDi6oqt60feCMuA5LXrR94IKUNJUS5BT0ogQi5JUV9MQVNUU0FMRVBSSUNFLjI4LzA2LzIwMjQuVVNEAQAAANbxJAACAAAADDExLDE2MzQ0MDI3NADi6oqt60feCLeo5LXrR94IKUNJUS5BT0ogQi5JUV9MQVNUU0FMRVBSSUNFLjE3LzA2LzIwMjQuVVNEAQAAANbxJAACAAAADTEwLDQ3Nzg1NjM0NzIADmCLretH3ggWt+e160feCClDSVEuQU9KIEIuSVFfTEFTVFNBTEVQUklDRS4wMS8wNy8yMDI0LlVTRAEAAADW8SQAAgAAAAwxMSww</t>
  </si>
  <si>
    <t>ODQ3ODQ5NjMA4uqKretH3gi3qOS160feCCdDSVEuTUVSLklRX0xBU1RTQUxFUFJJQ0UuMjMvMDYvMjAyNC5VU0QBAAAA01cNAAIAAAALNiwwODExOTU5OTgA4uqKretH3gik0OS160feCCdDSVEuTUVSLklRX0xBU1RTQUxFUFJJQ0UuMjIvMDYvMjAyNC5VU0QBAAAA01cNAAIAAAALNiwwODExOTU5OTgA4uqKretH3gik0OS160feCCdDSVEuTUVSLklRX0xBU1RTQUxFUFJJQ0UuMjEvMDYvMjAyNC5VU0QBAAAA01cNAAIAAAALNiwwODExOTU5OTgA4uqKretH3gi3qOS160feCCdDSVEuTUVSLklRX0xBU1RTQUxFUFJJQ0UuMjAvMDYvMjAyNC5VU0QBAAAA01cNAAIAAAAMNiwzMjAyNTgyMjY0AOLqiq3rR94IkfjktetH3ggnQ0lRLk1FUi5JUV9MQVNUU0FMRVBSSUNFLjI1LzA2LzIwMjQuVVNEAQAAANNXDQACAAAACjYsMTc3NjcxOTQA4uqKretH3giR+OS160feCCdDSVEuTUVSLklRX0xBU1RTQUxFUFJJQ0UuMjYvMDYvMjAyNC5VU0QBAAAA01cNAAIAAAALNiwxOTU4OTIxNTUA4uqKretH3giR+OS160feCCdDSVEuTUVSLklRX0xBU1RTQUxFUFJJQ0UuMjcvMDYvMjAyNC5VU0QBAAAA01cNAAIAAAALNiwzODIyNTI0MDQA4uqKretH3gik0OS160feCCdDSVEuTUVSLklRX0xBU1RTQUxFUFJJQ0UuMjgvMDYvMjAyNC5VU0QBAAAA01cNAAIAAAALNiwyNjM5MDU1MzYA4uqKretH3gik0OS160feCCdDSVEuTUVS</t>
  </si>
  <si>
    <t>LklRX0xBU1RTQUxFUFJJQ0UuMTcvMDYvMjAyNC5VU0QBAAAA01cNAAIAAAAJNiw0MDU0NTE0AOLqiq3rR94IpNDktetH3ggnQ0lRLk1FUi5JUV9MQVNUU0FMRVBSSUNFLjAxLzA3LzIwMjQuVVNEAQAAANNXDQACAAAADDYsMjk0NDY4MjM0NgDi6oqt60feCJH45LXrR94IJ0NJUS5JTlQuSVFfTEFTVFNBTEVQUklDRS4yMy8wNi8yMDI0LlVTRAEAAABRsUwNAgAAAAoyLDUxMzk3ODY4AOLqiq3rR94IkfjktetH3ggnQ0lRLklOVC5JUV9MQVNUU0FMRVBSSUNFLjIyLzA2LzIwMjQuVVNEAQAAAFGxTA0CAAAACjIsNTEzOTc4NjgA4uqKretH3giR+OS160feCCdDSVEuSU5ULklRX0xBU1RTQUxFUFJJQ0UuMjEvMDYvMjAyNC5VU0QBAAAAUbFMDQIAAAAKMiw1MTM5Nzg2OADi6oqt60feCHoo5bXrR94IJ0NJUS5JTlQuSVFfTEFTVFNBTEVQUklDRS4yMC8wNi8yMDI0LlVTRAEAAABRsUwNAgAAAAsyLDUzMjAxMDgxNwDi6oqt60feCHoo5bXrR94IJ0NJUS5JTlQuSVFfTEFTVFNBTEVQUklDRS4yNS8wNi8yMDI0LlVTRAEAAABRsUwNAgAAAAwyLDQxOTMzNzIxNDcA4uqKretH3gh6KOW160feCCdDSVEuSU5ULklRX0xBU1RTQUxFUFJJQ0UuMjYvMDYvMjAyNC5VU0QBAAAAUbFMDQIAAAALMiw2NTAwNzk2ODQA4uqKretH3giR+OS160feCCdDSVEuSU5ULklRX0xBU1RTQUxFUFJJQ0UuMjcvMDYvMjAyNC5VU0QBAAAA</t>
  </si>
  <si>
    <t>UbFMDQIAAAAMMiw2MjEyMjMzNDA1AOLqiq3rR94IeijltetH3ggnQ0lRLklOVC5JUV9MQVNUU0FMRVBSSUNFLjI4LzA2LzIwMjQuVVNEAQAAAFGxTA0CAAAADTIsNTYxNTc5MzQxMDUA4uqKretH3gh6KOW160feCCdDSVEuSU5ULklRX0xBU1RTQUxFUFJJQ0UuMTcvMDYvMjAyNC5VU0QBAAAAUbFMDQIAAAAKMiw1Njc0NTAyNQDi6oqt60feCHoo5bXrR94IJ0NJUS5JTlQuSVFfTEFTVFNBTEVQUklDRS4wMS8wNy8yMDI0LlVTRAEAAABRsUwNAgAAAAwyLDU5NDQ5NDU4NTIA4uqKretH3gh6KOW160feCChDSVEuVklIMS5JUV9MQVNUU0FMRVBSSUNFLjIzLzA2LzIwMjQuVVNEAQAAAE9MbQECAAAADDEwLDE0OTU3MjY0NgDi6oqt60feCFRQ5bXrR94IKENJUS5WSUgxLklRX0xBU1RTQUxFUFJJQ0UuMjIvMDYvMjAyNC5VU0QBAAAAT0xtAQIAAAAMMTAsMTQ5NTcyNjQ2AOLqiq3rR94IVFDltetH3ggoQ0lRLlZJSDEuSVFfTEFTVFNBTEVQUklDRS4yMS8wNi8yMDI0LlVTRAEAAABPTG0BAgAAAAwxMCwxNDk1NzI2NDYA4uqKretH3ghUUOW160feCChDSVEuVklIMS5JUV9MQVNUU0FMRVBSSUNFLjIwLzA2LzIwMjQuVVNEAQAAAE9MbQECAAAADjEwLDU5Nzk0MjU2Nzk1AOLqiq3rR94IVFDltetH3ggoQ0lRLlZJSDEuSVFfTEFTVFNBTEVQUklDRS4yNS8wNi8yMDI0LlVTRAEAAABPTG0BAgAAAA05LDc2MTMxODYz</t>
  </si>
  <si>
    <t>NzEyAOLqiq3rR94IVFDltetH3ggoQ0lRLlZJSDEuSVFfTEFTVFNBTEVQUklDRS4yNi8wNi8yMDI0LlVTRAEAAABPTG0BAgAAAAk5LDU2OTU4MjQA4uqKretH3ghUUOW160feCChDSVEuVklIMS5JUV9MQVNUU0FMRVBSSUNFLjI3LzA2LzIwMjQuVVNEAQAAAE9MbQECAAAADDksNTI3ODg3ODA4OADi6oqt60feCFRQ5bXrR94IKENJUS5WSUgxLklRX0xBU1RTQUxFUFJJQ0UuMjgvMDYvMjAyNC5VU0QBAAAAT0xtAQIAAAAMOSwzNzUzMzQ4MzI1AOLqiq3rR94IeijltetH3ggoQ0lRLlZJSDEuSVFfTEFTVFNBTEVQUklDRS4xNy8wNi8yMDI0LlVTRAEAAABPTG0BAgAAAA0xMCw2MjYyMDYzMDM3AOLqiq3rR94IVFDltetH3ggoQ0lRLlZJSDEuSVFfTEFTVFNBTEVQUklDRS4wMS8wNy8yMDI0LlVTRAEAAABPTG0BAgAAAAs5LDQzNTk4NTQxNgDi6oqt60feCHoo5bXrR94IJ0NJUS5OS1QuSVFfTEFTVFNBTEVQUklDRS4yMC8wNi8yMDI0LlVTRAEAAABKVg0AAgAAAAw4MSw2MDcyMDIzMzYA4uqKretH3ghKeOW160feCCdDSVEuTktULklRX0xBU1RTQUxFUFJJQ0UuMTkvMDYvMjAyNC5VU0QBAAAASlYNAAIAAAAMODEsMDk2MzQxODY4AOLqiq3rR94ISnjltetH3ggnQ0lRLk5LVC5JUV9MQVNUU0FMRVBSSUNFLjE4LzA2LzIwMjQuVVNEAQAAAEpWDQACAAAACzgwLDYwMjQ0NTg0AOLqiq3rR94IVFDltetH3ggnQ0lR</t>
  </si>
  <si>
    <t>Lk5LVC5JUV9MQVNUU0FMRVBSSUNFLjE3LzA2LzIwMjQuVVNEAQAAAEpWDQACAAAADDgwLDIwMDg3NTc0NADi6oqt60feCF+g5bXrR94IJ0NJUS5OS1QuSVFfTEFTVFNBTEVQUklDRS4yMi8wNi8yMDI0LlVTRAEAAABKVg0AAgAAAAw4NCwyMTk4MTM4ODgA4uqKretH3ghfoOW160feCCdDSVEuTktULklRX0xBU1RTQUxFUFJJQ0UuMjMvMDYvMjAyNC5VU0QBAAAASlYNAAIAAAAMODQsMjE5ODEzODg4AOLqiq3rR94IX6DltetH3ggnQ0lRLk5LVC5JUV9MQVNUU0FMRVBSSUNFLjI0LzA2LzIwMjQuVVNEAQAAAEpWDQACAAAADDg2LDU4NTQ0MTQ3NADi6oqt60feCEp45bXrR94IJ0NJUS5OS1QuSVFfTEFTVFNBTEVQUklDRS4yNS8wNi8yMDI0LlVTRAEAAABKVg0AAgAAAAw4NSw2MTI4NzQ4NTQA4uqKretH3ghKeOW160feCCdDSVEuTktULklRX0xBU1RTQUxFUFJJQ0UuMTQvMDYvMjAyNC5VU0QBAAAASlYNAAIAAAAMODAsMjM1MDY5NTI1AOLqiq3rR94ISnjltetH3ggnQ0lRLk5LVC5JUV9MQVNUU0FMRVBSSUNFLjI4LzA2LzIwMjQuVVNEAQAAAEpWDQACAAAACzg3LDU2OTA3MTM5AOLqiq3rR94IX6DltetH3ggnQ0lRLlNXVC5JUV9MQVNUU0FMRVBSSUNFLjIwLzA2LzIwMjQuVVNEAQAAACV4YHADAAAAAADi6oqt60feCF+g5bXrR94IJ0NJUS5TV1QuSVFfTEFTVFNBTEVQUklDRS4xOS8wNi8yMDI0LlVTRAEA</t>
  </si>
  <si>
    <t>AAAleGBwAwAAAAAA4uqKretH3ggRyeW160feCCdDSVEuU1dULklRX0xBU1RTQUxFUFJJQ0UuMTgvMDYvMjAyNC5VU0QBAAAAJXhgcAMAAAAAAOLqiq3rR94IX6DltetH3ggnQ0lRLlNXVC5JUV9MQVNUU0FMRVBSSUNFLjE3LzA2LzIwMjQuVVNEAQAAACV4YHADAAAAAADzEYut60feCBHJ5bXrR94IJ0NJUS5TV1QuSVFfTEFTVFNBTEVQUklDRS4yMi8wNi8yMDI0LlVTRAEAAAAleGBwAwAAAAAA8xGLretH3ggRyeW160feCCdDSVEuU1dULklRX0xBU1RTQUxFUFJJQ0UuMjMvMDYvMjAyNC5VU0QBAAAAJXhgcAMAAAAAAPMRi63rR94IEcnltetH3ggnQ0lRLlNXVC5JUV9MQVNUU0FMRVBSSUNFLjI0LzA2LzIwMjQuVVNEAQAAACV4YHADAAAAAADzEYut60feCBHJ5bXrR94IJ0NJUS5TV1QuSVFfTEFTVFNBTEVQUklDRS4yNS8wNi8yMDI0LlVTRAEAAAAleGBwAwAAAAAA8xGLretH3ggRyeW160feCCdDSVEuU1dULklRX0xBU1RTQUxFUFJJQ0UuMTQvMDYvMjAyNC5VU0QBAAAAJXhgcAMAAAAAAPMRi63rR94IEcnltetH3ggnQ0lRLlNXVC5JUV9MQVNUU0FMRVBSSUNFLjI4LzA2LzIwMjQuVVNEAQAAACV4YHADAAAAAADzEYut60feCBHJ5bXrR94IKENJUS44MTYzLklRX0xBU1RTQUxFUFJJQ0UuMjAvMDYvMjAyNC5VU0QBAAAAFG8NAAIAAAALOCwyNzQwNDU0NDIA8xGLretH3ghD8eW160feCChDSVEuODE2My5J</t>
  </si>
  <si>
    <t>UV9MQVNUU0FMRVBSSUNFLjE5LzA2LzIwMjQuVVNEAQAAABRvDQACAAAACzgsMDgwNTUxOTk2APMRi63rR94IQ/HltetH3ggoQ0lRLjgxNjMuSVFfTEFTVFNBTEVQUklDRS4xOC8wNi8yMDI0LlVTRAEAAAAUbw0AAgAAAAs4LDA4NjkzNTc5NwDzEYut60feCEPx5bXrR94IKENJUS44MTYzLklRX0xBU1RTQUxFUFJJQ0UuMTcvMDYvMjAyNC5VU0QBAAAAFG8NAAIAAAALOCwwNjYyNTM3NDkA8xGLretH3ghD8eW160feCChDSVEuODE2My5JUV9MQVNUU0FMRVBSSUNFLjIyLzA2LzIwMjQuVVNEAQAAABRvDQACAAAACzgsMTM1NjM1NTUyAPMRi63rR94IQ/HltetH3ggoQ0lRLjgxNjMuSVFfTEFTVFNBTEVQUklDRS4yMy8wNi8yMDI0LlVTRAEAAAAUbw0AAgAAAAs4LDEzNTYzNTU1MgDzEYut60feCEPx5bXrR94IKENJUS44MTYzLklRX0xBU1RTQUxFUFJJQ0UuMjQvMDYvMjAyNC5VU0QBAAAAFG8NAAIAAAALOCwyNzIwMTg3NzcA8xGLretH3ghD8eW160feCChDSVEuODE2My5JUV9MQVNUU0FMRVBSSUNFLjI1LzA2LzIwMjQuVVNEAQAAABRvDQACAAAACjgsNDgyNDgxNTcA8xGLretH3ghD8eW160feCChDSVEuODE2My5JUV9MQVNUU0FMRVBSSUNFLjE0LzA2LzIwMjQuVVNEAQAAABRvDQACAAAACTgsMTk4NDQwMgDzEYut60feCEPx5bXrR94IKENJUS44MTYzLklRX0xBU1RTQUxFUFJJQ0UuMjgvMDYvMjAyNC5V</t>
  </si>
  <si>
    <t>U0QBAAAAFG8NAAIAAAALOCwzODU4NjE1NDYA8xGLretH3ggRyeW160feCChDSVEuVE5YVC5JUV9MQVNUU0FMRVBSSUNFLjIwLzA2LzIwMjQuVVNEAQAAAJqUYQ0CAAAADjE4LDQyMDQ4ODY0OTQ1APMRi63rR94Iv0DmtetH3ggoQ0lRLlROWFQuSVFfTEFTVFNBTEVQUklDRS4xOS8wNi8yMDI0LlVTRAEAAACalGENAgAAAA0xNyw4ODM5OTU3MDI0APMRi63rR94IXmvmtetH3ggoQ0lRLlROWFQuSVFfTEFTVFNBTEVQUklDRS4xOC8wNi8yMDI0LlVTRAEAAACalGENAgAAAA4xNyw1OTIwOTUzNjQ0OADzEYut60feCF5r5rXrR94IKENJUS5UTlhULklRX0xBU1RTQUxFUFJJQ0UuMTcvMDYvMjAyNC5VU0QBAAAAmpRhDQIAAAANMTcsNDY3Mjk1NzMwMwDzEYut60feCF5r5rXrR94IKENJUS5UTlhULklRX0xBU1RTQUxFUFJJQ0UuMjIvMDYvMjAyNC5VU0QBAAAAmpRhDQIAAAAOMTgsMDM0MTg4MDI3ODQA8xGLretH3gi/QOa160feCChDSVEuVE5YVC5JUV9MQVNUU0FMRVBSSUNFLjIzLzA2LzIwMjQuVVNEAQAAAJqUYQ0CAAAADjE4LDAzNDE4ODAyNzg0APMRi63rR94IXmvmtetH3ggoQ0lRLlROWFQuSVFfTEFTVFNBTEVQUklDRS4yNC8wNi8yMDI0LlVTRAEAAACalGENAgAAAA4xOCw0MTAwNDE4Mzg3NgDzEYut60feCF5r5rXrR94IKENJUS5UTlhULklRX0xBU1RTQUxFUFJJQ0UuMjUvMDYvMjAyNC5VU0QBAAAA</t>
  </si>
  <si>
    <t>mpRhDQIAAAAOMTcsODYzNjQxMjMzOTQA8xGLretH3gh3pea160feCChDSVEuVE5YVC5JUV9MQVNUU0FMRVBSSUNFLjE0LzA2LzIwMjQuVVNEAQAAAJqUYQ0CAAAADjE3LDc0NTIxMzM5NDQ0APMRi63rR94Id6XmtetH3ggqQ0lRLjQ1MjcuSVFfRUJJVERBLjIwMDAuMDEvMDEvMjAyNC4uLlVTRC5IAQAAALlxDQACAAAACjM0MywxNTYyODkBCAAAAAUAAAABMQEAAAALLTIwMTA0MTc0NDQDAAAAAzE2MAIAAAAENDA1MQQAAAABMAcAAAAIMS8xLzIwMjQIAAAACjEyLzMxLzIwMjMJAAAAATDzEYut60feCLiQ8LXrR94IKENJUS5UTlhULklRX0xBU1RTQUxFUFJJQ0UuMjgvMDYvMjAyNC5VU0QBAAAAmpRhDQIAAAAOMTcsMjkzNDc0NzY1MzIA8xGLretH3gh3pea160feCDFDSVEuNDUyNy5JUV9FQklUREFfTUFSR0lOLjIwMDAuMDEvMDEvMjAyNC4uLlVTRC5IAQAAALlxDQACAAAABjE4LDM1MwEIAAAABQAAAAExAQAAAAstMjAxMDQxNzQ0NAMAAAACNzkCAAAABDQwNDcEAAAAATAHAAAACDEvMS8yMDI0CAAAAAoxMi8zMS8yMDIzCQAAAAEw8xGLretH3gi4kPC160feCDBDSVEuNDUyNy5JUV9UT1RBTF9BU1NFVFMuMjAwMC4wMS8wMS8yMDI0Li4uVVNELkgBAAAAuXENAAIAAAALMjQyNywzMjA2NzgBCAAAAAUAAAABMQEAAAALLTIwMTA0MTc0NDQDAAAAAzE2MAIAAAAEMTAwNwQAAAABMAcAAAAIMS8xLzIwMjQI</t>
  </si>
  <si>
    <t>AAAACjEyLzMxLzIwMjMJAAAAATDzEYut60feCLiQ8LXrR94ILkNJUS40NTI3LklRX0NBU0hfRVFVSVYuMjAwMC4wMS8wMS8yMDI0Li4uVVNELkgBAAAAuXENAAIAAAAKNTgwLDg0NDQ0NAEIAAAABQAAAAExAQAAAAstMjAxMDQxNzQ0NAMAAAADMTYwAgAAAAQxMDk2BAAAAAEwBwAAAAgxLzEvMjAyNAgAAAAKMTIvMzEvMjAyMwkAAAABMPMRi63rR94IuJDwtetH3ggsQ0lRLjQ1MjcuSVFfTkVUX0RFQlQuMjAwMC4wMS8wMS8yMDI0Li4uVVNELkgBAAAAuXENAAIAAAALLTUxMiw1MTM5NzcBCAAAAAUAAAABMQEAAAALLTIwMTA0MTc0NDQDAAAAAzE2MAIAAAAENDM2NAQAAAABMAcAAAAIMS8xLzIwMjQIAAAACjEyLzMxLzIwMjMJAAAAATDzEYut60feCLiQ8LXrR94IKUNJUS44SzcuSVFfRUJJVERBLjIwMDAuMDEvMDEvMjAyNC4uLlVTRC5IAQAAAMsQfxACAAAACS0xNSw4MTU4NwEIAAAABQAAAAExAQAAAAstMTk1OTgyNzA1MwMAAAADMTYwAgAAAAQ0MDUxBAAAAAEwBwAAAAgxLzEvMjAyNAgAAAAKMTIvMzEvMjAyMwkAAAABMPMRi63rR94IxrfwtetH3ggwQ0lRLjhLNy5JUV9FQklUREFfTUFSR0lOLjIwMDAuMDEvMDEvMjAyNC4uLlVTRC5IAQAAAMsQfxACAAAACC0yMSw5OTA3AQgAAAAFAAAAATEBAAAACy0xOTU5ODI3MDUzAwAAAAMxMzgCAAAABDQwNDcEAAAAATAHAAAACDEvMS8yMDI0CAAAAAoxMi8z</t>
  </si>
  <si>
    <t>MS8yMDIzCQAAAAEw8xGLretH3gjGt/C160feCC9DSVEuOEs3LklRX1RPVEFMX0FTU0VUUy4yMDAwLjAxLzAxLzIwMjQuLi5VU0QuSAEAAADLEH8QAgAAAAoxNjMsMTgzMTc1AQgAAAAFAAAAATEBAAAACy0xOTU5ODI3MDUzAwAAAAMxNjACAAAABDEwMDcEAAAAATAHAAAACDEvMS8yMDI0CAAAAAoxMi8zMS8yMDIzCQAAAAEw8xGLretH3gjGt/C160feCC1DSVEuOEs3LklRX0NBU0hfRVFVSVYuMjAwMC4wMS8wMS8yMDI0Li4uVVNELkgBAAAAyxB/EAIAAAAJMzQsMTg5NDMzAQgAAAAFAAAAATEBAAAACy0xOTU5ODI3MDUzAwAAAAMxNjACAAAABDEwOTYEAAAAATAHAAAACDEvMS8yMDI0CAAAAAoxMi8zMS8yMDIzCQAAAAEw8xGLretH3gjGt/C160feCCtDSVEuOEs3LklRX05FVF9ERUJULjIwMDAuMDEvMDEvMjAyNC4uLlVTRC5IAQAAAMsQfxACAAAACi0xMiw2Mjg2MDQBCAAAAAUAAAABMQEAAAALLTE5NTk4MjcwNTMDAAAAAzE2MAIAAAAENDM2NAQAAAABMAcAAAAIMS8xLzIwMjQIAAAACjEyLzMxLzIwMjMJAAAAATDzEYut60feCMa38LXrR94IKkNJUS5IT09ELklRX0VCSVREQS4yMDAwLjAxLzAxLzIwMjQuLi5VU0QuSAEAAADfE38QAwAAAAJOQQDzEYut60feCNne8LXrR94IMUNJUS5IT09ELklRX0VCSVREQV9NQVJHSU4uMjAwMC4wMS8wMS8yMDI0Li4uVVNELkgBAAAA3xN/EAMAAAACTkEA8xGLretH</t>
  </si>
  <si>
    <t>3gjmBfG160feCDBDSVEuSE9PRC5JUV9UT1RBTF9BU1NFVFMuMjAwMC4wMS8wMS8yMDI0Li4uVVNELkgBAAAA3xN/EAIAAAAFMTc2MjQBCAAAAAUAAAABMQEAAAALLTE5NTkxNTQ3NDADAAAAAzE2MAIAAAAEMTAwNwQAAAABMAcAAAAIMS8xLzIwMjQIAAAACjEyLzMxLzIwMjMJAAAAATDzEYut60feCOYF8bXrR94ILkNJUS5IT09ELklRX0NBU0hfRVFVSVYuMjAwMC4wMS8wMS8yMDI0Li4uVVNELkgBAAAA3xN/EAIAAAAENDgzNQEIAAAABQAAAAExAQAAAAstMTk1OTE1NDc0MAMAAAADMTYwAgAAAAQxMDk2BAAAAAEwBwAAAAgxLzEvMjAyNAgAAAAKMTIvMzEvMjAyMwkAAAABMPMRi63rR94I2d7wtetH3ggsQ0lRLkhPT0QuSVFfTkVUX0RFQlQuMjAwMC4wMS8wMS8yMDI0Li4uVVNELkgBAAAA3xN/EAIAAAAFLTcyMjkBCAAAAAUAAAABMQEAAAALLTE5NTkxNTQ3NDADAAAAAzE2MAIAAAAENDM2NAQAAAABMAcAAAAIMS8xLzIwMjQIAAAACjEyLzMxLzIwMjMJAAAAATDzEYut60feCNne8LXrR94IKUNJUS5FVkQuSVFfRUJJVERBLjIwMDAuMDEvMDEvMjAyNC4uLlVTRC5IAQAAAOduVQACAAAACjQwNiw2MTg3NjkBCAAAAAUAAAABMQEAAAALLTE5NTM4NzE1NDkDAAAAAzE2MAIAAAAENDA1MQQAAAABMAcAAAAIMS8xLzIwMjQIAAAACjEyLzMxLzIwMjMJAAAAATDzEYut60feCPgs8bXrR94IMENJUS5FVkQuSVFf</t>
  </si>
  <si>
    <t>RUJJVERBX01BUkdJTi4yMDAwLjAxLzAxLzIwMjQuLi5VU0QuSAEAAADnblUAAgAAAAcxNSw1OTcxAQgAAAAFAAAAATEBAAAACy0xOTUzODcxNTQ5AwAAAAI1MAIAAAAENDA0NwQAAAABMAcAAAAIMS8xLzIwMjQIAAAACjEyLzMxLzIwMjMJAAAAATDzEYut60feCPgs8bXrR94IL0NJUS5FVkQuSVFfVE9UQUxfQVNTRVRTLjIwMDAuMDEvMDEvMjAyNC4uLlVTRC5IAQAAAOduVQACAAAACzM1MzEsOTMyMTMxAQgAAAAFAAAAATEBAAAACy0xOTUzODcxNTQ5AwAAAAMxNjACAAAABDEwMDcEAAAAATAHAAAACDEvMS8yMDI0CAAAAAoxMi8zMS8yMDIzCQAAAAEw8xGLretH3gj4LPG160feCClDSVEuQlRTIEIuSVFfTEFTVFNBTEVQUklDRS4xOS8wNi8yMDI0LlVTRAEAAAAQTnUAAgAAAAwyOSw1MzY3NzEyNjQA8xGLretH3gi7zOa160feCClDSVEuQlRTIEIuSVFfTEFTVFNBTEVQUklDRS4xOC8wNi8yMDI0LlVTRAEAAAAQTnUAAgAAAAwyOSw4NTU0ODgxMDQA8xGLretH3gi7zOa160feCClDSVEuQlRTIEIuSVFfTEFTVFNBTEVQUklDRS4xNy8wNi8yMDI0LlVTRAEAAAAQTnUAAgAAAAsyOCw4MTI0OTcyNQDzEYut60feCLvM5rXrR94IKUNJUS5CVFMgQi5JUV9MQVNUU0FMRVBSSUNFLjE2LzA2LzIwMjQuVVNEAQAAABBOdQACAAAADDI5LDE0MDU0Mzc2NgDzEYut60feCLvM5rXrR94IKUNJUS5CVFMgQi5JUV9MQVNU</t>
  </si>
  <si>
    <t>U0FMRVBSSUNFLjIxLzA2LzIwMjQuVVNEAQAAABBOdQACAAAACzI5LDAyOTMzODcyAPMRi63rR94Iu8zmtetH3ggpQ0lRLkJUUyBCLklRX0xBU1RTQUxFUFJJQ0UuMjIvMDYvMjAyNC5VU0QBAAAAEE51AAIAAAALMjksMDI5MzM4NzIA8xGLretH3gi7zOa160feCClDSVEuQlRTIEIuSVFfTEFTVFNBTEVQUklDRS4yMy8wNi8yMDI0LlVTRAEAAAAQTnUAAgAAAAsyOSwwMjkzMzg3MgDzEYut60feCLvM5rXrR94IKUNJUS5CVFMgQi5JUV9MQVNUU0FMRVBSSUNFLjI0LzA2LzIwMjQuVVNEAQAAABBOdQACAAAACjI5LDQyNzY5ODMA8xGLretH3gi7zOa160feCClDSVEuQlRTIEIuSVFfTEFTVFNBTEVQUklDRS4xMy8wNi8yMDI0LlVTRAEAAAAQTnUAAgAAAAsyOSw1ODY1MDQ3OADzEYut60feCMXz5rXrR94IKUNJUS5CVFMgQi5JUV9MQVNUU0FMRVBSSUNFLjI3LzA2LzIwMjQuVVNEAQAAABBOdQACAAAACzI5LDc0MTcwODI4APMRi63rR94Iu8zmtetH3ggnQ0lRLjgwTS5JUV9MQVNUU0FMRVBSSUNFLjE5LzA2LzIwMjQuVVNEAQAAAGIm0Q4CAAAADzAsMDA0NTE3NDAxNTM5OADzEYut60feCMXz5rXrR94IJ0NJUS44ME0uSVFfTEFTVFNBTEVQUklDRS4xOC8wNi8yMDI0LlVTRAEAAABiJtEOAgAAABAwLDAwNDUwNDIxODczOTA1APMRi63rR94I1hrntetH3ggnQ0lRLjgwTS5JUV9MQVNUU0FMRVBSSUNFLjE3LzA2</t>
  </si>
  <si>
    <t>LzIwMjQuVVNEAQAAAGIm0Q4CAAAADzAsMDA0NTA0NDQ3MzQ4NADzEYut60feCMXz5rXrR94IJ0NJUS44ME0uSVFfTEFTVFNBTEVQUklDRS4xNi8wNi8yMDI0LlVTRAEAAABiJtEOAgAAAA8wLDAwNDUwMjA0ODExNjQA8xGLretH3gjWGue160feCCdDSVEuODBNLklRX0xBU1RTQUxFUFJJQ0UuMjEvMDYvMjAyNC5VU0QBAAAAYibRDgIAAAAOMCwwMDM3ODc4MzA5NjMA8xGLretH3gjWGue160feCCdDSVEuODBNLklRX0xBU1RTQUxFUFJJQ0UuMjIvMDYvMjAyNC5VU0QBAAAAYibRDgIAAAAOMCwwMDM3ODc4MzA5NjMA8xGLretH3gjWGue160feCCdDSVEuODBNLklRX0xBU1RTQUxFUFJJQ0UuMjMvMDYvMjAyNC5VU0QBAAAAYibRDgIAAAAOMCwwMDM3ODc4MzA5NjMA8xGLretH3gjF8+a160feCC1DSVEuRVZELklRX0NBU0hfRVFVSVYuMjAwMC4wMS8wMS8yMDI0Li4uVVNELkgBAAAA525VAAIAAAALMTEzNiw4MzMyMDQBCAAAAAUAAAABMQEAAAALLTE5NTM4NzE1NDkDAAAAAzE2MAIAAAAEMTA5NgQAAAABMAcAAAAIMS8xLzIwMjQIAAAACjEyLzMxLzIwMjMJAAAAATABOYut60feCPgs8bXrR94IJ0NJUS44ME0uSVFfTEFTVFNBTEVQUklDRS4yNC8wNi8yMDI0LlVTRAEAAABiJtEOAgAAABAwLDAwMzc0Mzg5MjM3OTk1APMRi63rR94IxfPmtetH3ggrQ0lRLkVWRC5JUV9ORVRfREVCVC4yMDAwLjAxLzAxLzIw</t>
  </si>
  <si>
    <t>MjQuLi5VU0QuSAEAAADnblUAAgAAAAwtMTcxMyw0ODQwMjcBCAAAAAUAAAABMQEAAAALLTE5NTM4NzE1NDkDAAAAAzE2MAIAAAAENDM2NAQAAAABMAcAAAAIMS8xLzIwMjQIAAAACjEyLzMxLzIwMjMJAAAAATABOYut60feCAVU8bXrR94IJ0NJUS44ME0uSVFfTEFTVFNBTEVQUklDRS4xMy8wNi8yMDI0LlVTRAEAAABiJtEOAgAAAA8wLDAwNDUyODkyNzcyOTUAATmLretH3gjF8+a160feCCdDSVEuODBNLklRX0xBU1RTQUxFUFJJQ0UuMjcvMDYvMjAyNC5VU0QBAAAAYibRDgIAAAAOMCwwMDM3OTM0ODI3OTgAATmLretH3gjlQee160feCChDSVEuVEFURS5JUV9MQVNUU0FMRVBSSUNFLjE5LzA2LzIwMjQuVVNEAQAAADDEBQACAAAADTgsNjE0ODc1NjEyNTIAATmLretH3gjlQee160feCChDSVEuVEFURS5JUV9MQVNUU0FMRVBSSUNFLjE4LzA2LzIwMjQuVVNEAQAAADDEBQACAAAADDgsNjI3Nzk5Mjc0OAABOYut60feCOVB57XrR94IKUNJUS5PU0cuSVFfRUJJVERBLjIwMDAuMDEvMDEvMjAyNC4uLlVTRC5IAQAAABTYBAACAAAABy0xOCw0MjQBCAAAAAUAAAABMQEAAAALLTE5NTY2OTE1ODkDAAAAAzE2MAIAAAAENDA1MQQAAAABMAcAAAAIMS8xLzIwMjQIAAAACjEyLzMxLzIwMjMJAAAAATABOYut60feCBZ78bXrR94IKENJUS5UQVRFLklRX0xBU1RTQUxFUFJJQ0UuMTcvMDYvMjAyNC5VU0QBAAAAMMQF</t>
  </si>
  <si>
    <t>AAIAAAANOCw1MjAzODQyMDk3MgABOYut60feCOVB57XrR94IMENJUS5PU0cuSVFfRUJJVERBX01BUkdJTi4yMDAwLjAxLzAxLzIwMjQuLi5VU0QuSAEAAAAU2AQAAgAAAAgtMTQsNTk3OAEIAAAABQAAAAExAQAAAAstMTk1NjY5MTU4OQMAAAADMTYwAgAAAAQ0MDQ3BAAAAAEwBwAAAAgxLzEvMjAyNAgAAAAKMTIvMzEvMjAyMwkAAAABMAE5i63rR94IJaLxtetH3ggvQ0lRLk9TRy5JUV9UT1RBTF9BU1NFVFMuMjAwMC4wMS8wMS8yMDI0Li4uVVNELkgBAAAAFNgEAAIAAAAHODQyOCwzMgEIAAAABQAAAAExAQAAAAstMTk1NjY5MTU4OQMAAAADMTYwAgAAAAQxMDA3BAAAAAEwBwAAAAgxLzEvMjAyNAgAAAAKMTIvMzEvMjAyMwkAAAABMAE5i63rR94IJaLxtetH3ggtQ0lRLk9TRy5JUV9DQVNIX0VRVUlWLjIwMDAuMDEvMDEvMjAyNC4uLlVTRC5IAQAAABTYBAACAAAABTcsMzQyAQgAAAAFAAAAATEBAAAACy0xOTU2NjkxNTg5AwAAAAMxNjACAAAABDEwOTYEAAAAATAHAAAACDEvMS8yMDI0CAAAAAoxMi8zMS8yMDIzCQAAAAEwATmLretH3ggWe/G160feCCtDSVEuT1NHLklRX05FVF9ERUJULjIwMDAuMDEvMDEvMjAyNC4uLlVTRC5IAQAAABTYBAACAAAABjE0LDY5OQEIAAAABQAAAAExAQAAAAstMTk1NjY5MTU4OQMAAAADMTYwAgAAAAQ0MzY0BAAAAAEwBwAAAAgxLzEvMjAyNAgAAAAKMTIvMzEvMjAyMwkA</t>
  </si>
  <si>
    <t>AAABMAE5i63rR94IJaLxtetH3ggrQ0lRLkVEWU9VLklRX0VCSVREQS4yMDAwLjAxLzAxLzIwMjQuLi5VU0QuSAEAAABIumAlAgAAAAktMCw3NjkyMjcBCAAAAAUAAAABMQEAAAALLTE5Mzc1Njc1OTEDAAAAAzE2MAIAAAAENDA1MQQAAAABMAcAAAAIMS8xLzIwMjQIAAAACjEyLzMxLzIwMjMJAAAAATABOYut60feCDXJ8bXrR94IMkNJUS5FRFlPVS5JUV9FQklUREFfTUFSR0lOLjIwMDAuMDEvMDEvMjAyNC4uLlVTRC5IAQAAAEi6YCUCAAAACC0yMSw2NjMyAQgAAAAFAAAAATEBAAAACy0xOTM3NTY3NTkxAwAAAAMxMzcCAAAABDQwNDcEAAAAATAHAAAACDEvMS8yMDI0CAAAAAoxMi8zMS8yMDIzCQAAAAEwATmLretH3gg1yfG160feCChDSVEuVEFURS5JUV9MQVNUU0FMRVBSSUNFLjE2LzA2LzIwMjQuVVNEAQAAADDEBQACAAAADTgsNTQ3NTUwNTA4MzIAATmLretH3gjlQee160feCDFDSVEuRURZT1UuSVFfVE9UQUxfQVNTRVRTLjIwMDAuMDEvMDEvMjAyNC4uLlVTRC5IAQAAAEi6YCUCAAAACTEwLDA2NjAxNwEIAAAABQAAAAExAQAAAAstMTkzNzU2NzU5MQMAAAADMTYwAgAAAAQxMDA3BAAAAAEwBwAAAAgxLzEvMjAyNAgAAAAKMTIvMzEvMjAyMwkAAAABMAE5i63rR94INcnxtetH3ggoQ0lRLlRBVEUuSVFfTEFTVFNBTEVQUklDRS4yMS8wNi8yMDI0LlVTRAEAAAAwxAUAAgAAAA43LDg0NzEyMzE0NTAx</t>
  </si>
  <si>
    <t>NQABOYut60feCNYa57XrR94IKENJUS5UQVRFLklRX0xBU1RTQUxFUFJJQ0UuMjIvMDYvMjAyNC5VU0QBAAAAMMQFAAIAAAAONyw4NDcxMjMxNDUwMTUAATmLretH3gjlQee160feCC9DSVEuRURZT1UuSVFfQ0FTSF9FUVVJVi4yMDAwLjAxLzAxLzIwMjQuLi5VU0QuSAEAAABIumAlAgAAAAgwLDE2Nzg5OAEIAAAABQAAAAExAQAAAAstMTkzNzU2NzU5MQMAAAADMTYwAgAAAAQxMDk2BAAAAAEwBwAAAAgxLzEvMjAyNAgAAAAKMTIvMzEvMjAyMwkAAAABMAE5i63rR94INcnxtetH3ggoQ0lRLlRBVEUuSVFfTEFTVFNBTEVQUklDRS4yMy8wNi8yMDI0LlVTRAEAAAAwxAUAAgAAAA43LDg0NzEyMzE0NTAxNQABOYut60feCOVB57XrR94ILUNJUS5FRFlPVS5JUV9ORVRfREVCVC4yMDAwLjAxLzAxLzIwMjQuLi5VU0QuSAEAAABIumAlAgAAAAgwLDQ2Nzg5NwEIAAAABQAAAAExAQAAAAstMTkzNzU2NzU5MQMAAAADMTYwAgAAAAQ0MzY0BAAAAAEwBwAAAAgxLzEvMjAyNAgAAAAKMTIvMzEvMjAyMwkAAAABMAE5i63rR94IRvDxtetH3ggpQ0lRLktQTi5JUV9FQklUREEuMjAwMC4wMS8wMS8yMDI0Li4uVVNELkgBAAAAmkQGAAIAAAALMjQ0Miw3OTg3MTcBCAAAAAUAAAABMQEAAAALLTE5NTgzOTE4MDEDAAAAAzE2MAIAAAAENDA1MQQAAAABMAcAAAAIMS8xLzIwMjQIAAAACjEyLzMxLzIwMjMJAAAAATABOYut60fe</t>
  </si>
  <si>
    <t>CEbw8bXrR94IMENJUS5LUE4uSVFfRUJJVERBX01BUkdJTi4yMDAwLjAxLzAxLzIwMjQuLi5VU0QuSAEAAACaRAYAAgAAAAc0MCw2MzI0AQgAAAAFAAAAATEBAAAACy0xOTU4MzkxODAxAwAAAAI1MAIAAAAENDA0NwQAAAABMAcAAAAIMS8xLzIwMjQIAAAACjEyLzMxLzIwMjMJAAAAATABOYut60feCEbw8bXrR94IKENJUS5UQVRFLklRX0xBU1RTQUxFUFJJQ0UuMjQvMDYvMjAyNC5VU0QBAAAAMMQFAAIAAAAOOCwwMTQ0Njc5MjUyMTUAATmLretH3gjlQee160feCC9DSVEuS1BOLklRX1RPVEFMX0FTU0VUUy4yMDAwLjAxLzAxLzIwMjQuLi5VU0QuSAEAAACaRAYAAgAAAAwxMzU0Myw3MTYxNDUBCAAAAAUAAAABMQEAAAALLTE5NTgzOTE4MDEDAAAAAzE2MAIAAAAEMTAwNwQAAAABMAcAAAAIMS8xLzIwMjQIAAAACjEyLzMxLzIwMjMJAAAAATABOYut60feCFcX8rXrR94IKENJUS5UQVRFLklRX0xBU1RTQUxFUFJJQ0UuMTMvMDYvMjAyNC5VU0QBAAAAMMQFAAIAAAANOCw1OTIyMDUxNDMxNQABOYut60feCPVo57XrR94IKENJUS5UQVRFLklRX0xBU1RTQUxFUFJJQ0UuMjcvMDYvMjAyNC5VU0QBAAAAMMQFAAIAAAANNyw3Mzg3MDQ5MDc5MgABOYut60feCPVo57XrR94ILUNJUS5LUE4uSVFfQ0FTSF9FUVVJVi4yMDAwLjAxLzAxLzIwMjQuLi5VU0QuSAEAAACaRAYAAgAAAAo2NzMsMTUxMzIxAQgAAAAFAAAA</t>
  </si>
  <si>
    <t>ATEBAAAACy0xOTU4MzkxODAxAwAAAAMxNjACAAAABDEwOTYEAAAAATAHAAAACDEvMS8yMDI0CAAAAAoxMi8zMS8yMDIzCQAAAAEwATmLretH3ghXF/K160feCCtDSVEuS1BOLklRX05FVF9ERUJULjIwMDAuMDEvMDEvMjAyNC4uLlVTRC5IAQAAAJpEBgACAAAACzY4NzcsNDE3OTI2AQgAAAAFAAAAATEBAAAACy0xOTU4MzkxODAxAwAAAAMxNjACAAAABDQzNjQEAAAAATAHAAAACDEvMS8yMDI0CAAAAAoxMi8zMS8yMDIzCQAAAAEwATmLretH3ghXF/K160feCCtDSVEuUklDSFRFUi5JUV9MQVNUU0FMRVBSSUNFLjE4LzA2LzIwMjQuVVNEAQAAALJyDQACAAAACjI1LDM2MTcyNDcAATmLretH3gj1aOe160feCClDSVEuQ0RHLklRX0VCSVREQS4yMDAwLjAxLzAxLzIwMjQuLi5VU0QuSAEAAAAi87AIAgAAAAg4LDc5Njg5NgEIAAAABQAAAAExAQAAAAstMTkzNjY2MzkwMwMAAAADMTYwAgAAAAQ0MDUxBAAAAAEwBwAAAAgxLzEvMjAyNAgAAAAKMTIvMzEvMjAyMwkAAAABMAE5i63rR94IVxfytetH3ggrQ0lRLlJJQ0hURVIuSVFfTEFTVFNBTEVQUklDRS4xNy8wNi8yMDI0LlVTRAEAAACycg0AAgAAAAsyNSwyMDQxNzg1MgABOYut60feCAaQ57XrR94IMENJUS5DREcuSVFfRUJJVERBX01BUkdJTi4yMDAwLjAxLzAxLzIwMjQuLi5VU0QuSAEAAAAi87AIAgAAAAY3LDE3NTYBCAAAAAUAAAABMQEAAAALLTE5MzY2</t>
  </si>
  <si>
    <t>NjM5MDMDAAAAAjUwAgAAAAQ0MDQ3BAAAAAEwBwAAAAgxLzEvMjAyNAgAAAAKMTIvMzEvMjAyMwkAAAABMAE5i63rR94IZj7ytetH3ggrQ0lRLlJJQ0hURVIuSVFfTEFTVFNBTEVQUklDRS4xNi8wNi8yMDI0LlVTRAEAAACycg0AAgAAAAgyNCw5ODcyNAABOYut60feCPVo57XrR94IK0NJUS5SSUNIVEVSLklRX0xBU1RTQUxFUFJJQ0UuMTUvMDYvMjAyNC5VU0QBAAAAsnINAAIAAAAIMjQsOTg3MjQAATmLretH3ggGkOe160feCCtDSVEuUklDSFRFUi5JUV9MQVNUU0FMRVBSSUNFLjIwLzA2LzIwMjQuVVNEAQAAALJyDQACAAAADDI1LDIxNzQ2NjMxNQABOYut60feCAaQ57XrR94IL0NJUS5DREcuSVFfVE9UQUxfQVNTRVRTLjIwMDAuMDEvMDEvMjAyNC4uLlVTRC5IAQAAACLzsAgCAAAACTc2LDY4MzM0NwEIAAAABQAAAAExAQAAAAstMTkzNjY2MzkwMwMAAAADMTYwAgAAAAQxMDA3BAAAAAEwBwAAAAgxLzEvMjAyNAgAAAAKMTIvMzEvMjAyMwkAAAABMAE5i63rR94IZj7ytetH3ggrQ0lRLlJJQ0hURVIuSVFfTEFTVFNBTEVQUklDRS4yMS8wNi8yMDI0LlVTRAEAAACycg0AAgAAAAkyNSwwNDcxMzIAATmLretH3ggGkOe160feCC1DSVEuQ0RHLklRX0NBU0hfRVFVSVYuMjAwMC4wMS8wMS8yMDI0Li4uVVNELkgBAAAAIvOwCAIAAAAJMTIsNjI5Mzc4AQgAAAAFAAAAATEBAAAACy0xOTM2NjYzOTAzAwAAAAMx</t>
  </si>
  <si>
    <t>NjACAAAABDEwOTYEAAAAATAHAAAACDEvMS8yMDI0CAAAAAoxMi8zMS8yMDIzCQAAAAEwATmLretH3ghmPvK160feCCtDSVEuQ0RHLklRX05FVF9ERUJULjIwMDAuMDEvMDEvMjAyNC4uLlVTRC5IAQAAACLzsAgCAAAACTEwLDI3OTcwOAEIAAAABQAAAAExAQAAAAstMTkzNjY2MzkwMwMAAAADMTYwAgAAAAQ0MzY0BAAAAAEwBwAAAAgxLzEvMjAyNAgAAAAKMTIvMzEvMjAyMwkAAAABMAE5i63rR94IZj7ytetH3ggqQ0lRLkRTQ1YuSVFfRUJJVERBLjIwMDAuMDEvMDEvMjAyNC4uLlVTRC5IAQAAAD1jDQACAAAACTc4LDkwOTE1NgEIAAAABQAAAAExAQAAAAstMTkzNzc1MDgxNgMAAAADMTYwAgAAAAQ0MDUxBAAAAAEwBwAAAAgxLzEvMjAyNAgAAAAKMTIvMzEvMjAyMwkAAAABMAE5i63rR94Id2XytetH3ggxQ0lRLkRTQ1YuSVFfRUJJVERBX01BUkdJTi4yMDAwLjAxLzAxLzIwMjQuLi5VU0QuSAEAAAA9Yw0AAgAAAAcxMyw5OTUyAQgAAAAFAAAAATEBAAAACy0xOTM3NzUwODE2AwAAAAI1NQIAAAAENDA0NwQAAAABMAcAAAAIMS8xLzIwMjQIAAAACjEyLzMxLzIwMjMJAAAAATABOYut60feCHdl8rXrR94IMENJUS5EU0NWLklRX1RPVEFMX0FTU0VUUy4yMDAwLjAxLzAxLzIwMjQuLi5VU0QuSAEAAAA9Yw0AAgAAAAk4NTEsNzYwMzMBCAAAAAUAAAABMQEAAAALLTE5Mzc3NTA4MTYDAAAAAzE2MAIAAAAEMTAw</t>
  </si>
  <si>
    <t>NwQAAAABMAcAAAAIMS8xLzIwMjQIAAAACjEyLzMxLzIwMjMJAAAAATABOYut60feCHdl8rXrR94ILkNJUS5EU0NWLklRX0NBU0hfRVFVSVYuMjAwMC4wMS8wMS8yMDI0Li4uVVNELkgBAAAAPWMNAAIAAAAKMTQxLDEzMjExNAEIAAAABQAAAAExAQAAAAstMTkzNzc1MDgxNgMAAAADMTYwAgAAAAQxMDk2BAAAAAEwBwAAAAgxLzEvMjAyNAgAAAAKMTIvMzEvMjAyMwkAAAABMAE5i63rR94Id2XytetH3ggsQ0lRLkRTQ1YuSVFfTkVUX0RFQlQuMjAwMC4wMS8wMS8yMDI0Li4uVVNELkgBAAAAPWMNAAIAAAAKMTU4LDA3MzA2MwEIAAAABQAAAAExAQAAAAstMTkzNzc1MDgxNgMAAAADMTYwAgAAAAQ0MzY0BAAAAAEwBwAAAAgxLzEvMjAyNAgAAAAKMTIvMzEvMjAyMwkAAAABMAE5i63rR94Ih4zytetH3ggpQ0lRLlNSQy5JUV9FQklUREEuMjAwMC4wMS8wMS8yMDI0Li4uVVNELkgBAAAAOLdiAQIAAAAJODgsNzU3ODM0AQgAAAAFAAAAATEBAAAACy0xOTUyNjYxMzI2AwAAAAMxNjACAAAABDQwNTEEAAAAATAHAAAACDEvMS8yMDI0CAAAAAoxMi8zMS8yMDIzCQAAAAEwATmLretH3giHjPK160feCDBDSVEuU1JDLklRX0VCSVREQV9NQVJHSU4uMjAwMC4wMS8wMS8yMDI0Li4uVVNELkgBAAAAOLdiAQIAAAAHMTIsODY0NwEIAAAABQAAAAExAQAAAAstMTk1MjY2MTMyNgMAAAACNTUCAAAABDQwNDcEAAAAATAHAAAA</t>
  </si>
  <si>
    <t>CDEvMS8yMDI0CAAAAAoxMi8zMS8yMDIzCQAAAAEwATmLretH3giHjPK160feCC9DSVEuU1JDLklRX1RPVEFMX0FTU0VUUy4yMDAwLjAxLzAxLzIwMjQuLi5VU0QuSAEAAAA4t2IBAgAAAAsxMjkzLDE5NDMyNAEIAAAABQAAAAExAQAAAAstMTk1MjY2MTMyNgMAAAADMTYwAgAAAAQxMDA3BAAAAAEwBwAAAAgxLzEvMjAyNAgAAAAKMTIvMzEvMjAyMwkAAAABMAE5i63rR94Il7PytetH3ggtQ0lRLlNSQy5JUV9DQVNIX0VRVUlWLjIwMDAuMDEvMDEvMjAyNC4uLlVTRC5IAQAAADi3YgECAAAACDcxLDE2NzI3AQgAAAAFAAAAATEBAAAACy0xOTUyNjYxMzI2AwAAAAMxNjACAAAABDEwOTYEAAAAATAHAAAACDEvMS8yMDI0CAAAAAoxMi8zMS8yMDIzCQAAAAEwATmLretH3giXs/K160feCCtDSVEuU1JDLklRX05FVF9ERUJULjIwMDAuMDEvMDEvMjAyNC4uLlVTRC5IAQAAADi3YgECAAAACjIzMiwzNjM1ODEBCAAAAAUAAAABMQEAAAALLTE5NTI2NjEzMjYDAAAAAzE2MAIAAAAENDM2NAQAAAABMAcAAAAIMS8xLzIwMjQIAAAACjEyLzMxLzIwMjMJAAAAATABOYut60feCJez8rXrR94IK0NJUS5NVUxUSS5JUV9FQklUREEuMjAwMC4wMS8wMS8yMDI0Li4uVVNELkgBAAAA1ktfAQIAAAAJNDgsMzI2MzMzAQgAAAAFAAAAATEBAAAACy0xOTU1MzE3OTA2AwAAAAMxNjACAAAABDQwNTEEAAAAATAHAAAACDEvMS8yMDI0</t>
  </si>
  <si>
    <t>CAAAAAoxMi8zMS8yMDIzCQAAAAEwJoeLretH3ghnIPe160feCDJDSVEuTVVMVEkuSVFfRUJJVERBX01BUkdJTi4yMDAwLjAxLzAxLzIwMjQuLi5VU0QuSAEAAADWS18BAgAAAAcxMCwyMDM5AQgAAAAFAAAAATEBAAAACy0xOTU1MzE3OTA2AwAAAAMxMTcCAAAABDQwNDcEAAAAATAHAAAACDEvMS8yMDI0CAAAAAoxMi8zMS8yMDIzCQAAAAEwJoeLretH3giHbve160feCDFDSVEuTVVMVEkuSVFfVE9UQUxfQVNTRVRTLjIwMDAuMDEvMDEvMjAyNC4uLlVTRC5IAQAAANZLXwECAAAACjM4Miw2Mjg0MzgBCAAAAAUAAAABMQEAAAALLTE5NTUzMTc5MDYDAAAAAzE2MAIAAAAEMTAwNwQAAAABMAcAAAAIMS8xLzIwMjQIAAAACjEyLzMxLzIwMjMJAAAAATAmh4ut60feCIdu97XrR94IL0NJUS5NVUxUSS5JUV9DQVNIX0VRVUlWLjIwMDAuMDEvMDEvMjAyNC4uLlVTRC5IAQAAANZLXwECAAAACTI3LDQyNDAxNAEIAAAABQAAAAExAQAAAAstMTk1NTMxNzkwNgMAAAADMTYwAgAAAAQxMDk2BAAAAAEwBwAAAAgxLzEvMjAyNAgAAAAKMTIvMzEvMjAyMwkAAAABMCaHi63rR94Id0f3tetH3ggtQ0lRLk1VTFRJLklRX05FVF9ERUJULjIwMDAuMDEvMDEvMjAyNC4uLlVTRC5IAQAAANZLXwECAAAACTk1LDgxNzQ4NAEIAAAABQAAAAExAQAAAAstMTk1NTMxNzkwNgMAAAADMTYwAgAAAAQ0MzY0BAAAAAEwBwAAAAgxLzEvMjAy</t>
  </si>
  <si>
    <t>NAgAAAAKMTIvMzEvMjAyMwkAAAABMCaHi63rR94Id0f3tetH3ggqQ0lRLjc0U1cuSVFfRUJJVERBLjIwMDAuMDEvMDEvMjAyNC4uLlVTRC5IAQAAAIAnYAECAAAACTY1LDUzNTUzNwEIAAAABQAAAAExAQAAAAstMTk1MzYyMTM1MwMAAAADMTYwAgAAAAQ0MDUxBAAAAAEwBwAAAAgxLzEvMjAyNAgAAAAKMTIvMzEvMjAyMwkAAAABMAE5i63rR94IuAHztetH3ggxQ0lRLjc0U1cuSVFfRUJJVERBX01BUkdJTi4yMDAwLjAxLzAxLzIwMjQuLi5VU0QuSAEAAACAJ2ABAgAAAAcxOCw1ODc2AQgAAAAFAAAAATEBAAAACy0xOTUzNjIxMzUzAwAAAAI1MAIAAAAENDA0NwQAAAABMAcAAAAIMS8xLzIwMjQIAAAACjEyLzMxLzIwMjMJAAAAATABOYut60feCLgB87XrR94IMENJUS43NFNXLklRX1RPVEFMX0FTU0VUUy4yMDAwLjAxLzAxLzIwMjQuLi5VU0QuSAEAAACAJ2ABAgAAAAo2NTcsMjI2NzA1AQgAAAAFAAAAATEBAAAACy0xOTUzNjIxMzUzAwAAAAMxNjACAAAABDEwMDcEAAAAATAHAAAACDEvMS8yMDI0CAAAAAoxMi8zMS8yMDIzCQAAAAEwATmLretH3gjHKPO160feCC5DSVEuNzRTVy5JUV9DQVNIX0VRVUlWLjIwMDAuMDEvMDEvMjAyNC4uLlVTRC5IAQAAAIAnYAECAAAACTE4LDQzOTI2MgEIAAAABQAAAAExAQAAAAstMTk1MzYyMTM1MwMAAAADMTYwAgAAAAQxMDk2BAAAAAEwBwAAAAgxLzEvMjAyNAgAAAAK</t>
  </si>
  <si>
    <t>MTIvMzEvMjAyMwkAAAABMAE5i63rR94IxyjztetH3ggsQ0lRLjc0U1cuSVFfTkVUX0RFQlQuMjAwMC4wMS8wMS8yMDI0Li4uVVNELkgBAAAAgCdgAQIAAAAKMTA5LDc3ODkzMgEIAAAABQAAAAExAQAAAAstMTk1MzYyMTM1MwMAAAADMTYwAgAAAAQ0MzY0BAAAAAEwBwAAAAgxLzEvMjAyNAgAAAAKMTIvMzEvMjAyMwkAAAABMAE5i63rR94IxyjztetH3ggoQ0lRLkNXLklRX0VCSVREQS4yMDAwLjAxLzAxLzIwMjQuLi5VU0QuSAEAAACqDAQAAgAAAAc2MjksNjY5AQgAAAAFAAAAATEBAAAACy0xOTU5NjczMzYxAwAAAAMxNjACAAAABDQwNTEEAAAAATAHAAAACDEvMS8yMDI0CAAAAAoxMi8zMS8yMDIzCQAAAAEwDmCLretH3gjXT/O160feCC9DSVEuQ1cuSVFfRUJJVERBX01BUkdJTi4yMDAwLjAxLzAxLzIwMjQuLi5VU0QuSAEAAACqDAQAAgAAAAcyMiwxMjk1AQgAAAAFAAAAATEBAAAACy0xOTU5NjczMzYxAwAAAAMxNjACAAAABDQwNDcEAAAAATAHAAAACDEvMS8yMDI0CAAAAAoxMi8zMS8yMDIzCQAAAAEwDmCLretH3gj3nfO160feCC5DSVEuQ1cuSVFfVE9UQUxfQVNTRVRTLjIwMDAuMDEvMDEvMjAyNC4uLlVTRC5IAQAAAKoMBAACAAAACDQ2MjAsOTY5AQgAAAAFAAAAATEBAAAACy0xOTU5NjczMzYxAwAAAAMxNjACAAAABDEwMDcEAAAAATAHAAAACDEvMS8yMDI0CAAAAAoxMi8zMS8yMDIzCQAAAAEw</t>
  </si>
  <si>
    <t>DmCLretH3gj3nfO160feCCxDSVEuQ1cuSVFfQ0FTSF9FUVVJVi4yMDAwLjAxLzAxLzIwMjQuLi5VU0QuSAEAAACqDAQAAgAAAAc0MDYsODY3AQgAAAAFAAAAATEBAAAACy0xOTU5NjczMzYxAwAAAAMxNjACAAAABDEwOTYEAAAAATAHAAAACDEvMS8yMDI0CAAAAAoxMi8zMS8yMDIzCQAAAAEwDmCLretH3gjmdvO160feCCpDSVEuQ1cuSVFfTkVUX0RFQlQuMjAwMC4wMS8wMS8yMDI0Li4uVVNELkgBAAAAqgwEAAIAAAAHODAwLDY1OAEIAAAABQAAAAExAQAAAAstMTk1OTY3MzM2MQMAAAADMTYwAgAAAAQ0MzY0BAAAAAEwBwAAAAgxLzEvMjAyNAgAAAAKMTIvMzEvMjAyMwkAAAABMA5gi63rR94I5nbztetH3ggrQ0lRLlJJQ0hURVIuSVFfTEFTVFNBTEVQUklDRS4yMi8wNi8yMDI0LlVTRAEAAACycg0AAgAAAAkyNSwwNDcxMzIAATmLretH3ggGkOe160feCCtDSVEuUklDSFRFUi5JUV9MQVNUU0FMRVBSSUNFLjIzLzA2LzIwMjQuVVNEAQAAALJyDQACAAAACTI1LDA0NzEzMgAOYIut60feCAaQ57XrR94IKkNJUS5MRUNPLklRX0VCSVREQS4yMDAwLjAxLzAxLzIwMjQuLi5VU0QuSAEAAACCKgUAAgAAAAc3ODksNDgzAQgAAAAFAAAAATEBAAAACy0xOTUyNDM2NjI2AwAAAAMxNjACAAAABDQwNTEEAAAAATAHAAAACDEvMS8yMDI0CAAAAAoxMi8zMS8yMDIzCQAAAAEwDmCLretH3ggW7PO160feCCtDSVEuUklD</t>
  </si>
  <si>
    <t>SFRFUi5JUV9MQVNUU0FMRVBSSUNFLjEyLzA2LzIwMjQuVVNEAQAAALJyDQACAAAACzI1LDQwMjA2Mjg0AA5gi63rR94I9WjntetH3ggrQ0lRLlJJQ0hURVIuSVFfTEFTVFNBTEVQUklDRS4yNi8wNi8yMDI0LlVTRAEAAACycg0AAgAAAAsyNSw4OTAxODE0NQAOYIut60feCPVo57XrR94IKUNJUS5BT0ogQi5JUV9MQVNUU0FMRVBSSUNFLjE2LzA2LzIwMjQuVVNEAQAAANbxJAACAAAADDEwLDQ1NDIyMDg1NQAOYIut60feCBa357XrR94IKUNJUS5BT0ogQi5JUV9MQVNUU0FMRVBSSUNFLjE1LzA2LzIwMjQuVVNEAQAAANbxJAACAAAADDEwLDQ1NDIyMDg1NQAOYIut60feCAaQ57XrR94IMUNJUS5MRUNPLklRX0VCSVREQV9NQVJHSU4uMjAwMC4wMS8wMS8yMDI0Li4uVVNELkgBAAAAgioFAAIAAAAHMTgsODM0NwEIAAAABQAAAAExAQAAAAstMTk1MjQzNjYyNgMAAAADMTYwAgAAAAQ0MDQ3BAAAAAEwBwAAAAgxLzEvMjAyNAgAAAAKMTIvMzEvMjAyMwkAAAABMA5gi63rR94INjr0tetH3ggpQ0lRLkFPSiBCLklRX0xBU1RTQUxFUFJJQ0UuMTQvMDYvMjAyNC5VU0QBAAAA1vEkAAIAAAAMMTAsNDU0MjIwODU1AA5gi63rR94IFrfntetH3ggpQ0lRLkFPSiBCLklRX0xBU1RTQUxFUFJJQ0UuMTkvMDYvMjAyNC5VU0QBAAAA1vEkAAIAAAALMTAsNDQzMTM0NjEADmCLretH3ggl3ue160feCClDSVEuQU9KIEIuSVFf</t>
  </si>
  <si>
    <t>TEFTVFNBTEVQUklDRS4xMS8wNi8yMDI0LlVTRAEAAADW8SQAAgAAAAwxMCw2NTg4OTUyMzQADmCLretH3ggWt+e160feCDBDSVEuTEVDTy5JUV9UT1RBTF9BU1NFVFMuMjAwMC4wMS8wMS8yMDI0Li4uVVNELkgBAAAAgioFAAIAAAAIMzM3NywyOTcBCAAAAAUAAAABMQEAAAALLTE5NTI0MzY2MjYDAAAAAzE2MAIAAAAEMTAwNwQAAAABMAcAAAAIMS8xLzIwMjQIAAAACjEyLzMxLzIwMjMJAAAAATAOYIut60feCDY69LXrR94IKkNJUS5QRVJQIEIuSVFfTEFTVFNBTEVQUklDRS4xNy8wNi8yMDI0LlVTRAEAAADSxQwCAgAAABAwLDE5ODU0OTM5MDkwOTI1AA5gi63rR94IJd7ntetH3gguQ0lRLkxFQ08uSVFfQ0FTSF9FUVVJVi4yMDAwLjAxLzAxLzIwMjQuLi5VU0QuSAEAAACCKgUAAgAAAAczOTMsNzg3AQgAAAAFAAAAATEBAAAACy0xOTUyNDM2NjI2AwAAAAMxNjACAAAABDEwOTYEAAAAATAHAAAACDEvMS8yMDI0CAAAAAoxMi8zMS8yMDIzCQAAAAEwDmCLretH3ggnE/S160feCCxDSVEuTEVDTy5JUV9ORVRfREVCVC4yMDAwLjAxLzAxLzIwMjQuLi5VU0QuSAEAAACCKgUAAgAAAAc3NjYsMTAzAQgAAAAFAAAAATEBAAAACy0xOTUyNDM2NjI2AwAAAAMxNjACAAAABDQzNjQEAAAAATAHAAAACDEvMS8yMDI0CAAAAAoxMi8zMS8yMDIzCQAAAAEwDmCLretH3ggnE/S160feCClDSVEuSUxQLklRX0VCSVREQS4y</t>
  </si>
  <si>
    <t>MDAwLjAxLzAxLzIwMjQuLi5VU0QuSAEAAAAVPVMiAgAAAAkxNCwyNDY4OTEBCAAAAAUAAAABMQEAAAALLTE5NDIzMDA2OTkDAAAAAzE2MAIAAAAENDA1MQQAAAABMAcAAAAIMS8xLzIwMjQIAAAACjEyLzMxLzIwMjMJAAAAATAOYIut60feCEZh9LXrR94IMENJUS5JTFAuSVFfRUJJVERBX01BUkdJTi4yMDAwLjAxLzAxLzIwMjQuLi5VU0QuSAEAAAAVPVMiAgAAAAYyMCwwNTEBCAAAAAUAAAABMQEAAAALLTE5NDIzMDA2OTkDAAAAAjUwAgAAAAQ0MDQ3BAAAAAEwBwAAAAgxLzEvMjAyNAgAAAAKMTIvMzEvMjAyMwkAAAABMA5gi63rR94IRmH0tetH3ggqQ0lRLlBFUlAgQi5JUV9MQVNUU0FMRVBSSUNFLjE2LzA2LzIwMjQuVVNEAQAAANLFDAICAAAAETAsMTkxODE0OTI0MTEwMDYyAA5gi63rR94IJd7ntetH3ggvQ0lRLklMUC5JUV9UT1RBTF9BU1NFVFMuMjAwMC4wMS8wMS8yMDI0Li4uVVNELkgBAAAAFT1TIgIAAAAJMTAzLDM1MDAxAQgAAAAFAAAAATEBAAAACy0xOTQyMzAwNjk5AwAAAAMxNjACAAAABDEwMDcEAAAAATAHAAAACDEvMS8yMDI0CAAAAAoxMi8zMS8yMDIzCQAAAAEwDmCLretH3ghGYfS160feCCpDSVEuUEVSUCBCLklRX0xBU1RTQUxFUFJJQ0UuMTUvMDYvMjAyNC5VU0QBAAAA0sUMAgIAAAARMCwxOTE4MTQ5MjQxMTAwNjIADmCLretH3ggl3ue160feCCpDSVEuUEVSUCBCLklRX0xBU1RT</t>
  </si>
  <si>
    <t>QUxFUFJJQ0UuMTQvMDYvMjAyNC5VU0QBAAAA0sUMAgIAAAARMCwxOTE4MTQ5MjQxMTAwNjIADmCLretH3ggl3ue160feCCpDSVEuUEVSUCBCLklRX0xBU1RTQUxFUFJJQ0UuMTkvMDYvMjAyNC5VU0QBAAAA0sUMAgIAAAARMCwyMzI0NTgxMjk4OTMzOTIADmCLretH3gg1Bei160feCCpDSVEuUEVSUCBCLklRX0xBU1RTQUxFUFJJQ0UuMjAvMDYvMjAyNC5VU0QBAAAA0sUMAgIAAAARMCwyNDc2NTkyMjY2Mjg0MjIADmCLretH3ggl3ue160feCC1DSVEuSUxQLklRX0NBU0hfRVFVSVYuMjAwMC4wMS8wMS8yMDI0Li4uVVNELkgBAAAAFT1TIgIAAAAJMTYsMjI0MjU5AQgAAAAFAAAAATEBAAAACy0xOTQyMzAwNjk5AwAAAAMxNjACAAAABDEwOTYEAAAAATAHAAAACDEvMS8yMDI0CAAAAAoxMi8zMS8yMDIzCQAAAAEwDmCLretH3ghGYfS160feCCtDSVEuSUxQLklRX05FVF9ERUJULjIwMDAuMDEvMDEvMjAyNC4uLlVTRC5IAQAAABU9UyICAAAACTE3LDExMDkxNAEIAAAABQAAAAExAQAAAAstMTk0MjMwMDY5OQMAAAADMTYwAgAAAAQ0MzY0BAAAAAEwBwAAAAgxLzEvMjAyNAgAAAAKMTIvMzEvMjAyMwkAAAABMA5gi63rR94IRmH0tetH3ggqQ0lRLkZPVVIuSVFfRUJJVERBLjIwMDAuMDEvMDEvMjAyNC4uLlVTRC5IAQAAAPJkVAECAAAABTM3NSw4AQgAAAAFAAAAATEBAAAACy0xOTU4ODU1ODgxAwAAAAMxNjAC</t>
  </si>
  <si>
    <t>AAAABDQwNTEEAAAAATAHAAAACDEvMS8yMDI0CAAAAAoxMi8zMS8yMDIzCQAAAAEwDmCLretH3ghnr/S160feCDFDSVEuRk9VUi5JUV9FQklUREFfTUFSR0lOLjIwMDAuMDEvMDEvMjAyNC4uLlVTRC5IAQAAAPJkVAECAAAABzE0LDY1MjIBCAAAAAUAAAABMQEAAAALLTE5NTg4NTU4ODEDAAAAAzE2MAIAAAAENDA0NwQAAAABMAcAAAAIMS8xLzIwMjQIAAAACjEyLzMxLzIwMjMJAAAAATAOYIut60feCHfW9LXrR94IMENJUS5GT1VSLklRX1RPVEFMX0FTU0VUUy4yMDAwLjAxLzAxLzIwMjQuLi5VU0QuSAEAAADyZFQBAgAAAAYzMzg3LDgBCAAAAAUAAAABMQEAAAALLTE5NTg4NTU4ODEDAAAAAzE2MAIAAAAEMTAwNwQAAAABMAcAAAAIMS8xLzIwMjQIAAAACjEyLzMxLzIwMjMJAAAAATAOYIut60feCHfW9LXrR94ILkNJUS5GT1VSLklRX0NBU0hfRVFVSVYuMjAwMC4wMS8wMS8yMDI0Li4uVVNELkgBAAAA8mRUAQIAAAADNDU1AQgAAAAFAAAAATEBAAAACy0xOTU4ODU1ODgxAwAAAAMxNjACAAAABDEwOTYEAAAAATAHAAAACDEvMS8yMDI0CAAAAAoxMi8zMS8yMDIzCQAAAAEwJoeLretH3ghnr/S160feCCxDSVEuRk9VUi5JUV9ORVRfREVCVC4yMDAwLjAxLzAxLzIwMjQuLi5VU0QuSAEAAADyZFQBAgAAAAYxMzIxLDgBCAAAAAUAAAABMQEAAAALLTE5NTg4NTU4ODEDAAAAAzE2MAIAAAAENDM2NAQAAAABMAcA</t>
  </si>
  <si>
    <t>AAAIMS8xLzIwMjQIAAAACjEyLzMxLzIwMjMJAAAAATAmh4ut60feCGev9LXrR94IKkNJUS5QRVJQIEIuSVFfTEFTVFNBTEVQUklDRS4yMS8wNi8yMDI0LlVTRAEAAADSxQwCAgAAABAwLDI0NTg5NTQ4MDE3Mjg4AA5gi63rR94INQXotetH3ggqQ0lRLlBFUlAgQi5JUV9MQVNUU0FMRVBSSUNFLjIyLzA2LzIwMjQuVVNEAQAAANLFDAICAAAAEDAsMjQ1ODk1NDgwMTcyODgADmCLretH3gg1Bei160feCClDSVEuRVpKLklRX0VCSVREQS4yMDAwLjAxLzAxLzIwMjQuLi5VU0QuSAEAAADR4h8AAgAAAAo4NDcsNjg0MzEzAQgAAAAFAAAAATEBAAAACy0xOTQxOTQyNTg4AwAAAAMxNjACAAAABDQwNTEEAAAAATAHAAAACDEvMS8yMDI0CAAAAAoxMi8zMS8yMDIzCQAAAAEwJoeLretH3giL/fS160feCDBDSVEuRVpKLklRX0VCSVREQV9NQVJHSU4uMjAwMC4wMS8wMS8yMDI0Li4uVVNELkgBAAAA0eIfAAIAAAAGNyw4NjU5AQgAAAAFAAAAATEBAAAACy0xOTQxOTQyNTg4AwAAAAI1NQIAAAAENDA0NwQAAAABMAcAAAAIMS8xLzIwMjQIAAAACjEyLzMxLzIwMjMJAAAAATAmh4ut60feCIv99LXrR94IL0NJUS5FWkouSVFfVE9UQUxfQVNTRVRTLjIwMDAuMDEvMDEvMjAyNC4uLlVTRC5IAQAAANHiHwACAAAADDEzODkyLDg1MTY4NgEIAAAABQAAAAExAQAAAAstMTk0MTk0MjU4OAMAAAADMTYwAgAAAAQxMDA3BAAAAAEw</t>
  </si>
  <si>
    <t>BwAAAAgxLzEvMjAyNAgAAAAKMTIvMzEvMjAyMwkAAAABMCaHi63rR94Ii/30tetH3ggtQ0lRLkVaSi5JUV9DQVNIX0VRVUlWLjIwMDAuMDEvMDEvMjAyNC4uLlVTRC5IAQAAANHiHwACAAAACzI5MTEsODA1MTY3AQgAAAAFAAAAATEBAAAACy0xOTQxOTQyNTg4AwAAAAMxNjACAAAABDEwOTYEAAAAATAHAAAACDEvMS8yMDI0CAAAAAoxMi8zMS8yMDIzCQAAAAEwJoeLretH3giL/fS160feCCtDSVEuRVpKLklRX05FVF9ERUJULjIwMDAuMDEvMDEvMjAyNC4uLlVTRC5IAQAAANHiHwACAAAACy0xODUsOTY4MzA5AQgAAAAFAAAAATEBAAAACy0xOTQxOTQyNTg4AwAAAAMxNjACAAAABDQzNjQEAAAAATAHAAAACDEvMS8yMDI0CAAAAAoxMi8zMS8yMDIzCQAAAAEwJoeLretH3giL/fS160feCCtDSVEuTEVBREQuSVFfRUJJVERBLjIwMDAuMDEvMDEvMjAyNC4uLlVTRC5IAQAAAAb8EBECAAAACDEsMzUzODc5AQgAAAAFAAAAATEBAAAACy0xOTUxODgwMzc3AwAAAAMxNjACAAAABDQwNTEEAAAAATAHAAAACDEvMS8yMDI0CAAAAAoxMi8zMS8yMDIzCQAAAAEwJoeLretH3giYJPW160feCDJDSVEuTEVBREQuSVFfRUJJVERBX01BUkdJTi4yMDAwLjAxLzAxLzIwMjQuLi5VU0QuSAEAAAAG/BARAgAAAAY0LDE3MjEBCAAAAAUAAAABMQEAAAALLTE5NTE4ODAzNzcDAAAAAjUwAgAAAAQ0MDQ3BAAAAAEwBwAAAAgxLzEv</t>
  </si>
  <si>
    <t>MjAyNAgAAAAKMTIvMzEvMjAyMwkAAAABMCaHi63rR94ImCT1tetH3ggxQ0lRLkxFQURELklRX1RPVEFMX0FTU0VUUy4yMDAwLjAxLzAxLzIwMjQuLi5VU0QuSAEAAAAG/BARAgAAAAkzNSwzMDQzMTEBCAAAAAUAAAABMQEAAAALLTE5NTE4ODAzNzcDAAAAAzE2MAIAAAAEMTAwNwQAAAABMAcAAAAIMS8xLzIwMjQIAAAACjEyLzMxLzIwMjMJAAAAATAmh4ut60feCJgk9bXrR94IL0NJUS5MRUFERC5JUV9DQVNIX0VRVUlWLjIwMDAuMDEvMDEvMjAyNC4uLlVTRC5IAQAAAAb8EBECAAAACDIsNDcxMTQzAQgAAAAFAAAAATEBAAAACy0xOTUxODgwMzc3AwAAAAMxNjACAAAABDEwOTYEAAAAATAHAAAACDEvMS8yMDI0CAAAAAoxMi8zMS8yMDIzCQAAAAEwJoeLretH3giYJPW160feCC1DSVEuTEVBREQuSVFfTkVUX0RFQlQuMjAwMC4wMS8wMS8yMDI0Li4uVVNELkgBAAAABvwQEQIAAAAINSw5MDQ5MTkBCAAAAAUAAAABMQEAAAALLTE5NTE4ODAzNzcDAAAAAzE2MAIAAAAENDM2NAQAAAABMAcAAAAIMS8xLzIwMjQIAAAACjEyLzMxLzIwMjMJAAAAATAmh4ut60feCJgk9bXrR94IKUNJUS5JTUQuSVFfRUJJVERBLjIwMDAuMDEvMDEvMjAyNC4uLlVTRC5IAQAAAINrRAACAAAACDcyLDI2NjUzAQgAAAAFAAAAATEBAAAACy0xOTYwMTIzNDc0AwAAAAMxNjACAAAABDQwNTEEAAAAATAHAAAACDEvMS8yMDI0CAAAAAox</t>
  </si>
  <si>
    <t>Mi8zMS8yMDIzCQAAAAEw4eikretH3gjXhP+160feCDBDSVEuSU1ELklRX0VCSVREQV9NQVJHSU4uMjAwMC4wMS8wMS8yMDI0Li4uVVNELkgBAAAAg2tEAAIAAAAHMjMsNjY3MwEIAAAABQAAAAExAQAAAAstMTk2MDEyMzQ3NAMAAAABOQIAAAAENDA0NwQAAAABMAcAAAAIMS8xLzIwMjQIAAAACjEyLzMxLzIwMjMJAAAAATDh6KSt60feCOer/7XrR94IL0NJUS5JTUQuSVFfVE9UQUxfQVNTRVRTLjIwMDAuMDEvMDEvMjAyNC4uLlVTRC5IAQAAAINrRAACAAAACjUzMyw4MzQzNTYBCAAAAAUAAAABMQEAAAALLTE5NjAxMjM0NzQDAAAAAzE2MAIAAAAEMTAwNwQAAAABMAcAAAAIMS8xLzIwMjQIAAAACjEyLzMxLzIwMjMJAAAAATDh6KSt60feCOer/7XrR94ILUNJUS5JTUQuSVFfQ0FTSF9FUVVJVi4yMDAwLjAxLzAxLzIwMjQuLi5VU0QuSAEAAACDa0QAAgAAAAgzNCwzNjg3OAEIAAAABQAAAAExAQAAAAstMTk2MDEyMzQ3NAMAAAADMTYwAgAAAAQxMDk2BAAAAAEwBwAAAAgxLzEvMjAyNAgAAAAKMTIvMzEvMjAyMwkAAAABMOHopK3rR94I14T/tetH3ggrQ0lRLklNRC5JUV9ORVRfREVCVC4yMDAwLjAxLzAxLzIwMjQuLi5VU0QuSAEAAACDa0QAAgAAAAg2Miw2NTU3NgEIAAAABQAAAAExAQAAAAstMTk2MDEyMzQ3NAMAAAADMTYwAgAAAAQ0MzY0BAAAAAEwBwAAAAgxLzEvMjAyNAgAAAAKMTIvMzEvMjAyMwkA</t>
  </si>
  <si>
    <t>AAABMOHopK3rR94I14T/tetH3ggqQ0lRLkNFTEwuSVFfRUJJVERBLjIwMDAuMDEvMDEvMjAyNC4uLlVTRC5IAQAAAFYDXg0CAAAACS0yLDk5NjY2OQEIAAAABQAAAAExAQAAAAstMTk1ODc4MjU0NAMAAAADMTYwAgAAAAQ0MDUxBAAAAAEwBwAAAAgxLzEvMjAyNAgAAAAKMTIvMzEvMjAyMwkAAAABMCaHi63rR94IyZn1tetH3ggxQ0lRLkNFTEwuSVFfRUJJVERBX01BUkdJTi4yMDAwLjAxLzAxLzIwMjQuLi5VU0QuSAEAAABWA14NAwAAAAAAJoeLretH3gjJmfW160feCDBDSVEuQ0VMTC5JUV9UT1RBTF9BU1NFVFMuMjAwMC4wMS8wMS8yMDI0Li4uVVNELkgBAAAAVgNeDQIAAAAINiw5MTA1ODgBCAAAAAUAAAABMQEAAAALLTE5NTg3ODI1NDQDAAAAAzE2MAIAAAAEMTAwNwQAAAABMAcAAAAIMS8xLzIwMjQIAAAACjEyLzMxLzIwMjMJAAAAATAmh4ut60feCMmZ9bXrR94ILkNJUS5DRUxMLklRX0NBU0hfRVFVSVYuMjAwMC4wMS8wMS8yMDI0Li4uVVNELkgBAAAAVgNeDQIAAAAIMyw4MjQ2ODcBCAAAAAUAAAABMQEAAAALLTE5NTg3ODI1NDQDAAAAAzE2MAIAAAAEMTA5NgQAAAABMAcAAAAIMS8xLzIwMjQIAAAACjEyLzMxLzIwMjMJAAAAATAmh4ut60feCMmZ9bXrR94ILENJUS5DRUxMLklRX05FVF9ERUJULjIwMDAuMDEvMDEvMjAyNC4uLlVTRC5IAQAAAFYDXg0CAAAACC01LDcxOTY1AQgAAAAFAAAAATEB</t>
  </si>
  <si>
    <t>AAAACy0xOTU4NzgyNTQ0AwAAAAMxNjACAAAABDQzNjQEAAAAATAHAAAACDEvMS8yMDI0CAAAAAoxMi8zMS8yMDIzCQAAAAEwJoeLretH3gjXwPW160feCClDSVEuRU5ZLklRX0VCSVREQS4yMDAwLjAxLzAxLzIwMjQuLi5VU0QuSAEAAACpI1UAAgAAAAkxMSwxODMwMjQBCAAAAAUAAAABMQEAAAALLTIwMDMzMDc0MjUDAAAAAzE2MAIAAAAENDA1MQQAAAABMAcAAAAIMS8xLzIwMjQIAAAACjEyLzMxLzIwMjMJAAAAATAmh4ut60feCObn9bXrR94IMENJUS5FTlkuSVFfRUJJVERBX01BUkdJTi4yMDAwLjAxLzAxLzIwMjQuLi5VU0QuSAEAAACpI1UAAgAAAAcxNSwzNTI5AQgAAAAFAAAAATEBAAAACy0yMDAzMzA3NDI1AwAAAAI1MAIAAAAENDA0NwQAAAABMAcAAAAIMS8xLzIwMjQIAAAACjEyLzMxLzIwMjMJAAAAATAmh4ut60feCPoO9rXrR94IL0NJUS5FTlkuSVFfVE9UQUxfQVNTRVRTLjIwMDAuMDEvMDEvMjAyNC4uLlVTRC5IAQAAAKkjVQACAAAACjExMSwyMTIwNzgBCAAAAAUAAAABMQEAAAALLTIwMDMzMDc0MjUDAAAAAzE2MAIAAAAEMTAwNwQAAAABMAcAAAAIMS8xLzIwMjQIAAAACjEyLzMxLzIwMjMJAAAAATAmh4ut60feCPoO9rXrR94ILUNJUS5FTlkuSVFfQ0FTSF9FUVVJVi4yMDAwLjAxLzAxLzIwMjQuLi5VU0QuSAEAAACpI1UAAgAAAAkyMCw4MTgzMTIBCAAAAAUAAAABMQEAAAALLTIwMDMz</t>
  </si>
  <si>
    <t>MDc0MjUDAAAAAzE2MAIAAAAEMTA5NgQAAAABMAcAAAAIMS8xLzIwMjQIAAAACjEyLzMxLzIwMjMJAAAAATAmh4ut60feCPoO9rXrR94IK0NJUS5FTlkuSVFfTkVUX0RFQlQuMjAwMC4wMS8wMS8yMDI0Li4uVVNELkgBAAAAqSNVAAIAAAAINSwzNDA1MjgBCAAAAAUAAAABMQEAAAALLTIwMDMzMDc0MjUDAAAAAzE2MAIAAAAENDM2NAQAAAABMAcAAAAIMS8xLzIwMjQIAAAACjEyLzMxLzIwMjMJAAAAATAmh4ut60feCPoO9rXrR94IKkNJUS5IT0ZJLklRX0VCSVREQS4yMDAwLjAxLzAxLzIwMjQuLi5VU0QuSAEAAAAXzBYAAwAAAAJOQQAmh4ut60feCAY29rXrR94IMUNJUS5IT0ZJLklRX0VCSVREQV9NQVJHSU4uMjAwMC4wMS8wMS8yMDI0Li4uVVNELkgBAAAAF8wWAAMAAAACTkEAJoeLretH3ggGNva160feCDBDSVEuSE9GSS5JUV9UT1RBTF9BU1NFVFMuMjAwMC4wMS8wMS8yMDI0Li4uVVNELkgBAAAAF8wWAAIAAAALMzM4MywxMjQ0NjcBCAAAAAUAAAABMQEAAAALLTE5NTQyMTg2MDYDAAAAAzE2MAIAAAAEMTAwNwQAAAABMAcAAAAIMS8xLzIwMjQIAAAACjEyLzMxLzIwMjMJAAAAATAmh4ut60feCAY29rXrR94ILkNJUS5IT0ZJLklRX0NBU0hfRVFVSVYuMjAwMC4wMS8wMS8yMDI0Li4uVVNELkgBAAAAF8wWAAMAAAAAACaHi63rR94IBjb2tetH3ggsQ0lRLkhPRkkuSVFfTkVUX0RFQlQuMjAwMC4wMS8w</t>
  </si>
  <si>
    <t>MS8yMDI0Li4uVVNELkgBAAAAF8wWAAIAAAAKNTI2LDgxNDAyMQEIAAAABQAAAAExAQAAAAstMTk1NDIxODYwNgMAAAADMTYwAgAAAAQ0MzY0BAAAAAEwBwAAAAgxLzEvMjAyNAgAAAAKMTIvMzEvMjAyMwkAAAABMCaHi63rR94IF132tetH3ggqQ0lRLklOU0cuSVFfRUJJVERBLjIwMDAuMDEvMDEvMjAyNC4uLlVTRC5IAQAAAAV+AAACAAAABy0zMCwwMzMBCAAAAAUAAAABMQEAAAALLTE5NTg1MzgzNDMDAAAAAzE2MAIAAAAENDA1MQQAAAABMAcAAAAIMS8xLzIwMjQIAAAACjEyLzMxLzIwMjMJAAAAATAmh4ut60feCBdd9rXrR94IMUNJUS5JTlNHLklRX0VCSVREQV9NQVJHSU4uMjAwMC4wMS8wMS8yMDI0Li4uVVNELkgBAAAABX4AAAIAAAAHLTE3LDk1MwEIAAAABQAAAAExAQAAAAstMTk1ODUzODM0MwMAAAADMTYwAgAAAAQ0MDQ3BAAAAAEwBwAAAAgxLzEvMjAyNAgAAAAKMTIvMzEvMjAyMwkAAAABMCaHi63rR94IF132tetH3ggwQ0lRLklOU0cuSVFfVE9UQUxfQVNTRVRTLjIwMDAuMDEvMDEvMjAyNC4uLlVTRC5IAQAAAAV+AAACAAAABzEyMSw3OTcBCAAAAAUAAAABMQEAAAALLTE5NTg1MzgzNDMDAAAAAzE2MAIAAAAEMTAwNwQAAAABMAcAAAAIMS8xLzIwMjQIAAAACjEyLzMxLzIwMjMJAAAAATAmh4ut60feCCiE9rXrR94ILkNJUS5JTlNHLklRX0NBU0hfRVFVSVYuMjAwMC4wMS8wMS8yMDI0Li4u</t>
  </si>
  <si>
    <t>VVNELkgBAAAABX4AAAIAAAAFMiw0MDkBCAAAAAUAAAABMQEAAAALLTE5NTg1MzgzNDMDAAAAAzE2MAIAAAAEMTA5NgQAAAABMAcAAAAIMS8xLzIwMjQIAAAACjEyLzMxLzIwMjMJAAAAATAmh4ut60feCCiE9rXrR94ILENJUS5JTlNHLklRX05FVF9ERUJULjIwMDAuMDEvMDEvMjAyNC4uLlVTRC5IAQAAAAV+AAACAAAABzE2Niw3OTUBCAAAAAUAAAABMQEAAAALLTE5NTg1MzgzNDMDAAAAAzE2MAIAAAAENDM2NAQAAAABMAcAAAAIMS8xLzIwMjQIAAAACjEyLzMxLzIwMjMJAAAAATAmh4ut60feCCiE9rXrR94IK0NJUS5TVEVDSC5JUV9FQklUREEuMjAwMC4wMS8wMS8yMDI0Li4uVVNELkgBAAAANC3zGAIAAAAIOCw1MTg2NTEBCAAAAAUAAAABMQEAAAALLTE5NTgwMjMwMzgDAAAAAzE2MAIAAAAENDA1MQQAAAABMAcAAAAIMS8xLzIwMjQIAAAACjEyLzMxLzIwMjMJAAAAATAmh4ut60feCCiE9rXrR94IMkNJUS5TVEVDSC5JUV9FQklUREFfTUFSR0lOLjIwMDAuMDEvMDEvMjAyNC4uLlVTRC5IAQAAADQt8xgCAAAABzE0LDYzNzMBCAAAAAUAAAABMQEAAAALLTE5NTgwMjMwMzgDAAAAAzE0OQIAAAAENDA0NwQAAAABMAcAAAAIMS8xLzIwMjQIAAAACjEyLzMxLzIwMjMJAAAAATAmh4ut60feCDer9rXrR94IMUNJUS5TVEVDSC5JUV9UT1RBTF9BU1NFVFMuMjAwMC4wMS8wMS8yMDI0Li4uVVNELkgBAAAANC3z</t>
  </si>
  <si>
    <t>GAIAAAAJODgsMDg2NzMxAQgAAAAFAAAAATEBAAAACy0xOTU4MDIzMDM4AwAAAAMxNjACAAAABDEwMDcEAAAAATAHAAAACDEvMS8yMDI0CAAAAAoxMi8zMS8yMDIzCQAAAAEwJoeLretH3ghI0va160feCC9DSVEuU1RFQ0guSVFfQ0FTSF9FUVVJVi4yMDAwLjAxLzAxLzIwMjQuLi5VU0QuSAEAAAA0LfMYAgAAAAgxLDM5NzA1MQEIAAAABQAAAAExAQAAAAstMTk1ODAyMzAzOAMAAAADMTYwAgAAAAQxMDk2BAAAAAEwBwAAAAgxLzEvMjAyNAgAAAAKMTIvMzEvMjAyMwkAAAABMCaHi63rR94IN6v2tetH3ggtQ0lRLlNURUNILklRX05FVF9ERUJULjIwMDAuMDEvMDEvMjAyNC4uLlVTRC5IAQAAADQt8xgCAAAACTMxLDE1NTQ1OQEIAAAABQAAAAExAQAAAAstMTk1ODAyMzAzOAMAAAADMTYwAgAAAAQ0MzY0BAAAAAEwBwAAAAgxLzEvMjAyNAgAAAAKMTIvMzEvMjAyMwkAAAABMCaHi63rR94IN6v2tetH3ggpQ0lRLk1SSy5JUV9FQklUREEuMjAwMC4wMS8wMS8yMDI0Li4uVVNELkgBAAAA9mYEAAIAAAAFMTk3MDYBCAAAAAUAAAABMQEAAAALLTE5NTgxNDQ1NTkDAAAAAzE2MAIAAAAENDA1MQQAAAABMAcAAAAIMS8xLzIwMjQIAAAACjEyLzMxLzIwMjMJAAAAATAmh4ut60feCFf59rXrR94IMENJUS5NUksuSVFfRUJJVERBX01BUkdJTi4yMDAwLjAxLzAxLzIwMjQuLi5VU0QuSAEAAAD2ZgQAAgAAAAczMiw3ODA1</t>
  </si>
  <si>
    <t>AQgAAAAFAAAAATEBAAAACy0xOTU4MTQ0NTU5AwAAAAMxNjACAAAABDQwNDcEAAAAATAHAAAACDEvMS8yMDI0CAAAAAoxMi8zMS8yMDIzCQAAAAEwJoeLretH3ghX+fa160feCC9DSVEuTVJLLklRX1RPVEFMX0FTU0VUUy4yMDAwLjAxLzAxLzIwMjQuLi5VU0QuSAEAAAD2ZgQAAgAAAAYxMDY2NzUBCAAAAAUAAAABMQEAAAALLTE5NTgxNDQ1NTkDAAAAAzE2MAIAAAAEMTAwNwQAAAABMAcAAAAIMS8xLzIwMjQIAAAACjEyLzMxLzIwMjMJAAAAATAmh4ut60feCGcg97XrR94ILUNJUS5NUksuSVFfQ0FTSF9FUVVJVi4yMDAwLjAxLzAxLzIwMjQuLi5VU0QuSAEAAAD2ZgQAAgAAAAQ2ODQxAQgAAAAFAAAAATEBAAAACy0xOTU4MTQ0NTU5AwAAAAMxNjACAAAABDEwOTYEAAAAATAHAAAACDEvMS8yMDI0CAAAAAoxMi8zMS8yMDIzCQAAAAEwJoeLretH3ghnIPe160feCCtDSVEuTVJLLklRX05FVF9ERUJULjIwMDAuMDEvMDEvMjAyNC4uLlVTRC5IAQAAAPZmBAACAAAABTI5MTc1AQgAAAAFAAAAATEBAAAACy0xOTU4MTQ0NTU5AwAAAAMxNjACAAAABDQzNjQEAAAAATAHAAAACDEvMS8yMDI0CAAAAAoxMi8zMS8yMDIzCQAAAAEwJoeLretH3ghnIPe160feCClDSVEuV09SLklRX0VCSVREQS4yMDAwLjAxLzAxLzIwMjQuLi5VU0QuSAEAAAB+zQQAAgAAAAcxMjYsNDE5AQgAAAAFAAAAATEBAAAACy0xOTYyNzY1NjI4</t>
  </si>
  <si>
    <t>AwAAAAMxNjACAAAABDQwNTEEAAAAATAHAAAACDEvMS8yMDI0CAAAAAoxMS8zMC8yMDIzCQAAAAEwJoeLretH3giHbve160feCDBDSVEuV09SLklRX0VCSVREQV9NQVJHSU4uMjAwMC4wMS8wMS8yMDI0Li4uVVNELkgBAAAAfs0EAAIAAAAGOSw1MzkxAQgAAAAFAAAAATEBAAAACy0xOTYyNzY1NjI4AwAAAAMxNjACAAAABDQwNDcEAAAAATAHAAAACDEvMS8yMDI0CAAAAAoxMS8zMC8yMDIzCQAAAAEwJoeLretH3giWlfe160feCC9DSVEuV09SLklRX1RPVEFMX0FTU0VUUy4yMDAwLjAxLzAxLzIwMjQuLi5VU0QuSAEAAAB+zQQAAgAAAAgzNTg0LDEzNwEIAAAABQAAAAExAQAAAAstMTk2Mjc2NTYyOAMAAAADMTYwAgAAAAQxMDA3BAAAAAEwBwAAAAgxLzEvMjAyNAgAAAAKMTEvMzAvMjAyMwkAAAABMCaHi63rR94IlpX3tetH3ggtQ0lRLldPUi5JUV9DQVNIX0VRVUlWLjIwMDAuMDEvMDEvMjAyNC4uLlVTRC5IAQAAAH7NBAACAAAABzQzMCw5MDYBCAAAAAUAAAABMQEAAAALLTE5NjI3NjU2MjgDAAAAAzE2MAIAAAAEMTA5NgQAAAABMAcAAAAIMS8xLzIwMjQIAAAACjExLzMwLzIwMjMJAAAAATAmh4ut60feCJaV97XrR94IK0NJUS5XT1IuSVFfTkVUX0RFQlQuMjAwMC4wMS8wMS8yMDI0Li4uVVNELkgBAAAAfs0EAAIAAAAHMjkwLDY4OAEIAAAABQAAAAExAQAAAAstMTk2Mjc2NTYyOAMAAAADMTYwAgAAAAQ0</t>
  </si>
  <si>
    <t>MzY0BAAAAAEwBwAAAAgxLzEvMjAyNAgAAAAKMTEvMzAvMjAyMwkAAAABMCaHi63rR94IlpX3tetH3ggpQ0lRLkhFWC5JUV9FQklUREEuMjAwMC4wMS8wMS8yMDI0Li4uVVNELkgBAAAAzaR2bwMAAAAAACaHi63rR94IlpX3tetH3ggwQ0lRLkhFWC5JUV9FQklUREFfTUFSR0lOLjIwMDAuMDEvMDEvMjAyNC4uLlVTRC5IAQAAAM2kdm8DAAAAAAAmh4ut60feCJaV97XrR94IL0NJUS5IRVguSVFfVE9UQUxfQVNTRVRTLjIwMDAuMDEvMDEvMjAyNC4uLlVTRC5IAQAAAM2kdm8DAAAAAAAmh4ut60feCKe897XrR94ILUNJUS5IRVguSVFfQ0FTSF9FUVVJVi4yMDAwLjAxLzAxLzIwMjQuLi5VU0QuSAEAAADNpHZvAwAAAAAAJoeLretH3ginvPe160feCCtDSVEuSEVYLklRX05FVF9ERUJULjIwMDAuMDEvMDEvMjAyNC4uLlVTRC5IAQAAAM2kdm8DAAAAAAAmh4ut60feCKe897XrR94IKkNJUS5HUk9ZLklRX0VCSVREQS4yMDAwLjAxLzAxLzIwMjQuLi5VU0QuSAEAAACqECYoAgAAAAYtNyw3NjIBCAAAAAUAAAABMQEAAAALLTE5NTUxMzU3NzQDAAAAAzE2MAIAAAAENDA1MQQAAAABMAcAAAAIMS8xLzIwMjQIAAAACjEyLzMxLzIwMjMJAAAAATAmh4ut60feCKe897XrR94IMUNJUS5HUk9ZLklRX0VCSVREQV9NQVJHSU4uMjAwMC4wMS8wMS8yMDI0Li4uVVNELkgBAAAAqhAmKAIAAAAJLTI1NCw2NTg3AQgAAAAFAAAA</t>
  </si>
  <si>
    <t>ATEBAAAACy0xOTU1MTM1Nzc0AwAAAAMxNjACAAAABDQwNDcEAAAAATAHAAAACDEvMS8yMDI0CAAAAAoxMi8zMS8yMDIzCQAAAAEwJoeLretH3gjICvi160feCDBDSVEuR1JPWS5JUV9UT1RBTF9BU1NFVFMuMjAwMC4wMS8wMS8yMDI0Li4uVVNELkgBAAAAqhAmKAIAAAAHNjkwLDk5NAEIAAAABQAAAAExAQAAAAstMTk1NTEzNTc3NAMAAAADMTYwAgAAAAQxMDA3BAAAAAEwBwAAAAgxLzEvMjAyNAgAAAAKMTIvMzEvMjAyMwkAAAABMMu2i63rR94IyAr4tetH3gguQ0lRLkdST1kuSVFfQ0FTSF9FUVVJVi4yMDAwLjAxLzAxLzIwMjQuLi5VU0QuSAEAAACqECYoAgAAAAUxLDQ0MwEIAAAABQAAAAExAQAAAAstMTk1NTEzNTc3NAMAAAADMTYwAgAAAAQxMDk2BAAAAAEwBwAAAAgxLzEvMjAyNAgAAAAKMTIvMzEvMjAyMwkAAAABMMu2i63rR94ItuP3tetH3ggsQ0lRLkdST1kuSVFfTkVUX0RFQlQuMjAwMC4wMS8wMS8yMDI0Li4uVVNELkgBAAAAqhAmKAIAAAAGMzEsMjczAQgAAAAFAAAAATEBAAAACy0xOTU1MTM1Nzc0AwAAAAMxNjACAAAABDQzNjQEAAAAATAHAAAACDEvMS8yMDI0CAAAAAoxMi8zMS8yMDIzCQAAAAEwy7aLretH3gi24/e160feCCpDSVEuMzQwNy5JUV9FQklUREEuMjAwMC4wMS8wMS8yMDI0Li4uVVNELkgBAAAAiFYNAAIAAAAKMjA2Nyw5NzU2MwEIAAAABQAAAAExAQAAAAstMjAxMDQxNzUx</t>
  </si>
  <si>
    <t>MgMAAAADMTYwAgAAAAQ0MDUxBAAAAAEwBwAAAAgxLzEvMjAyNAgAAAAKMTIvMzEvMjAyMwkAAAABMMu2i63rR94I2DH4tetH3ggxQ0lRLjM0MDcuSVFfRUJJVERBX01BUkdJTi4yMDAwLjAxLzAxLzIwMjQuLi5VU0QuSAEAAACIVg0AAgAAAAcxMCw1OTkzAQgAAAAFAAAAATEBAAAACy0yMDEwNDE3NTEyAwAAAAI3OQIAAAAENDA0NwQAAAABMAcAAAAIMS8xLzIwMjQIAAAACjEyLzMxLzIwMjMJAAAAATDLtout60feCNgx+LXrR94IMENJUS4zNDA3LklRX1RPVEFMX0FTU0VUUy4yMDAwLjAxLzAxLzIwMjQuLi5VU0QuSAEAAACIVg0AAgAAAAsyNTg5OCwxNjIzMwEIAAAABQAAAAExAQAAAAstMjAxMDQxNzUxMgMAAAADMTYwAgAAAAQxMDA3BAAAAAEwBwAAAAgxLzEvMjAyNAgAAAAKMTIvMzEvMjAyMwkAAAABMMu2i63rR94I2DH4tetH3gguQ0lRLjM0MDcuSVFfQ0FTSF9FUVVJVi4yMDAwLjAxLzAxLzIwMjQuLi5VU0QuSAEAAACIVg0AAgAAAAsyNTQwLDY2MzI3MwEIAAAABQAAAAExAQAAAAstMjAxMDQxNzUxMgMAAAADMTYwAgAAAAQxMDk2BAAAAAEwBwAAAAgxLzEvMjAyNAgAAAAKMTIvMzEvMjAyMwkAAAABMMu2i63rR94I2DH4tetH3ggsQ0lRLjM0MDcuSVFfTkVUX0RFQlQuMjAwMC4wMS8wMS8yMDI0Li4uVVNELkgBAAAAiFYNAAIAAAALNTEwMiw3NzkxMzUBCAAAAAUAAAABMQEAAAALLTIwMTA0MTc1</t>
  </si>
  <si>
    <t>MTIDAAAAAzE2MAIAAAAENDM2NAQAAAABMAcAAAAIMS8xLzIwMjQIAAAACjEyLzMxLzIwMjMJAAAAATDLtout60feCNgx+LXrR94IKkNJUS5MSU5LLklRX0VCSVREQS4yMDAwLjAxLzAxLzIwMjQuLi5VU0QuSAEAAABw/wQAAgAAAAUwLDQyNAEIAAAABQAAAAExAQAAAAstMTk1MzQzMTYwNAMAAAADMTYwAgAAAAQ0MDUxBAAAAAEwBwAAAAgxLzEvMjAyNAgAAAAKMTIvMzEvMjAyMwkAAAABMMu2i63rR94I6Fj4tetH3ggxQ0lRLkxJTksuSVFfRUJJVERBX01BUkdJTi4yMDAwLjAxLzAxLzIwMjQuLi5VU0QuSAEAAABw/wQAAgAAAAYzLDA0MTYBCAAAAAUAAAABMQEAAAALLTE5NTM0MzE2MDQDAAAAAzE2MAIAAAAENDA0NwQAAAABMAcAAAAIMS8xLzIwMjQIAAAACjEyLzMxLzIwMjMJAAAAATDLtout60feCOhY+LXrR94IMENJUS5MSU5LLklRX1RPVEFMX0FTU0VUUy4yMDAwLjAxLzAxLzIwMjQuLi5VU0QuSAEAAABw/wQAAgAAAAYxNSwwNjIBCAAAAAUAAAABMQEAAAALLTE5NTM0MzE2MDQDAAAAAzE2MAIAAAAEMTAwNwQAAAABMAcAAAAIMS8xLzIwMjQIAAAACjEyLzMxLzIwMjMJAAAAATDLtout60feCOhY+LXrR94ILkNJUS5MSU5LLklRX0NBU0hfRVFVSVYuMjAwMC4wMS8wMS8yMDI0Li4uVVNELkgBAAAAcP8EAAIAAAAFNCwzMDQBCAAAAAUAAAABMQEAAAALLTE5NTM0MzE2MDQDAAAAAzE2MAIAAAAEMTA5</t>
  </si>
  <si>
    <t>NgQAAAABMAcAAAAIMS8xLzIwMjQIAAAACjEyLzMxLzIwMjMJAAAAATDLtout60feCOhY+LXrR94ILENJUS5MSU5LLklRX05FVF9ERUJULjIwMDAuMDEvMDEvMjAyNC4uLlVTRC5IAQAAAHD/BAACAAAABi00LDE0NQEIAAAABQAAAAExAQAAAAstMTk1MzQzMTYwNAMAAAADMTYwAgAAAAQ0MzY0BAAAAAEwBwAAAAgxLzEvMjAyNAgAAAAKMTIvMzEvMjAyMwkAAAABMMu2i63rR94I+X/4tetH3ggpQ0lRLk1ZRC5JUV9FQklUREEuMjAwMC4wMS8wMS8yMDI0Li4uVVNELkgBAAAANk9eAAMAAAAAAMu2i63rR94I+X/4tetH3ggwQ0lRLk1ZRC5JUV9FQklUREFfTUFSR0lOLjIwMDAuMDEvMDEvMjAyNC4uLlVTRC5IAQAAADZPXgADAAAAAADLtout60feCAmn+LXrR94IL0NJUS5NWUQuSVFfVE9UQUxfQVNTRVRTLjIwMDAuMDEvMDEvMjAyNC4uLlVTRC5IAQAAADZPXgACAAAACTg3Nyw5MDUzNAEIAAAABQAAAAExAQAAAAstMjAwMzExMjg1OAMAAAADMTYwAgAAAAQxMDA3BAAAAAEwBwAAAAgxLzEvMjAyNAgAAAAKMTAvMzEvMjAyMwkAAAABMMu2i63rR94ICaf4tetH3ggtQ0lRLk1ZRC5JUV9DQVNIX0VRVUlWLjIwMDAuMDEvMDEvMjAyNC4uLlVTRC5IAQAAADZPXgACAAAACDcsOTI2NjU4AQgAAAAFAAAAATEBAAAACy0yMDAzMTEyODU4AwAAAAMxNjACAAAABDEwOTYEAAAAATAHAAAACDEvMS8yMDI0CAAAAAoxMC8z</t>
  </si>
  <si>
    <t>MS8yMDIzCQAAAAEwy7aLretH3gj5f/i160feCCtDSVEuTVlELklRX05FVF9ERUJULjIwMDAuMDEvMDEvMjAyNC4uLlVTRC5IAQAAADZPXgACAAAACjI5NCw1Mzk3MjgBCAAAAAUAAAABMQEAAAALLTIwMDMxMTI4NTgDAAAAAzE2MAIAAAAENDM2NAQAAAABMAcAAAAIMS8xLzIwMjQIAAAACjEwLzMxLzIwMjMJAAAAATDLtout60feCPl/+LXrR94IK0NJUS5DVFBOVi5JUV9FQklUREEuMjAwMC4wMS8wMS8yMDI0Li4uVVNELkgBAAAAmbTjKQIAAAAKNDk3LDk1NTEyMwEIAAAABQAAAAExAQAAAAstMTk1NjI0NzQyMwMAAAADMTYwAgAAAAQ0MDUxBAAAAAEwBwAAAAgxLzEvMjAyNAgAAAAKMTIvMzEvMjAyMwkAAAABMMu2i63rR94IF874tetH3ggyQ0lRLkNUUE5WLklRX0VCSVREQV9NQVJHSU4uMjAwMC4wMS8wMS8yMDI0Li4uVVNELkgBAAAAmbTjKQIAAAAHNjYsMjQwMgEIAAAABQAAAAExAQAAAAstMTk1NjI0NzQyMwMAAAACNTACAAAABDQwNDcEAAAAATAHAAAACDEvMS8yMDI0CAAAAAoxMi8zMS8yMDIzCQAAAAEwy7aLretH3ggXzvi160feCDFDSVEuQ1RQTlYuSVFfVE9UQUxfQVNTRVRTLjIwMDAuMDEvMDEvMjAyNC4uLlVTRC5IAQAAAJm04ykCAAAADDE2NDM5LDkyNDgzMgEIAAAABQAAAAExAQAAAAstMTk1NjI0NzQyMwMAAAADMTYwAgAAAAQxMDA3BAAAAAEwBwAAAAgxLzEvMjAyNAgAAAAKMTIvMzEv</t>
  </si>
  <si>
    <t>MjAyMwkAAAABMMu2i63rR94IF874tetH3ggvQ0lRLkNUUE5WLklRX0NBU0hfRVFVSVYuMjAwMC4wMS8wMS8yMDI0Li4uVVNELkgBAAAAmbTjKQIAAAAKNzYzLDM0Njk2NgEIAAAABQAAAAExAQAAAAstMTk1NjI0NzQyMwMAAAADMTYwAgAAAAQxMDk2BAAAAAEwBwAAAAgxLzEvMjAyNAgAAAAKMTIvMzEvMjAyMwkAAAABMMu2i63rR94IF874tetH3ggtQ0lRLkNUUE5WLklRX05FVF9ERUJULjIwMDAuMDEvMDEvMjAyNC4uLlVTRC5IAQAAAJm04ykCAAAACzY5ODIsMjA0MDQzAQgAAAAFAAAAATEBAAAACy0xOTU2MjQ3NDIzAwAAAAMxNjACAAAABDQzNjQEAAAAATAHAAAACDEvMS8yMDI0CAAAAAoxMi8zMS8yMDIzCQAAAAEwy7aLretH3ggo9fi160feCCpDSVEuV0lITC5JUV9FQklUREEuMjAwMC4wMS8wMS8yMDI0Li4uVVNELkgBAAAAN4FeAQIAAAAKMjcwLDE2ODY4NQEIAAAABQAAAAExAQAAAAstMTk1MzEyNzg0OQMAAAADMTYwAgAAAAQ0MDUxBAAAAAEwBwAAAAgxLzEvMjAyNAgAAAAKMTIvMzEvMjAyMwkAAAABMMu2i63rR94IKPX4tetH3ggxQ0lRLldJSEwuSVFfRUJJVERBX01BUkdJTi4yMDAwLjAxLzAxLzIwMjQuLi5VU0QuSAEAAAA3gV4BAgAAAAc2OSwzMTEyAQgAAAAFAAAAATEBAAAACy0xOTUzMTI3ODQ5AwAAAAMxMzcCAAAABDQwNDcEAAAAATAHAAAACDEvMS8yMDI0CAAAAAoxMi8zMS8yMDIz</t>
  </si>
  <si>
    <t>CQAAAAEwy7aLretH3ggo9fi160feCDBDSVEuV0lITC5JUV9UT1RBTF9BU1NFVFMuMjAwMC4wMS8wMS8yMDI0Li4uVVNELkgBAAAAN4FeAQIAAAALNTcwNCw4NjQ4NTQBCAAAAAUAAAABMQEAAAALLTE5NTMxMjc4NDkDAAAAAzE2MAIAAAAEMTAwNwQAAAABMAcAAAAIMS8xLzIwMjQIAAAACjEyLzMxLzIwMjMJAAAAATDLtout60feCDgc+bXrR94ILkNJUS5XSUhMLklRX0NBU0hfRVFVSVYuMjAwMC4wMS8wMS8yMDI0Li4uVVNELkgBAAAAN4FeAQIAAAAJMzQsNDA0OTkzAQgAAAAFAAAAATEBAAAACy0xOTUzMTI3ODQ5AwAAAAMxNjACAAAABDEwOTYEAAAAATAHAAAACDEvMS8yMDI0CAAAAAoxMi8zMS8yMDIzCQAAAAEwy7aLretH3gg4HPm160feCCxDSVEuV0lITC5JUV9ORVRfREVCVC4yMDAwLjAxLzAxLzIwMjQuLi5VU0QuSAEAAAA3gV4BAgAAAAsyNzgwLDE0MjE2OAEIAAAABQAAAAExAQAAAAstMTk1MzEyNzg0OQMAAAADMTYwAgAAAAQ0MzY0BAAAAAEwBwAAAAgxLzEvMjAyNAgAAAAKMTIvMzEvMjAyMwkAAAABMMu2i63rR94IOBz5tetH3ggpQ0lRLk5XTC5JUV9FQklUREEuMjAwMC4wMS8wMS8yMDI0Li4uVVNELkgBAAAAd3MEAAIAAAADNzg1AQgAAAAFAAAAATEBAAAACy0xOTU5NDg0NDI3AwAAAAMxNjACAAAABDQwNTEEAAAAATAHAAAACDEvMS8yMDI0CAAAAAoxMi8zMS8yMDIzCQAAAAEwy7aLretH</t>
  </si>
  <si>
    <t>3gg4HPm160feCDBDSVEuTldMLklRX0VCSVREQV9NQVJHSU4uMjAwMC4wMS8wMS8yMDI0Li4uVVNELkgBAAAAd3MEAAIAAAAFOSw2NTIBCAAAAAUAAAABMQEAAAALLTE5NTk0ODQ0MjcDAAAAAzE2MAIAAAAENDA0NwQAAAABMAcAAAAIMS8xLzIwMjQIAAAACjEyLzMxLzIwMjMJAAAAATDLtout60feCElD+bXrR94IL0NJUS5OV0wuSVFfVE9UQUxfQVNTRVRTLjIwMDAuMDEvMDEvMjAyNC4uLlVTRC5IAQAAAHdzBAACAAAABTEyMTYzAQgAAAAFAAAAATEBAAAACy0xOTU5NDg0NDI3AwAAAAMxNjACAAAABDEwMDcEAAAAATAHAAAACDEvMS8yMDI0CAAAAAoxMi8zMS8yMDIzCQAAAAEwy7aLretH3ghJQ/m160feCC1DSVEuTldMLklRX0NBU0hfRVFVSVYuMjAwMC4wMS8wMS8yMDI0Li4uVVNELkgBAAAAd3MEAAIAAAADMzMyAQgAAAAFAAAAATEBAAAACy0xOTU5NDg0NDI3AwAAAAMxNjACAAAABDEwOTYEAAAAATAHAAAACDEvMS8yMDI0CAAAAAoxMi8zMS8yMDIzCQAAAAEwy7aLretH3ghJQ/m160feCCtDSVEuTldMLklRX05FVF9ERUJULjIwMDAuMDEvMDEvMjAyNC4uLlVTRC5IAQAAAHdzBAACAAAABDUyNjMBCAAAAAUAAAABMQEAAAALLTE5NTk0ODQ0MjcDAAAAAzE2MAIAAAAENDM2NAQAAAABMAcAAAAIMS8xLzIwMjQIAAAACjEyLzMxLzIwMjMJAAAAATDLtout60feCElD+bXrR94IKUNJUS5JVk4uSVFfRUJJ</t>
  </si>
  <si>
    <t>VERBLjIwMDAuMDEvMDEvMjAyNC4uLlVTRC5IAQAAAKgadwICAAAABy05Myw3NDEBCAAAAAUAAAABMQEAAAALLTE5NTkwNjgxNDMDAAAAAzE2MAIAAAAENDA1MQQAAAABMAcAAAAIMS8xLzIwMjQIAAAACjEyLzMxLzIwMjMJAAAAATDLtout60feCFdq+bXrR94IMENJUS5JVk4uSVFfRUJJVERBX01BUkdJTi4yMDAwLjAxLzAxLzIwMjQuLi5VU0QuSAEAAACoGncCAwAAAAAAy7aLretH3ghXavm160feCC9DSVEuSVZOLklRX1RPVEFMX0FTU0VUUy4yMDAwLjAxLzAxLzIwMjQuLi5VU0QuSAEAAACoGncCAgAAAAg1MDAwLDI2MQEIAAAABQAAAAExAQAAAAstMTk1OTA2ODE0MwMAAAADMTYwAgAAAAQxMDA3BAAAAAEwBwAAAAgxLzEvMjAyNAgAAAAKMTIvMzEvMjAyMwkAAAABMMu2i63rR94IV2r5tetH3ggtQ0lRLklWTi5JUV9DQVNIX0VRVUlWLjIwMDAuMDEvMDEvMjAyNC4uLlVTRC5IAQAAAKgadwICAAAABzU3NCwyOTQBCAAAAAUAAAABMQEAAAALLTE5NTkwNjgxNDMDAAAAAzE2MAIAAAAEMTA5NgQAAAABMAcAAAAIMS8xLzIwMjQIAAAACjEyLzMxLzIwMjMJAAAAATDLtout60feCFdq+bXrR94IK0NJUS5JVk4uSVFfTkVUX0RFQlQuMjAwMC4wMS8wMS8yMDI0Li4uVVNELkgBAAAAqBp3AgIAAAAGNzMsMTI3AQgAAAAFAAAAATEBAAAACy0xOTU5MDY4MTQzAwAAAAMxNjACAAAABDQzNjQEAAAAATAHAAAACDEv</t>
  </si>
  <si>
    <t>MS8yMDI0CAAAAAoxMi8zMS8yMDIzCQAAAAEwy7aLretH3ghnkfm160feCCpDSVEuNjkwMi5JUV9FQklUREEuMjAwMC4wMS8wMS8yMDI0Li4uVVNELkgBAAAAPFYNAAIAAAALNTQ0OSw4Nzk3NDkBCAAAAAUAAAABMQEAAAALLTIwMTA3MTE1NDMDAAAAAzE2MAIAAAAENDA1MQQAAAABMAcAAAAIMS8xLzIwMjQIAAAACjEyLzMxLzIwMjMJAAAAATDLtout60feCGeR+bXrR94IMUNJUS42OTAyLklRX0VCSVREQV9NQVJHSU4uMjAwMC4wMS8wMS8yMDI0Li4uVVNELkgBAAAAPFYNAAIAAAAHMTAsNzg4OAEIAAAABQAAAAExAQAAAAstMjAxMDcxMTU0MwMAAAACNzkCAAAABDQwNDcEAAAAATAHAAAACDEvMS8yMDI0CAAAAAoxMi8zMS8yMDIzCQAAAAEwy7aLretH3ghnkfm160feCDBDSVEuNjkwMi5JUV9UT1RBTF9BU1NFVFMuMjAwMC4wMS8wMS8yMDI0Li4uVVNELkgBAAAAPFYNAAIAAAALNTkwMTksNzY3MzgBCAAAAAUAAAABMQEAAAALLTIwMTA3MTE1NDMDAAAAAzE2MAIAAAAEMTAwNwQAAAABMAcAAAAIMS8xLzIwMjQIAAAACjEyLzMxLzIwMjMJAAAAATDLtout60feCHi4+bXrR94ILkNJUS42OTAyLklRX0NBU0hfRVFVSVYuMjAwMC4wMS8wMS8yMDI0Li4uVVNELkgBAAAAPFYNAAIAAAAJNTcwMiwzODc1AQgAAAAFAAAAATEBAAAACy0yMDEwNzExNTQzAwAAAAMxNjACAAAABDEwOTYEAAAAATAHAAAACDEvMS8y</t>
  </si>
  <si>
    <t>MDI0CAAAAAoxMi8zMS8yMDIzCQAAAAEwy7aLretH3gh4uPm160feCCxDSVEuNjkwMi5JUV9ORVRfREVCVC4yMDAwLjAxLzAxLzIwMjQuLi5VU0QuSAEAAAA8Vg0AAgAAAAk4ODIsMTAyOTIBCAAAAAUAAAABMQEAAAALLTIwMTA3MTE1NDMDAAAAAzE2MAIAAAAENDM2NAQAAAABMAcAAAAIMS8xLzIwMjQIAAAACjEyLzMxLzIwMjMJAAAAATDLtout60feCHi4+bXrR94IK0NJUS5LUk9OQS5JUV9FQklUREEuMjAwMC4wMS8wMS8yMDI0Li4uVVNELkgBAAAAwGP/KQMAAAAAAMu2i63rR94IeLj5tetH3ggyQ0lRLktST05BLklRX0VCSVREQV9NQVJHSU4uMjAwMC4wMS8wMS8yMDI0Li4uVVNELkgBAAAAwGP/KQMAAAAAAMu2i63rR94Ilgb6tetH3ggxQ0lRLktST05BLklRX1RPVEFMX0FTU0VUUy4yMDAwLjAxLzAxLzIwMjQuLi5VU0QuSAEAAADAY/8pAgAAAAoxMjIsNjM5ODc4AQgAAAAFAAAAATEBAAAACy0xOTM5NTI3OTc3AwAAAAMxNjACAAAABDEwMDcEAAAAATAHAAAACDEvMS8yMDI0CAAAAAoxMi8zMS8yMDIzCQAAAAEwy7aLretH3giWBvq160feCC9DSVEuS1JPTkEuSVFfQ0FTSF9FUVVJVi4yMDAwLjAxLzAxLzIwMjQuLi5VU0QuSAEAAADAY/8pAgAAAAg0LDMyNzk2OQEIAAAABQAAAAExAQAAAAstMTkzOTUyNzk3NwMAAAADMTYwAgAAAAQxMDk2BAAAAAEwBwAAAAgxLzEvMjAyNAgAAAAKMTIvMzEvMjAy</t>
  </si>
  <si>
    <t>MwkAAAABMMu2i63rR94IiN/5tetH3ggtQ0lRLktST05BLklRX05FVF9ERUJULjIwMDAuMDEvMDEvMjAyNC4uLlVTRC5IAQAAAMBj/ykCAAAACTgyLDEzMzI2OQEIAAAABQAAAAExAQAAAAstMTkzOTUyNzk3NwMAAAADMTYwAgAAAAQ0MzY0BAAAAAEwBwAAAAgxLzEvMjAyNAgAAAAKMTIvMzEvMjAyMwkAAAABMMu2i63rR94IiN/5tetH3ggoQ0lRLkIzLklRX0VCSVREQS4yMDAwLjAxLzAxLzIwMjQuLi5VU0QuSAEAAABgQHgGAgAAAAg4LDg2OTcyNgEIAAAABQAAAAExAQAAAAstMTk1MTQ5NzQ1OAMAAAADMTYwAgAAAAQ0MDUxBAAAAAEwBwAAAAgxLzEvMjAyNAgAAAAKMTIvMzEvMjAyMwkAAAABMMu2i63rR94IqC36tetH3ggvQ0lRLkIzLklRX0VCSVREQV9NQVJHSU4uMjAwMC4wMS8wMS8yMDI0Li4uVVNELkgBAAAAYEB4BgIAAAAFNyw4MTkBCAAAAAUAAAABMQEAAAALLTE5NTE0OTc0NTgDAAAAAzEzNwIAAAAENDA0NwQAAAABMAcAAAAIMS8xLzIwMjQIAAAACjEyLzMxLzIwMjMJAAAAATDLtout60feCKgt+rXrR94ILkNJUS5CMy5JUV9UT1RBTF9BU1NFVFMuMjAwMC4wMS8wMS8yMDI0Li4uVVNELkgBAAAAYEB4BgIAAAAJNjIsOTAzNDYzAQgAAAAFAAAAATEBAAAACy0xOTUxNDk3NDU4AwAAAAMxNjACAAAABDEwMDcEAAAAATAHAAAACDEvMS8yMDI0CAAAAAoxMi8zMS8yMDIzCQAAAAEwy7aLretH3gi4</t>
  </si>
  <si>
    <t>VPq160feCCxDSVEuQjMuSVFfQ0FTSF9FUVVJVi4yMDAwLjAxLzAxLzIwMjQuLi5VU0QuSAEAAABgQHgGAgAAAAc0LDg2MjQ0AQgAAAAFAAAAATEBAAAACy0xOTUxNDk3NDU4AwAAAAMxNjACAAAABDEwOTYEAAAAATAHAAAACDEvMS8yMDI0CAAAAAoxMi8zMS8yMDIzCQAAAAEwy7aLretH3gi4VPq160feCCpDSVEuQjMuSVFfTkVUX0RFQlQuMjAwMC4wMS8wMS8yMDI0Li4uVVNELkgBAAAAYEB4BgIAAAAJMTIsMTQxMTg0AQgAAAAFAAAAATEBAAAACy0xOTUxNDk3NDU4AwAAAAMxNjACAAAABDQzNjQEAAAAATAHAAAACDEvMS8yMDI0CAAAAAoxMi8zMS8yMDIzCQAAAAEwy7aLretH3gi4VPq160feCClDSVEuVUxTLklRX0VCSVREQS4yMDAwLjAxLzAxLzIwMjQuLi5VU0QuSAEAAAAXzQwAAgAAAAM1MDABCAAAAAUAAAABMQEAAAALLTE5NTg2MzU1MTEDAAAAAzE2MAIAAAAENDA1MQQAAAABMAcAAAAIMS8xLzIwMjQIAAAACjEyLzMxLzIwMjMJAAAAATDLtout60feCLhU+rXrR94IMENJUS5VTFMuSVFfRUJJVERBX01BUkdJTi4yMDAwLjAxLzAxLzIwMjQuLi5VU0QuSAEAAAAXzQwAAgAAAAcxOCw2NzA2AQgAAAAFAAAAATEBAAAACy0xOTU4NjM1NTExAwAAAAMxNjACAAAABDQwNDcEAAAAATAHAAAACDEvMS8yMDI0CAAAAAoxMi8zMS8yMDIzCQAAAAEwy7aLretH3gjaovq160feCC9DSVEuVUxTLklRX1RPVEFM</t>
  </si>
  <si>
    <t>X0FTU0VUUy4yMDAwLjAxLzAxLzIwMjQuLi5VU0QuSAEAAAAXzQwAAgAAAAQyNzM2AQgAAAAFAAAAATEBAAAACy0xOTU4NjM1NTExAwAAAAMxNjACAAAABDEwMDcEAAAAATAHAAAACDEvMS8yMDI0CAAAAAoxMi8zMS8yMDIzCQAAAAEwy7aLretH3gjaovq160feCC1DSVEuVUxTLklRX0NBU0hfRVFVSVYuMjAwMC4wMS8wMS8yMDI0Li4uVVNELkgBAAAAF80MAAIAAAADMzE1AQgAAAAFAAAAATEBAAAACy0xOTU4NjM1NTExAwAAAAMxNjACAAAABDEwOTYEAAAAATAHAAAACDEvMS8yMDI0CAAAAAoxMi8zMS8yMDIzCQAAAAEwy7aLretH3gjHe/q160feCCtDSVEuVUxTLklRX05FVF9ERUJULjIwMDAuMDEvMDEvMjAyNC4uLlVTRC5IAQAAABfNDAACAAAAAzc0OAEIAAAABQAAAAExAQAAAAstMTk1ODYzNTUxMQMAAAADMTYwAgAAAAQ0MzY0BAAAAAEwBwAAAAgxLzEvMjAyNAgAAAAKMTIvMzEvMjAyMwkAAAABMMu2i63rR94Ix3v6tetH3ggpQ0lRLk1BQi5JUV9FQklUREEuMjAwMC4wMS8wMS8yMDI0Li4uVVNELkgBAAAAXjg6AAIAAAAKMzg0LDM5OTQ4MwEIAAAABQAAAAExAQAAAAstMTk2MzgwNTg0NgMAAAADMTYwAgAAAAQ0MDUxBAAAAAEwBwAAAAgxLzEvMjAyNAgAAAAJOS8zMC8yMDIzCQAAAAEwy7aLretH3gjoyfq160feCDBDSVEuTUFCLklRX0VCSVREQV9NQVJHSU4uMjAwMC4wMS8wMS8yMDI0Li4uVVNE</t>
  </si>
  <si>
    <t>LkgBAAAAXjg6AAIAAAAHMTIsNTg0OAEIAAAABQAAAAExAQAAAAstMTk2MzgwNTg0NgMAAAACNTUCAAAABDQwNDcEAAAAATAHAAAACDEvMS8yMDI0CAAAAAk5LzMwLzIwMjMJAAAAATDLtout60feCOjJ+rXrR94IL0NJUS5NQUIuSVFfVE9UQUxfQVNTRVRTLjIwMDAuMDEvMDEvMjAyNC4uLlVTRC5IAQAAAF44OgACAAAACzU4NTksOTU2NTU4AQgAAAAFAAAAATEBAAAACy0xOTYzODA1ODQ2AwAAAAMxNjACAAAABDEwMDcEAAAAATAHAAAACDEvMS8yMDI0CAAAAAk5LzMwLzIwMjMJAAAAATDLtout60feCOjJ+rXrR94ILUNJUS5NQUIuSVFfQ0FTSF9FUVVJVi4yMDAwLjAxLzAxLzIwMjQuLi5VU0QuSAEAAABeODoAAgAAAAoxNTMsNzU5NzkzAQgAAAAFAAAAATEBAAAACy0xOTYzODA1ODQ2AwAAAAMxNjACAAAABDEwOTYEAAAAATAHAAAACDEvMS8yMDI0CAAAAAk5LzMwLzIwMjMJAAAAATDLtout60feCOjJ+rXrR94IK0NJUS5NQUIuSVFfTkVUX0RFQlQuMjAwMC4wMS8wMS8yMDI0Li4uVVNELkgBAAAAXjg6AAIAAAALMjA0Miw4MDg2NzkBCAAAAAUAAAABMQEAAAALLTE5NjM4MDU4NDYDAAAAAzE2MAIAAAAENDM2NAQAAAABMAcAAAAIMS8xLzIwMjQIAAAACTkvMzAvMjAyMwkAAAABMMu2i63rR94I+/D6tetH3ggsQ0lRLkFMU1lEQi5JUV9FQklUREEuMjAwMC4wMS8wMS8yMDI0Li4uVVNELkgBAAAAsF9EAAMA</t>
  </si>
  <si>
    <t>AAACTkEAy7aLretH3gj78Pq160feCDNDSVEuQUxTWURCLklRX0VCSVREQV9NQVJHSU4uMjAwMC4wMS8wMS8yMDI0Li4uVVNELkgBAAAAsF9EAAMAAAACTkEAy7aLretH3gj78Pq160feCDJDSVEuQUxTWURCLklRX1RPVEFMX0FTU0VUUy4yMDAwLjAxLzAxLzIwMjQuLi5VU0QuSAEAAACwX0QAAgAAAAwyNzQ0OSw5NDIyNDgBCAAAAAUAAAABMQEAAAALLTE5NTgwMDk1ODcDAAAAAzE2MAIAAAAEMTAwNwQAAAABMAcAAAAIMS8xLzIwMjQIAAAACjEyLzMxLzIwMjMJAAAAATDLtout60feCPvw+rXrR94IMENJUS5BTFNZREIuSVFfQ0FTSF9FUVVJVi4yMDAwLjAxLzAxLzIwMjQuLi5VU0QuSAEAAACwX0QAAgAAAAsxMDIzLDg0MzIwNgEIAAAABQAAAAExAQAAAAstMTk1ODAwOTU4NwMAAAADMTYwAgAAAAQxMDk2BAAAAAEwBwAAAAgxLzEvMjAyNAgAAAAKMTIvMzEvMjAyMwkAAAABMMu2i63rR94IBxj7tetH3gguQ0lRLkFMU1lEQi5JUV9ORVRfREVCVC4yMDAwLjAxLzAxLzIwMjQuLi5VU0QuSAEAAACwX0QAAgAAAAstMjgxLDQ2NzkwMwEIAAAABQAAAAExAQAAAAstMTk1ODAwOTU4NwMAAAADMTYwAgAAAAQ0MzY0BAAAAAEwBwAAAAgxLzEvMjAyNAgAAAAKMTIvMzEvMjAyMwkAAAABMMu2i63rR94IBxj7tetH3ggqQ0lRLjAwMDMzMy5JUV9MQVNUU0FMRVBSSUNFLjE0LzA2LzIwMjQuVVNEAQAAAKFqGQMCAAAA</t>
  </si>
  <si>
    <t>DTksMDQyNTQ1ODM3OTcAy7aLretH3girafC160feCChDSVEuNDUyNy5JUV9MQVNUU0FMRVBSSUNFLjA1LzA2LzIwMjQuVVNEAQAAALlxDQACAAAADTE5LDA4MzI2MjI1MjUAy7aLretH3gi4kPC160feCChDSVEuNDUyNy5JUV9MQVNUU0FMRVBSSUNFLjA0LzA2LzIwMjQuVVNEAQAAALlxDQACAAAADDE4LDE3NjQ3NDQzMwDLtout60feCLiQ8LXrR94IKENJUS40NTI3LklRX0xBU1RTQUxFUFJJQ0UuMDMvMDYvMjAyNC5VU0QBAAAAuXENAAIAAAAMMTcsNzk1MzczNTE2AMu2i63rR94Iq2nwtetH3ggoQ0lRLjQ1MjcuSVFfTEFTVFNBTEVQUklDRS4wMi8wNi8yMDI0LlVTRAEAAAC5cQ0AAgAAAAwxNyw1NjE3MTMyMzUAy7aLretH3gjGt/C160feCChDSVEuNDUyNy5JUV9MQVNUU0FMRVBSSUNFLjA3LzA2LzIwMjQuVVNEAQAAALlxDQACAAAADDE5LDE1MzAyNjUyOQDLtout60feCMa38LXrR94IKENJUS40NTI3LklRX0xBU1RTQUxFUFJJQ0UuMDgvMDYvMjAyNC5VU0QBAAAAuXENAAIAAAAMMTksMTUzMDI2NTI5AMu2i63rR94IxrfwtetH3ggoQ0lRLjQ1MjcuSVFfTEFTVFNBTEVQUklDRS4wOS8wNi8yMDI0LlVTRAEAAAC5cQ0AAgAAAAwxOSwxNTMwMjY1MjkAy7aLretH3gi4kPC160feCChDSVEuNDUyNy5JUV9MQVNUU0FMRVBSSUNFLjEwLzA2LzIwMjQuVVNEAQAAALlxDQACAAAADDE4LDkwMDkyNDIyNADL</t>
  </si>
  <si>
    <t>tout60feCLiQ8LXrR94IKENJUS40NTI3LklRX0xBU1RTQUxFUFJJQ0UuMzAvMDUvMjAyNC5VU0QBAAAAuXENAAIAAAAMMTcsMzcwMjQwNDU3AMu2i63rR94IuJDwtetH3ggoQ0lRLjQ1MjcuSVFfTEFTVFNBTEVQUklDRS4xMy8wNi8yMDI0LlVTRAEAAAC5cQ0AAgAAAAsxOCw2NDc2MzIwOADLtout60feCNne8LXrR94IJ0NJUS44SzcuSVFfTEFTVFNBTEVQUklDRS4wNS8wNi8yMDI0LlVTRAEAAADLEH8QAgAAAA4wLDA5NzEyOTEyOTgwOQDLtout60feCMa38LXrR94IJ0NJUS44SzcuSVFfTEFTVFNBTEVQUklDRS4wNC8wNi8yMDI0LlVTRAEAAADLEH8QAgAAAA0wLDEwMTc0MDczMTk2AMu2i63rR94I2d7wtetH3ggnQ0lRLjhLNy5JUV9MQVNUU0FMRVBSSUNFLjAzLzA2LzIwMjQuVVNEAQAAAMsQfxACAAAADTAsMDk5NDc1ODk1NjIAy7aLretH3gjZ3vC160feCCdDSVEuOEs3LklRX0xBU1RTQUxFUFJJQ0UuMDIvMDYvMjAyNC5VU0QBAAAAyxB/EAIAAAAOMCwwOTkxMTk3NTczODgAy7aLretH3gjZ3vC160feCCdDSVEuOEs3LklRX0xBU1RTQUxFUFJJQ0UuMDcvMDYvMjAyNC5VU0QBAAAAyxB/EAIAAAAOMCwxMDIwOTQ0MTUwNzYAy7aLretH3gjZ3vC160feCCdDSVEuOEs3LklRX0xBU1RTQUxFUFJJQ0UuMDgvMDYvMjAyNC5VU0QBAAAAyxB/EAIAAAAOMCwxMDIwOTQ0MTUwNzYAy7aLretH3gjGt/C160fe</t>
  </si>
  <si>
    <t>CCdDSVEuOEs3LklRX0xBU1RTQUxFUFJJQ0UuMDkvMDYvMjAyNC5VU0QBAAAAyxB/EAIAAAAOMCwxMDIwOTQ0MTUwNzYAy7aLretH3gjZ3vC160feCCdDSVEuOEs3LklRX0xBU1RTQUxFUFJJQ0UuMTAvMDYvMjAyNC5VU0QBAAAAyxB/EAIAAAAOMCwxMDQxODEyOTAyNTkAy7aLretH3gjZ3vC160feCCdDSVEuOEs3LklRX0xBU1RTQUxFUFJJQ0UuMzAvMDUvMjAyNC5VU0QBAAAAyxB/EAIAAAAOMCwxMDUyMzUwNzQzNjYAy7aLretH3gjZ3vC160feCCdDSVEuOEs3LklRX0xBU1RTQUxFUFJJQ0UuMTMvMDYvMjAyNC5VU0QBAAAAyxB/EAIAAAAOMCwxMDU5NTI2MTAzMzUAy7aLretH3gjmBfG160feCChDSVEuSE9PRC5JUV9MQVNUU0FMRVBSSUNFLjA1LzA2LzIwMjQuVVNEAQAAAN8TfxACAAAABTIxLDU3AMu2i63rR94I5gXxtetH3ggoQ0lRLkhPT0QuSVFfTEFTVFNBTEVQUklDRS4wNC8wNi8yMDI0LlVTRAEAAADfE38QAgAAAAUyMCw3OABB3out60feCOYF8bXrR94IKENJUS5IT09ELklRX0xBU1RTQUxFUFJJQ0UuMDMvMDYvMjAyNC5VU0QBAAAA3xN/EAIAAAAFMjEsMjgAQd6LretH3gjmBfG160feCChDSVEuSE9PRC5JUV9MQVNUU0FMRVBSSUNFLjAyLzA2LzIwMjQuVVNEAQAAAN8TfxACAAAABDIwLDkAQd6LretH3gj4LPG160feCChDSVEuSE9PRC5JUV9MQVNUU0FMRVBSSUNFLjA3LzA2LzIwMjQuVVNE</t>
  </si>
  <si>
    <t>AQAAAN8TfxACAAAABTIyLDE4AEHei63rR94I5gXxtetH3ggoQ0lRLkhPT0QuSVFfTEFTVFNBTEVQUklDRS4wOC8wNi8yMDI0LlVTRAEAAADfE38QAgAAAAUyMiwxOABB3out60feCOYF8bXrR94IKENJUS5IT09ELklRX0xBU1RTQUxFUFJJQ0UuMDkvMDYvMjAyNC5VU0QBAAAA3xN/EAIAAAAFMjIsMTgAQd6LretH3gjmBfG160feCChDSVEuSE9PRC5JUV9MQVNUU0FMRVBSSUNFLjEwLzA2LzIwMjQuVVNEAQAAAN8TfxACAAAABTIzLDQyAEHei63rR94I5gXxtetH3ggoQ0lRLkhPT0QuSVFfTEFTVFNBTEVQUklDRS4zMC8wNS8yMDI0LlVTRAEAAADfE38QAgAAAAUyMSw4NABB3out60feCPgs8bXrR94IKENJUS5IT09ELklRX0xBU1RTQUxFUFJJQ0UuMTMvMDYvMjAyNC5VU0QBAAAA3xN/EAIAAAAFMjMsMzEAQd6LretH3gjmBfG160feCCdDSVEuRVZELklRX0xBU1RTQUxFUFJJQ0UuMDUvMDYvMjAyNC5VU0QBAAAA525VAAIAAAAOODYsMTEzMjIzOTUzNzUAQd6LretH3ggFVPG160feCCdDSVEuRVZELklRX0xBU1RTQUxFUFJJQ0UuMDQvMDYvMjAyNC5VU0QBAAAA525VAAIAAAANODQsNzY2MDUwMDY3OABB3out60feCAVU8bXrR94IJ0NJUS5FVkQuSVFfTEFTVFNBTEVQUklDRS4wMy8wNi8yMDI0LlVTRAEAAADnblUAAgAAAA04NSw0NTYxMjg4OTk1AEHei63rR94I+CzxtetH3ggnQ0lRLkVWRC5JUV9MQVNU</t>
  </si>
  <si>
    <t>U0FMRVBSSUNFLjAyLzA2LzIwMjQuVVNEAQAAAOduVQACAAAADTg2LDEwNzc5NzQzNDQAQd6LretH3ggFVPG160feCCdDSVEuRVZELklRX0xBU1RTQUxFUFJJQ0UuMDcvMDYvMjAyNC5VU0QBAAAA525VAAIAAAANODksNDk0MTYzMzk1MgBB3out60feCAVU8bXrR94IJ0NJUS5FVkQuSVFfTEFTVFNBTEVQUklDRS4wOC8wNi8yMDI0LlVTRAEAAADnblUAAgAAAA04OSw0OTQxNjMzOTUyAEHei63rR94IBVTxtetH3ggnQ0lRLkVWRC5JUV9MQVNUU0FMRVBSSUNFLjA5LzA2LzIwMjQuVVNEAQAAAOduVQACAAAADTg5LDQ5NDE2MzM5NTIAQd6LretH3gj4LPG160feCCdDSVEuRVZELklRX0xBU1RTQUxFUFJJQ0UuMTAvMDYvMjAyNC5VU0QBAAAA525VAAIAAAANODUsMzU2NjgyNDQyNQBB3out60feCPgs8bXrR94IJ0NJUS5FVkQuSVFfTEFTVFNBTEVQUklDRS4zMC8wNS8yMDI0LlVTRAEAAADnblUAAgAAAA04OCwyNjcxODcxOTA2AEHei63rR94I+CzxtetH3ggnQ0lRLkVWRC5JUV9MQVNUU0FMRVBSSUNFLjEzLzA2LzIwMjQuVVNEAQAAAOduVQACAAAADjg1LDYyOTcwOTM4MDc1AEHei63rR94IFnvxtetH3ggnQ0lRLlRURS5JUV9MQVNUU0FMRVBSSUNFLjA0LzA2LzIwMjQuVVNEAQAAAJz6BAACAAAADjcwLDAwMDAwMDAxMTA2AEHei63rR94IFnvxtetH3ggnQ0lRLlRURS5JUV9MQVNUU0FMRVBSSUNFLjAzLzA2</t>
  </si>
  <si>
    <t>LzIwMjQuVVNEAQAAAJz6BAACAAAADjcxLDc2MTM3NjAxMzQ0AEHei63rR94IFnvxtetH3ggnQ0lRLlRURS5JUV9MQVNUU0FMRVBSSUNFLjAyLzA2LzIwMjQuVVNEAQAAAJz6BAACAAAADjcyLDY3MTA3NjkwMjc2AEHei63rR94IFnvxtetH3ggnQ0lRLlRURS5JUV9MQVNUU0FMRVBSSUNFLjAxLzA2LzIwMjQuVVNEAQAAAJz6BAACAAAADjcyLDY3MTA3NjkwMjc2AEHei63rR94IFnvxtetH3ggnQ0lRLlRURS5JUV9MQVNUU0FMRVBSSUNFLjA2LzA2LzIwMjQuVVNEAQAAAJz6BAACAAAADjcwLDY5NjQwOTE1MTU0AEHei63rR94IFnvxtetH3ggnQ0lRLlRURS5JUV9MQVNUU0FMRVBSSUNFLjA3LzA2LzIwMjQuVVNEAQAAAJz6BAACAAAADjcwLDE5MDIyOTExNjk2AEHei63rR94IBVTxtetH3ggnQ0lRLlRURS5JUV9MQVNUU0FMRVBSSUNFLjA4LzA2LzIwMjQuVVNEAQAAAJz6BAACAAAADjcwLDE5MDIyOTExNjk2AEHei63rR94IFnvxtetH3ggnQ0lRLlRURS5JUV9MQVNUU0FMRVBSSUNFLjA5LzA2LzIwMjQuVVNEAQAAAJz6BAACAAAADjcwLDE5MDIyOTExNjk2AEHei63rR94IJaLxtetH3ggnQ0lRLlRURS5JUV9MQVNUU0FMRVBSSUNFLjI5LzA1LzIwMjQuVVNEAQAAAJz6BAACAAAADjcwLDk4MjA0NjMwMDE0AEHei63rR94IJaLxtetH3ggnQ0lRLlRURS5JUV9MQVNUU0FMRVBSSUNFLjEyLzA2LzIwMjQuVVNE</t>
  </si>
  <si>
    <t>AQAAAJz6BAACAAAADjY5LDM1Njc2MzIyNzE4AEHei63rR94IJaLxtetH3ggnQ0lRLk9TRy5JUV9MQVNUU0FMRVBSSUNFLjA0LzA2LzIwMjQuVVNEAQAAABTYBAACAAAABTE3LDIzAEHei63rR94IJaLxtetH3ggnQ0lRLk9TRy5JUV9MQVNUU0FMRVBSSUNFLjAzLzA2LzIwMjQuVVNEAQAAABTYBAACAAAABTE3LDQyAEHei63rR94IJaLxtetH3ggnQ0lRLk9TRy5JUV9MQVNUU0FMRVBSSUNFLjAyLzA2LzIwMjQuVVNEAQAAABTYBAACAAAABTE3LDcyAEHei63rR94INcnxtetH3ggnQ0lRLk9TRy5JUV9MQVNUU0FMRVBSSUNFLjAxLzA2LzIwMjQuVVNEAQAAABTYBAACAAAABTE3LDcyAEHei63rR94INcnxtetH3ggnQ0lRLk9TRy5JUV9MQVNUU0FMRVBSSUNFLjA2LzA2LzIwMjQuVVNEAQAAABTYBAACAAAABTEzLDMxAEHei63rR94INcnxtetH3ggnQ0lRLk9TRy5JUV9MQVNUU0FMRVBSSUNFLjA3LzA2LzIwMjQuVVNEAQAAABTYBAACAAAABTEyLDk3AEHei63rR94IJaLxtetH3ggnQ0lRLk9TRy5JUV9MQVNUU0FMRVBSSUNFLjA4LzA2LzIwMjQuVVNEAQAAABTYBAACAAAABTEyLDk3AEHei63rR94IJaLxtetH3ggnQ0lRLk9TRy5JUV9MQVNUU0FMRVBSSUNFLjA5LzA2LzIwMjQuVVNEAQAAABTYBAACAAAABTEyLDk3AEHei63rR94INcnxtetH3ggnQ0lRLk9TRy5JUV9MQVNUU0FMRVBSSUNFLjI5LzA1LzIwMjQu</t>
  </si>
  <si>
    <t>VVNEAQAAABTYBAACAAAABTE3LDIxAEHei63rR94IJaLxtetH3ggnQ0lRLk9TRy5JUV9MQVNUU0FMRVBSSUNFLjEyLzA2LzIwMjQuVVNEAQAAABTYBAACAAAABTEzLDA0AEHei63rR94IJaLxtetH3ggpQ0lRLkVEWU9VLklRX0xBU1RTQUxFUFJJQ0UuMDQvMDYvMjAyNC5VU0QBAAAASLpgJQIAAAAMMCwwNTc0MjAyMjQ0AEHei63rR94INcnxtetH3ggpQ0lRLkVEWU9VLklRX0xBU1RTQUxFUFJJQ0UuMDMvMDYvMjAyNC5VU0QBAAAASLpgJQIAAAAOMCwwNjIzMDQ2Mzc5NjcAQd6LretH3ghG8PG160feCClDSVEuRURZT1UuSVFfTEFTVFNBTEVQUklDRS4wMi8wNi8yMDI0LlVTRAEAAABIumAlAgAAAA4wLDA1ODc2MTA0MzU3MgBB3out60feCEbw8bXrR94IKUNJUS5FRFlPVS5JUV9MQVNUU0FMRVBSSUNFLjAxLzA2LzIwMjQuVVNEAQAAAEi6YCUCAAAADjAsMDU4NzYxMDQzNTcyAEHei63rR94IRvDxtetH3ggpQ0lRLkVEWU9VLklRX0xBU1RTQUxFUFJJQ0UuMDYvMDYvMjAyNC5VU0QBAAAASLpgJQIAAAAMMCwwNTc2NjAyMDY0AEHei63rR94IRvDxtetH3ggpQ0lRLkVEWU9VLklRX0xBU1RTQUxFUFJJQ0UuMDcvMDYvMjAyNC5VU0QBAAAASLpgJQIAAAANMCwwNTQxNzQ5MzI1OQBB3out60feCEbw8bXrR94IKUNJUS5FRFlPVS5JUV9MQVNUU0FMRVBSSUNFLjA4LzA2LzIwMjQuVVNEAQAAAEi6YCUCAAAADTAs</t>
  </si>
  <si>
    <t>MDU0MTc0OTMyNTkAQd6LretH3gg1yfG160feCClDSVEuRURZT1UuSVFfTEFTVFNBTEVQUklDRS4wOS8wNi8yMDI0LlVTRAEAAABIumAlAgAAAA0wLDA1NDE3NDkzMjU5AEHei63rR94IRvDxtetH3ggpQ0lRLkVEWU9VLklRX0xBU1RTQUxFUFJJQ0UuMjkvMDUvMjAyNC5VU0QBAAAASLpgJQIAAAAOMCwwNDk5MzU0Njg3MTYAQd6LretH3gg1yfG160feCClDSVEuRURZT1UuSVFfTEFTVFNBTEVQUklDRS4xMi8wNi8yMDI0LlVTRAEAAABIumAlAgAAAA4wLDA1MDA5NjE2MzQwOABB3out60feCFcX8rXrR94IJ0NJUS5LUE4uSVFfTEFTVFNBTEVQUklDRS4wNC8wNi8yMDI0LlVTRAEAAACaRAYAAgAAAA4zLDc4MDE5NTg2NTY2OABB3out60feCFcX8rXrR94IJ0NJUS5LUE4uSVFfTEFTVFNBTEVQUklDRS4wMy8wNi8yMDI0LlVTRAEAAACaRAYAAgAAAA4zLDc2NTUxMjczNzExMwBB3out60feCFcX8rXrR94IJ0NJUS5LUE4uSVFfTEFTVFNBTEVQUklDRS4wMi8wNi8yMDI0LlVTRAEAAACaRAYAAgAAAA4zLDczNDk1MjgyNTc0NABB3out60feCFcX8rXrR94IJ0NJUS5LUE4uSVFfTEFTVFNBTEVQUklDRS4wMS8wNi8yMDI0LlVTRAEAAACaRAYAAgAAAA4zLDczNDk1MjgyNTc0NABB3out60feCFcX8rXrR94IJ0NJUS5LUE4uSVFfTEFTVFNBTEVQUklDRS4wNi8wNi8yMDI0LlVTRAEAAACaRAYAAgAAAA4zLDgxNzE5</t>
  </si>
  <si>
    <t>MjYwMTI1NgBB3out60feCFcX8rXrR94IJ0NJUS5LUE4uSVFfTEFTVFNBTEVQUklDRS4wNy8wNi8yMDI0LlVTRAEAAACaRAYAAgAAAA0zLDc5Mzc3NDMxNzg0AEHei63rR94IRvDxtetH3ggnQ0lRLktQTi5JUV9MQVNUU0FMRVBSSUNFLjA4LzA2LzIwMjQuVVNEAQAAAJpEBgACAAAADTMsNzkzNzc0MzE3ODQAQd6LretH3ghXF/K160feCCdDSVEuS1BOLklRX0xBU1RTQUxFUFJJQ0UuMDkvMDYvMjAyNC5VU0QBAAAAmkQGAAIAAAANMyw3OTM3NzQzMTc4NABB3out60feCGY+8rXrR94IJ0NJUS5LUE4uSVFfTEFTVFNBTEVQUklDRS4yOS8wNS8yMDI0LlVTRAEAAACaRAYAAgAAAA4zLDcyNzAxNzA4ODk4OABB3out60feCGY+8rXrR94IJ0NJUS5LUE4uSVFfTEFTVFNBTEVQUklDRS4xMi8wNi8yMDI0LlVTRAEAAACaRAYAAgAAAA4zLDczMzU5MzY2NjM3NABB3out60feCGY+8rXrR94IJ0NJUS5DREcuSVFfTEFTVFNBTEVQUklDRS4wNC8wNi8yMDI0LlVTRAEAAAAi87AIAgAAAA0xLDY0MzA5MDMxNTgyAEHei63rR94IZj7ytetH3ggnQ0lRLkNERy5JUV9MQVNUU0FMRVBSSUNFLjAzLzA2LzIwMjQuVVNEAQAAACLzsAgCAAAAEDEsNjg5NTI2NDUzNDUwODkAQd6LretH3gh3ZfK160feCCdDSVEuQ0RHLklRX0xBU1RTQUxFUFJJQ0UuMDIvMDYvMjAyNC5VU0QBAAAAIvOwCAIAAAANMSw3MTM0ODAxMDAwOABB3out</t>
  </si>
  <si>
    <t>60feCHdl8rXrR94IJ0NJUS5DREcuSVFfTEFTVFNBTEVQUklDRS4wMS8wNi8yMDI0LlVTRAEAAAAi87AIAgAAAA0xLDcxMzQ4MDEwMDA4AEHei63rR94Id2XytetH3ggnQ0lRLkNERy5JUV9MQVNUU0FMRVBSSUNFLjA2LzA2LzIwMjQuVVNEAQAAACLzsAgCAAAADjEsNjYyNjc2ODIyODk2AEHei63rR94IZj7ytetH3ggnQ0lRLkNERy5JUV9MQVNUU0FMRVBSSUNFLjA3LzA2LzIwMjQuVVNEAQAAACLzsAgCAAAADjEsNjQwNzI2MzI4OTEyAEHei63rR94IZj7ytetH3ggnQ0lRLkNERy5JUV9MQVNUU0FMRVBSSUNFLjA4LzA2LzIwMjQuVVNEAQAAACLzsAgCAAAADjEsNjQwNzI2MzI4OTEyAEHei63rR94Id2XytetH3ggnQ0lRLkNERy5JUV9MQVNUU0FMRVBSSUNFLjA5LzA2LzIwMjQuVVNEAQAAACLzsAgCAAAADjEsNjQwNzI2MzI4OTEyAEHei63rR94IZj7ytetH3ggnQ0lRLkNERy5JUV9MQVNUU0FMRVBSSUNFLjI5LzA1LzIwMjQuVVNEAQAAACLzsAgCAAAAEDEsNzYwNzYwMzI5MDM1MjIAQd6LretH3gh3ZfK160feCCdDSVEuQ0RHLklRX0xBU1RTQUxFUFJJQ0UuMTIvMDYvMjAyNC5VU0QBAAAAIvOwCAIAAAANMSw2Mzc5MjE2ODM5NwBB3out60feCGY+8rXrR94IKENJUS5EU0NWLklRX0xBU1RTQUxFUFJJQ0UuMDQvMDYvMjAyNC5VU0QBAAAAPWMNAAIAAAALOSw0ODYzMDc1MDIAQd6LretH3giHjPK160fe</t>
  </si>
  <si>
    <t>CChDSVEuRFNDVi5JUV9MQVNUU0FMRVBSSUNFLjAzLzA2LzIwMjQuVVNEAQAAAD1jDQACAAAADTksNjQzMzAwMjA2MjgAQd6LretH3giHjPK160feCChDSVEuRFNDVi5JUV9MQVNUU0FMRVBSSUNFLjAyLzA2LzIwMjQuVVNEAQAAAD1jDQACAAAADTksMjYyOTExNDU0MTYAQd6LretH3gh3ZfK160feCChDSVEuRFNDVi5JUV9MQVNUU0FMRVBSSUNFLjAxLzA2LzIwMjQuVVNEAQAAAD1jDQACAAAADTksMjYyOTExNDU0MTYAQd6LretH3giHjPK160feCChDSVEuRFNDVi5JUV9MQVNUU0FMRVBSSUNFLjA2LzA2LzIwMjQuVVNEAQAAAD1jDQACAAAADDksNDM2MDEyODM0NQBB3out60feCIeM8rXrR94IKENJUS5EU0NWLklRX0xBU1RTQUxFUFJJQ0UuMDcvMDYvMjAyNC5VU0QBAAAAPWMNAAIAAAANOSwyNDk3MTY5MTMxMQBB3out60feCIeM8rXrR94IKENJUS5EU0NWLklRX0xBU1RTQUxFUFJJQ0UuMDgvMDYvMjAyNC5VU0QBAAAAPWMNAAIAAAANOSwyNDk3MTY5MTMxMQBB3out60feCIeM8rXrR94IKENJUS5EU0NWLklRX0xBU1RTQUxFUFJJQ0UuMDkvMDYvMjAyNC5VU0QBAAAAPWMNAAIAAAANOSwyNDk3MTY5MTMxMQBB3out60feCIeM8rXrR94IKENJUS5EU0NWLklRX0xBU1RTQUxFUFJJQ0UuMjkvMDUvMjAyNC5VU0QBAAAAPWMNAAIAAAANOSwxNzk1NjA4NTc2MgBB3out60feCIeM8rXrR94IKENJUS5EU0NW</t>
  </si>
  <si>
    <t>LklRX0xBU1RTQUxFUFJJQ0UuMTIvMDYvMjAyNC5VU0QBAAAAPWMNAAIAAAANOSwyMDYzNTMyODQ1NwBB3out60feCJez8rXrR94IJ0NJUS5TUkMuSVFfTEFTVFNBTEVQUklDRS4wMy8wNi8yMDI0LlVTRAEAAAA4t2IBAgAAAA4wLDg5NzgyNDUwMTk2NABB3out60feCJez8rXrR94IJ0NJUS5TUkMuSVFfTEFTVFNBTEVQUklDRS4wMi8wNi8yMDI0LlVTRAEAAAA4t2IBAgAAAA4wLDg0NzQwMzcxMjcwMgBB3out60feCJez8rXrR94IJ0NJUS5TUkMuSVFfTEFTVFNBTEVQUklDRS4wMS8wNi8yMDI0LlVTRAEAAAA4t2IBAgAAAA4wLDg0NzQwMzcxMjcwMgBB3out60feCJez8rXrR94IJ0NJUS5TUkMuSVFfTEFTVFNBTEVQUklDRS4zMS8wNS8yMDI0LlVTRAEAAAA4t2IBAgAAAA4wLDg0NzQwMzcxMjcwMgBB3out60feCJez8rXrR94IJ0NJUS5TUkMuSVFfTEFTVFNBTEVQUklDRS4wNS8wNi8yMDI0LlVTRAEAAAA4t2IBAgAAAA4wLDg1MDMyNDkzNjU1NABB3out60feCJez8rXrR94IJ0NJUS5TUkMuSVFfTEFTVFNBTEVQUklDRS4wNi8wNi8yMDI0LlVTRAEAAAA4t2IBAgAAAA0wLDg2Njg4NTczMTk1AEHei63rR94Il7PytetH3ggnQ0lRLlNSQy5JUV9MQVNUU0FMRVBSSUNFLjA3LzA2LzIwMjQuVVNEAQAAADi3YgECAAAADjAsODUxMTc3NTI2MTE3AEHei63rR94IqdrytetH3ggnQ0lRLlNSQy5JUV9MQVNUU0FM</t>
  </si>
  <si>
    <t>RVBSSUNFLjA4LzA2LzIwMjQuVVNEAQAAADi3YgECAAAADjAsODUxMTc3NTI2MTE3AEHei63rR94IqdrytetH3ggnQ0lRLlNSQy5JUV9MQVNUU0FMRVBSSUNFLjI4LzA1LzIwMjQuVVNEAQAAADi3YgECAAAADjAsODg1NTIxMTUzOTc5AEHei63rR94IqdrytetH3ggnQ0lRLlNSQy5JUV9MQVNUU0FMRVBSSUNFLjExLzA2LzIwMjQuVVNEAQAAADi3YgECAAAADjAsODQ2MDIzNjg4NTQ1AEHei63rR94IqdrytetH3ggpQ0lRLk1VTFRJLklRX0xBU1RTQUxFUFJJQ0UuMDMvMDYvMjAyNC5VU0QBAAAA1ktfAQIAAAAMMTQsNDI2MzQ3MzI0AEHei63rR94IqdrytetH3ggpQ0lRLk1VTFRJLklRX0xBU1RTQUxFUFJJQ0UuMDIvMDYvMjAyNC5VU0QBAAAA1ktfAQIAAAAMMTQsMjE5NzE3OTE1AMn0jK3rR94Ih273tetH3ggpQ0lRLk1VTFRJLklRX0xBU1RTQUxFUFJJQ0UuMDEvMDYvMjAyNC5VU0QBAAAA1ktfAQIAAAAMMTQsMjE5NzE3OTE1AMn0jK3rR94Ih273tetH3ggpQ0lRLk1VTFRJLklRX0xBU1RTQUxFUFJJQ0UuMzEvMDUvMjAyNC5VU0QBAAAA1ktfAQIAAAAMMTQsMjE5NzE3OTE1AMn0jK3rR94Ih273tetH3ggpQ0lRLk1VTFRJLklRX0xBU1RTQUxFUFJJQ0UuMDUvMDYvMjAyNC5VU0QBAAAA1ktfAQIAAAAMMTQsMzQ3MzI0MjMyAMn0jK3rR94Ih273tetH3ggpQ0lRLk1VTFRJLklRX0xBU1RTQUxFUFJJQ0Uu</t>
  </si>
  <si>
    <t>MDYvMDYvMjAyNC5VU0QBAAAA1ktfAQIAAAANMTQsMzMyMDU1Mjg3NQBB3out60feCLgB87XrR94IKUNJUS5NVUxUSS5JUV9MQVNUU0FMRVBSSUNFLjA3LzA2LzIwMjQuVVNEAQAAANZLXwECAAAACzE0LDIwMTgxMTQ0AEHei63rR94IuAHztetH3ggpQ0lRLk1VTFRJLklRX0xBU1RTQUxFUFJJQ0UuMDgvMDYvMjAyNC5VU0QBAAAA1ktfAQIAAAALMTQsMjAxODExNDQAQd6LretH3gi4AfO160feCClDSVEuTVVMVEkuSVFfTEFTVFNBTEVQUklDRS4yOC8wNS8yMDI0LlVTRAEAAADWS18BAgAAAAwxNCw2OTQ2NDI0MjQAyfSMretH3giHbve160feCClDSVEuTVVMVEkuSVFfTEFTVFNBTEVQUklDRS4xMS8wNi8yMDI0LlVTRAEAAADWS18BAgAAAA0xNCwyMDU1MjQ2MDI1AEHei63rR94IqdrytetH3ggoQ0lRLjc0U1cuSVFfTEFTVFNBTEVQUklDRS4wMi8wNi8yMDI0LlVTRAEAAACAJ2ABAgAAAAwyNiw1Njk3ODYzNjIAQd6LretH3gjHKPO160feCChDSVEuNzRTVy5JUV9MQVNUU0FMRVBSSUNFLjAxLzA2LzIwMjQuVVNEAQAAAIAnYAECAAAADDI2LDU2OTc4NjM2MgBB3out60feCLgB87XrR94IKENJUS43NFNXLklRX0xBU1RTQUxFUFJJQ0UuMzEvMDUvMjAyNC5VU0QBAAAAgCdgAQIAAAAMMjYsNTY5Nzg2MzYyAEHei63rR94IxyjztetH3ggoQ0lRLjc0U1cuSVFfTEFTVFNBTEVQUklDRS4zMC8wNS8yMDI0LlVT</t>
  </si>
  <si>
    <t>RAEAAACAJ2ABAgAAAA0yNiw0NTg0Njg4ODc2AEHei63rR94I10/ztetH3ggoQ0lRLjc0U1cuSVFfTEFTVFNBTEVQUklDRS4wNC8wNi8yMDI0LlVTRAEAAACAJ2ABAgAAAA0yNiwyMjQxNTY2OTYyAEHei63rR94I10/ztetH3ggoQ0lRLjc0U1cuSVFfTEFTVFNBTEVQUklDRS4wNS8wNi8yMDI0LlVTRAEAAACAJ2ABAgAAAA0yNiw2MjE3NTM3Nzc1AEHei63rR94I10/ztetH3ggoQ0lRLjc0U1cuSVFfTEFTVFNBTEVQUklDRS4wNi8wNi8yMDI0LlVTRAEAAACAJ2ABAgAAAA0yNiw3NjgyMjYzMzcyAEHei63rR94IxyjztetH3ggoQ0lRLjc0U1cuSVFfTEFTVFNBTEVQUklDRS4wNy8wNi8yMDI0LlVTRAEAAACAJ2ABAgAAAAoyNywwMjExODQ2AEHei63rR94IxyjztetH3ggoQ0lRLjc0U1cuSVFfTEFTVFNBTEVQUklDRS4yNy8wNS8yMDI0LlVTRAEAAACAJ2ABAgAAAAwyNSw1MTg1MTQ0OTkAQd6LretH3gjHKPO160feCChDSVEuNzRTVy5JUV9MQVNUU0FMRVBSSUNFLjEwLzA2LzIwMjQuVVNEAQAAAIAnYAECAAAACzI2LDg1ODYxNjI1AEHei63rR94I10/ztetH3ggnQ0lRLkcyTS5JUV9MQVNUU0FMRVBSSUNFLjAyLzA2LzIwMjQuVVNEAQAAAKyEABECAAAADDIsOTU3MDM3OTc2MgBB3out60feCNdP87XrR94IJ0NJUS5HMk0uSVFfTEFTVFNBTEVQUklDRS4wMS8wNi8yMDI0LlVTRAEAAACshAARAgAAAAwyLDk1</t>
  </si>
  <si>
    <t>NzAzNzk3NjIAqwWMretH3gjXT/O160feCCdDSVEuRzJNLklRX0xBU1RTQUxFUFJJQ0UuMzEvMDUvMjAyNC5VU0QBAAAArIQAEQIAAAAMMiw5NTcwMzc5NzYyAKsFjK3rR94I10/ztetH3ggnQ0lRLkcyTS5JUV9MQVNUU0FMRVBSSUNFLjMwLzA1LzIwMjQuVVNEAQAAAKyEABECAAAADDIsOTIyNjYyMjkxMQCrBYyt60feCOZ287XrR94IJ0NJUS5HMk0uSVFfTEFTVFNBTEVQUklDRS4wNC8wNi8yMDI0LlVTRAEAAACshAARAgAAAAwzLDAwNDk5MTc0MzYAqwWMretH3gjXT/O160feCCdDSVEuRzJNLklRX0xBU1RTQUxFUFJJQ0UuMDUvMDYvMjAyNC5VU0QBAAAArIQAEQIAAAAMMywwNDE2MTkzNDI5AKsFjK3rR94I5nbztetH3ggnQ0lRLkcyTS5JUV9MQVNUU0FMRVBSSUNFLjA2LzA2LzIwMjQuVVNEAQAAAKyEABECAAAADDMsMDQ2MzgwOTA0OACrBYyt60feCOZ287XrR94IJ0NJUS5HMk0uSVFfTEFTVFNBTEVQUklDRS4wNy8wNi8yMDI0LlVTRAEAAACshAARAgAAAAszLDAwNzYxMDA5MwCrBYyt60feCOZ287XrR94IJ0NJUS5HMk0uSVFfTEFTVFNBTEVQUklDRS4yNy8wNS8yMDI0LlVTRAEAAACshAARAgAAAAwyLDk0MDM2MTUzODQAqwWMretH3gjmdvO160feCCdDSVEuRzJNLklRX0xBU1RTQUxFUFJJQ0UuMTAvMDYvMjAyNC5VU0QBAAAArIQAEQIAAAAMMywwMTc2NTA4Nzc4ABItjK3rR94I5nbztetH3ggm</t>
  </si>
  <si>
    <t>Q0lRLkNXLklRX0xBU1RTQUxFUFJJQ0UuMDIvMDYvMjAyNC5VU0QBAAAAqgwEAAIAAAAGMjgyLDgyAKsFjK3rR94I953ztetH3ggmQ0lRLkNXLklRX0xBU1RTQUxFUFJJQ0UuMDEvMDYvMjAyNC5VU0QBAAAAqgwEAAIAAAAGMjgyLDgyAKsFjK3rR94I953ztetH3ggmQ0lRLkNXLklRX0xBU1RTQUxFUFJJQ0UuMzEvMDUvMjAyNC5VU0QBAAAAqgwEAAIAAAAGMjgyLDgyAKsFjK3rR94I5nbztetH3ggmQ0lRLkNXLklRX0xBU1RTQUxFUFJJQ0UuMzAvMDUvMjAyNC5VU0QBAAAAqgwEAAIAAAAGMjc5LDExAKsFjK3rR94I953ztetH3ggmQ0lRLkNXLklRX0xBU1RTQUxFUFJJQ0UuMDQvMDYvMjAyNC5VU0QBAAAAqgwEAAIAAAAFMjc3LDEAqwWMretH3gj3nfO160feCCZDSVEuQ1cuSVFfTEFTVFNBTEVQUklDRS4wNS8wNi8yMDI0LlVTRAEAAACqDAQAAgAAAAYyNzcsODYAqwWMretH3gj3nfO160feCCZDSVEuQ1cuSVFfTEFTVFNBTEVQUklDRS4wNi8wNi8yMDI0LlVTRAEAAACqDAQAAgAAAAYyNzQsMDkAqwWMretH3gj3nfO160feCCZDSVEuQ1cuSVFfTEFTVFNBTEVQUklDRS4wNy8wNi8yMDI0LlVTRAEAAACqDAQAAgAAAAYyNzEsNTUAqwWMretH3gj3nfO160feCCZDSVEuQ1cuSVFfTEFTVFNBTEVQUklDRS4yNy8wNS8yMDI0LlVTRAEAAACqDAQAAgAAAAYyODAsNzEAqwWMretH3gj3nfO160feCCZDSVEuQ1cu</t>
  </si>
  <si>
    <t>SVFfTEFTVFNBTEVQUklDRS4xMC8wNi8yMDI0LlVTRAEAAACqDAQAAgAAAAYyNzIsNjEAqwWMretH3gjmdvO160feCChDSVEuVFBGRy5JUV9MQVNUU0FMRVBSSUNFLjAyLzA2LzIwMjQuVVNEAQAAAN3wEg8CAAAADTUsMTUzMTMwNjg1MzUAqwWMretH3ggGxfO160feCChDSVEuVFBGRy5JUV9MQVNUU0FMRVBSSUNFLjAxLzA2LzIwMjQuVVNEAQAAAN3wEg8CAAAADTUsMTUzMTMwNjg1MzUAqwWMretH3gj3nfO160feCChDSVEuVFBGRy5JUV9MQVNUU0FMRVBSSUNFLjMxLzA1LzIwMjQuVVNEAQAAAN3wEg8CAAAADTUsMTUzMTMwNjg1MzUAqwWMretH3ggGxfO160feCChDSVEuVFBGRy5JUV9MQVNUU0FMRVBSSUNFLjMwLzA1LzIwMjQuVVNEAQAAAN3wEg8CAAAACzUsMTYwNzQ3NzM1AKsFjK3rR94IFuzztetH3ggoQ0lRLlRQRkcuSVFfTEFTVFNBTEVQUklDRS4wNC8wNi8yMDI0LlVTRAEAAADd8BIPAgAAAAw1LDUyOTQxNzc4MjUAqwWMretH3ggW7PO160feCChDSVEuVFBGRy5JUV9MQVNUU0FMRVBSSUNFLjA1LzA2LzIwMjQuVVNEAQAAAN3wEg8CAAAADjUsNjQ5NjgxNDQ3ODI1AKsFjK3rR94IFuzztetH3ggoQ0lRLlRQRkcuSVFfTEFTVFNBTEVQUklDRS4wNi8wNi8yMDI0LlVTRAEAAADd8BIPAgAAAA41LDY1Nzc3MTkyMzEyNQCrBYyt60feCAbF87XrR94IKENJUS5UUEZHLklRX0xBU1RTQUxFUFJJQ0Uu</t>
  </si>
  <si>
    <t>MDcvMDYvMjAyNC5VU0QBAAAA3fASDwIAAAANNSw2MTA5MDExODExMwCrBYyt60feCAbF87XrR94IKENJUS5UUEZHLklRX0xBU1RTQUxFUFJJQ0UuMjcvMDUvMjAyNC5VU0QBAAAA3fASDwIAAAANNSwwNDU3OTUzODQzNQCrBYyt60feCAbF87XrR94IKENJUS5UUEZHLklRX0xBU1RTQUxFUFJJQ0UuMTAvMDYvMjAyNC5VU0QBAAAA3fASDwIAAAALNSw3MjYyODM2NDIAqwWMretH3ggW7PO160feCCZDSVEuSVAuSVFfTEFTVFNBTEVQUklDRS4wMi8wNi8yMDI0LlVTRAEAAABs7gAAAgAAAAU0NSwwOQCrBYyt60feCBbs87XrR94IJkNJUS5JUC5JUV9MQVNUU0FMRVBSSUNFLjAxLzA2LzIwMjQuVVNEAQAAAGzuAAACAAAABTQ1LDA5AKsFjK3rR94IJxP0tetH3ggmQ0lRLklQLklRX0xBU1RTQUxFUFJJQ0UuMzEvMDUvMjAyNC5VU0QBAAAAbO4AAAIAAAAFNDUsMDkAqwWMretH3ggnE/S160feCCZDSVEuSVAuSVFfTEFTVFNBTEVQUklDRS4zMC8wNS8yMDI0LlVTRAEAAABs7gAAAgAAAAU0NCw1OACrBYyt60feCCcT9LXrR94IJkNJUS5JUC5JUV9MQVNUU0FMRVBSSUNFLjA0LzA2LzIwMjQuVVNEAQAAAGzuAAACAAAABTQ0LDIyAKsFjK3rR94IFuzztetH3ggmQ0lRLklQLklRX0xBU1RTQUxFUFJJQ0UuMDUvMDYvMjAyNC5VU0QBAAAAbO4AAAIAAAAENDQsNACrBYyt60feCCcT9LXrR94IJkNJUS5JUC5JUV9MQVNU</t>
  </si>
  <si>
    <t>U0FMRVBSSUNFLjA2LzA2LzIwMjQuVVNEAQAAAGzuAAACAAAABTQ0LDQzAKsFjK3rR94IJxP0tetH3ggmQ0lRLklQLklRX0xBU1RTQUxFUFJJQ0UuMDcvMDYvMjAyNC5VU0QBAAAAbO4AAAIAAAAFNDUsMjEAqwWMretH3ggnE/S160feCCZDSVEuSVAuSVFfTEFTVFNBTEVQUklDRS4yNy8wNS8yMDI0LlVTRAEAAABs7gAAAgAAAAU0NSw0NgCrBYyt60feCCcT9LXrR94IJkNJUS5JUC5JUV9MQVNUU0FMRVBSSUNFLjEwLzA2LzIwMjQuVVNEAQAAAGzuAAACAAAABTQ0LDc5AKsFjK3rR94IJxP0tetH3ggoQ0lRLkxFQ08uSVFfTEFTVFNBTEVQUklDRS4wMi8wNi8yMDI0LlVTRAEAAACCKgUAAgAAAAYxOTYsMzYAqwWMretH3ggnE/S160feCChDSVEuTEVDTy5JUV9MQVNUU0FMRVBSSUNFLjAxLzA2LzIwMjQuVVNEAQAAAIIqBQACAAAABjE5NiwzNgCrBYyt60feCDY69LXrR94IKENJUS5MRUNPLklRX0xBU1RTQUxFUFJJQ0UuMzEvMDUvMjAyNC5VU0QBAAAAgioFAAIAAAAGMTk2LDM2AKsFjK3rR94INjr0tetH3ggoQ0lRLkxFQ08uSVFfTEFTVFNBTEVQUklDRS4zMC8wNS8yMDI0LlVTRAEAAACCKgUAAgAAAAYxOTYsOTUAqwWMretH3gg2OvS160feCChDSVEuTEVDTy5JUV9MQVNUU0FMRVBSSUNFLjA0LzA2LzIwMjQuVVNEAQAAAIIqBQACAAAABjE4OSw5OACrBYyt60feCDY69LXrR94IKENJUS5MRUNPLklRX0xB</t>
  </si>
  <si>
    <t>U1RTQUxFUFJJQ0UuMDUvMDYvMjAyNC5VU0QBAAAAgioFAAIAAAAGMTkwLDEzAKsFjK3rR94INjr0tetH3ggoQ0lRLkxFQ08uSVFfTEFTVFNBTEVQUklDRS4wNi8wNi8yMDI0LlVTRAEAAACCKgUAAgAAAAUxODksMwCrBYyt60feCDY69LXrR94IKENJUS5MRUNPLklRX0xBU1RTQUxFUFJJQ0UuMDcvMDYvMjAyNC5VU0QBAAAAgioFAAIAAAAGMTg3LDM5AKsFjK3rR94INjr0tetH3ggoQ0lRLkxFQ08uSVFfTEFTVFNBTEVQUklDRS4yNy8wNS8yMDI0LlVTRAEAAACCKgUAAgAAAAYyMDIsNDcAqwWMretH3gg2OvS160feCChDSVEuTEVDTy5JUV9MQVNUU0FMRVBSSUNFLjEwLzA2LzIwMjQuVVNEAQAAAIIqBQACAAAABjE4OCw4OQCrBYyt60feCDY69LXrR94IJ0NJUS5JTFAuSVFfTEFTVFNBTEVQUklDRS4wMi8wNi8yMDI0LlVTRAEAAAAVPVMiAgAAAAw2LDEyNzMxODA3OTQAqwWMretH3ghGYfS160feCCdDSVEuSUxQLklRX0xBU1RTQUxFUFJJQ0UuMDEvMDYvMjAyNC5VU0QBAAAAFT1TIgIAAAAMNiwxMjczMTgwNzk0AKsFjK3rR94IRmH0tetH3ggnQ0lRLklMUC5JUV9MQVNUU0FMRVBSSUNFLjMxLzA1LzIwMjQuVVNEAQAAABU9UyICAAAADDYsMTI3MzE4MDc5NACrBYyt60feCEZh9LXrR94IJ0NJUS5JTFAuSVFfTEFTVFNBTEVQUklDRS4zMC8wNS8yMDI0LlVTRAEAAAAVPVMiAgAAAA01LDgwMTM0NDYxMjY1</t>
  </si>
  <si>
    <t>AKsFjK3rR94IV4j0tetH3ggnQ0lRLklMUC5JUV9MQVNUU0FMRVBSSUNFLjA0LzA2LzIwMjQuVVNEAQAAABU9UyICAAAACzUsOTg0NzY2MDUxAKsFjK3rR94IV4j0tetH3ggnQ0lRLklMUC5JUV9MQVNUU0FMRVBSSUNFLjA1LzA2LzIwMjQuVVNEAQAAABU9UyICAAAADDUsOTc2MzEyMDcyNQCrBYyt60feCFeI9LXrR94IJ0NJUS5JTFAuSVFfTEFTVFNBTEVQUklDRS4wNi8wNi8yMDI0LlVTRAEAAAAVPVMiAgAAAAw2LDA5MzU3OTk3OTIAqwWMretH3ghGYfS160feCCdDSVEuSUxQLklRX0xBU1RTQUxFUFJJQ0UuMDcvMDYvMjAyNC5VU0QBAAAAFT1TIgIAAAAMNSw5OTg3MDI5ODEyAKsFjK3rR94IRmH0tetH3ggnQ0lRLklMUC5JUV9MQVNUU0FMRVBSSUNFLjI3LzA1LzIwMjQuVVNEAQAAABU9UyICAAAADTUsMzg2MDM1NDAwNjQAqwWMretH3ghGYfS160feCCdDSVEuSUxQLklRX0xBU1RTQUxFUFJJQ0UuMTAvMDYvMjAyNC5VU0QBAAAAFT1TIgIAAAAMNiwwNzAwNDcyNzI1AKsFjK3rR94IV4j0tetH3ggoQ0lRLkZPVVIuSVFfTEFTVFNBTEVQUklDRS4zMS8wNS8yMDI0LlVTRAEAAADyZFQBAgAAAAU2NywyOACrBYyt60feCHfW9LXrR94IKENJUS5GT1VSLklRX0xBU1RTQUxFUFJJQ0UuMzAvMDUvMjAyNC5VU0QBAAAA8mRUAQIAAAAFNjUsNjIAqwWMretH3gh31vS160feCChDSVEuRk9VUi5JUV9MQVNUU0FM</t>
  </si>
  <si>
    <t>RVBSSUNFLjI5LzA1LzIwMjQuVVNEAQAAAPJkVAECAAAABTY2LDQxAKsFjK3rR94Id9b0tetH3ggoQ0lRLkZPVVIuSVFfTEFTVFNBTEVQUklDRS4yOC8wNS8yMDI0LlVTRAEAAADyZFQBAgAAAAU2NywwMQCrBYyt60feCIv99LXrR94IKENJUS5GT1VSLklRX0xBU1RTQUxFUFJJQ0UuMDIvMDYvMjAyNC5VU0QBAAAA8mRUAQIAAAAFNjcsMjgAqwWMretH3gh31vS160feCChDSVEuRk9VUi5JUV9MQVNUU0FMRVBSSUNFLjAzLzA2LzIwMjQuVVNEAQAAAPJkVAECAAAABTcwLDE1AKsFjK3rR94Id9b0tetH3ggoQ0lRLkZPVVIuSVFfTEFTVFNBTEVQUklDRS4wNC8wNi8yMDI0LlVTRAEAAADyZFQBAgAAAAU3MCw1NACrBYyt60feCHfW9LXrR94IKENJUS5GT1VSLklRX0xBU1RTQUxFUFJJQ0UuMDUvMDYvMjAyNC5VU0QBAAAA8mRUAQIAAAAENzAsOACrBYyt60feCHfW9LXrR94IKENJUS5GT1VSLklRX0xBU1RTQUxFUFJJQ0UuMjUvMDUvMjAyNC5VU0QBAAAA8mRUAQIAAAAFNjgsMjkAqwWMretH3gh31vS160feCChDSVEuRk9VUi5JUV9MQVNUU0FMRVBSSUNFLjA4LzA2LzIwMjQuVVNEAQAAAPJkVAECAAAABTcyLDUzAKsFjK3rR94Id9b0tetH3ggnQ0lRLkVaSi5JUV9MQVNUU0FMRVBSSUNFLjMwLzA1LzIwMjQuVVNEAQAAANHiHwACAAAADDUsODY2Njg3MDU0OACrBYyt60feCIv99LXrR94IJ0NJUS5FWkouSVFf</t>
  </si>
  <si>
    <t>TEFTVFNBTEVQUklDRS4yOS8wNS8yMDI0LlVTRAEAAADR4h8AAgAAAA41LDgwNTI0NTgyNzY4NgCrBYyt60feCJgk9bXrR94IJ0NJUS5FWkouSVFfTEFTVFNBTEVQUklDRS4yOC8wNS8yMDI0LlVTRAEAAADR4h8AAgAAAA41LDkyNzc1MjcxNzYxNwCrBYyt60feCIv99LXrR94IJ0NJUS5FWkouSVFfTEFTVFNBTEVQUklDRS4yNy8wNS8yMDI0LlVTRAEAAADR4h8AAgAAAA41LDg0NDE4MDcyOTk3NQCrBYyt60feCJgk9bXrR94IJ0NJUS5FWkouSVFfTEFTVFNBTEVQUklDRS4wMS8wNi8yMDI0LlVTRAEAAADR4h8AAgAAAAw1LDg1MjkzODU1NjIAqwWMretH3giYJPW160feCCdDSVEuRVpKLklRX0xBU1RTQUxFUFJJQ0UuMDIvMDYvMjAyNC5VU0QBAAAA0eIfAAIAAAAMNSw4NTI5Mzg1NTYyAKsFjK3rR94ImCT1tetH3ggnQ0lRLkVaSi5JUV9MQVNUU0FMRVBSSUNFLjAzLzA2LzIwMjQuVVNEAQAAANHiHwACAAAADjYsMDgwMTM5MTQ4NjI4AKsFjK3rR94Ii/30tetH3ggnQ0lRLkVaSi5JUV9MQVNUU0FMRVBSSUNFLjA0LzA2LzIwMjQuVVNEAQAAANHiHwACAAAADDYsMjA3MDExMTc1NQCrBYyt60feCIv99LXrR94IJ0NJUS5FWkouSVFfTEFTVFNBTEVQUklDRS4yNC8wNS8yMDI0LlVTRAEAAADR4h8AAgAAAA01LDgzMTM2ODMwMDY1AKsFjK3rR94Ii/30tetH3ggnQ0lRLkVaSi5JUV9MQVNUU0FMRVBSSUNFLjA3</t>
  </si>
  <si>
    <t>LzA2LzIwMjQuVVNEAQAAANHiHwACAAAADjUsODkyMDgyMzk2NzgzAKsFjK3rR94Ipkv1tetH3ggpQ0lRLkxFQURELklRX0xBU1RTQUxFUFJJQ0UuMzAvMDUvMjAyNC5VU0QBAAAABvwQEQIAAAANOCw4NDg0MDU5ODg2NACrBYyt60feCKZL9bXrR94IKUNJUS5MRUFERC5JUV9MQVNUU0FMRVBSSUNFLjI5LzA1LzIwMjQuVVNEAQAAAAb8EBECAAAADTgsODAzODA3MDUyOTIAqwWMretH3gimS/W160feCClDSVEuTEVBREQuSVFfTEFTVFNBTEVQUklDRS4yOC8wNS8yMDI0LlVTRAEAAAAG/BARAgAAAA04LDgzMTg0Njg1NjI4AKsFjK3rR94Ipkv1tetH3ggpQ0lRLkxFQURELklRX0xBU1RTQUxFUFJJQ0UuMjcvMDUvMjAyNC5VU0QBAAAABvwQEQIAAAANOCw4NjA4OTY5NDk0NACrBYyt60feCJgk9bXrR94IKUNJUS5MRUFERC5JUV9MQVNUU0FMRVBSSUNFLjAxLzA2LzIwMjQuVVNEAQAAAAb8EBECAAAADTgsOTM2MTI0MDY2MjQAqwWMretH3gimS/W160feCClDSVEuTEVBREQuSVFfTEFTVFNBTEVQUklDRS4wMi8wNi8yMDI0LlVTRAEAAAAG/BARAgAAAA04LDkzNjEyNDA2NjI0AKsFjK3rR94Ipkv1tetH3ggpQ0lRLkxFQURELklRX0xBU1RTQUxFUFJJQ0UuMDMvMDYvMjAyNC5VU0QBAAAABvwQEQIAAAANOCw5NzAxNzIwMDE2OACrBYyt60feCKZL9bXrR94IKUNJUS5MRUFERC5JUV9MQVNUU0FMRVBSSUNFLjA0</t>
  </si>
  <si>
    <t>LzA2LzIwMjQuVVNEAQAAAAb8EBECAAAADTgsODc5MjE2NTQxMTIAqwWMretH3gimS/W160feCClDSVEuTEVBREQuSVFfTEFTVFNBTEVQUklDRS4yNC8wNS8yMDI0LlVTRAEAAAAG/BARAgAAAA04LDcyNjc5OTA4Njg4AKsFjK3rR94ItnL1tetH3ggpQ0lRLkxFQURELklRX0xBU1RTQUxFUFJJQ0UuMDcvMDYvMjAyNC5VU0QBAAAABvwQEQIAAAAMOCw3NTQ4NjM4MTA0AKsFjK3rR94ItnL1tetH3ggnQ0lRLklNRC5JUV9MQVNUU0FMRVBSSUNFLjMwLzA1LzIwMjQuVVNEAQAAAINrRAACAAAADTEsNDY4NjMzNzA0OTgAqwWMretH3gi2cvW160feCCdDSVEuSU1ELklRX0xBU1RTQUxFUFJJQ0UuMjkvMDUvMjAyNC5VU0QBAAAAg2tEAAIAAAANMSw0NDk5NDcwMzM0OQASLYyt60feCLZy9bXrR94IJ0NJUS5JTUQuSVFfTEFTVFNBTEVQUklDRS4yOC8wNS8yMDI0LlVTRAEAAACDa0QAAgAAAAwxLDQ3ODYxOTk1NTUAEi2MretH3gi2cvW160feCCdDSVEuSU1ELklRX0xBU1RTQUxFUFJJQ0UuMjcvMDUvMjAyNC5VU0QBAAAAg2tEAAIAAAANMSw0NzExNzU2MDk0MQASLYyt60feCLZy9bXrR94IJ0NJUS5JTUQuSVFfTEFTVFNBTEVQUklDRS4wMS8wNi8yMDI0LlVTRAEAAACDa0QAAgAAAA0xLDQ3NDAwNTcwOTkyABItjK3rR94ItnL1tetH3ggnQ0lRLklNRC5JUV9MQVNUU0FMRVBSSUNFLjAyLzA2LzIwMjQuVVNEAQAA</t>
  </si>
  <si>
    <t>AINrRAACAAAADTEsNDc0MDA1NzA5OTIAEi2MretH3gi2cvW160feCCdDSVEuSU1ELklRX0xBU1RTQUxFUFJJQ0UuMDMvMDYvMjAyNC5VU0QBAAAAg2tEAAIAAAALMSw0NzAwOTY4OTIAEi2MretH3gi2cvW160feCCdDSVEuSU1ELklRX0xBU1RTQUxFUFJJQ0UuMDQvMDYvMjAyNC5VU0QBAAAAg2tEAAIAAAANMSw0OTU2MTI4Njk3NQASLYyt60feCMmZ9bXrR94IJ0NJUS5JTUQuSVFfTEFTVFNBTEVQUklDRS4yNC8wNS8yMDI0LlVTRAEAAACDa0QAAgAAAA0xLDQ0NTUyNzQ4NDM2ABItjK3rR94IyZn1tetH3ggnQ0lRLklNRC5JUV9MQVNUU0FMRVBSSUNFLjA3LzA2LzIwMjQuVVNEAQAAAINrRAACAAAADDEsNTc5OTg2ODMyOAASLYyt60feCMmZ9bXrR94IKENJUS5DRUxMLklRX0xBU1RTQUxFUFJJQ0UuMzAvMDUvMjAyNC5VU0QBAAAAVgNeDQIAAAAOMCwwMzI5MzU0MjQ2MjUAEi2MretH3gjXwPW160feCChDSVEuQ0VMTC5JUV9MQVNUU0FMRVBSSUNFLjI5LzA1LzIwMjQuVVNEAQAAAFYDXg0CAAAADTAsMDMyODM5NzYzODUAEi2MretH3gjXwPW160feCChDSVEuQ0VMTC5JUV9MQVNUU0FMRVBSSUNFLjI4LzA1LzIwMjQuVVNEAQAAAFYDXg0CAAAADjAsMDMyOTk3MjUwMjE1ABItjK3rR94IyZn1tetH3ggoQ0lRLkNFTEwuSVFfTEFTVFNBTEVQUklDRS4yNy8wNS8yMDI0LlVTRAEAAABWA14NAgAAAA0wLDAz</t>
  </si>
  <si>
    <t>Mjk5NjA0MDQ4ABItjK3rR94I18D1tetH3ggoQ0lRLkNFTEwuSVFfTEFTVFNBTEVQUklDRS4wMS8wNi8yMDI0LlVTRAEAAABWA14NAgAAAA0wLDAzMjk4Mjk4MDc2ABItjK3rR94IyZn1tetH3ggoQ0lRLkNFTEwuSVFfTEFTVFNBTEVQUklDRS4wMi8wNi8yMDI0LlVTRAEAAABWA14NAgAAAA0wLDAzMjk4Mjk4MDc2ABItjK3rR94IyZn1tetH3ggoQ0lRLkNFTEwuSVFfTEFTVFNBTEVQUklDRS4wMy8wNi8yMDI0LlVTRAEAAABWA14NAgAAAAwwLDAzNjcwMTI4ODIAEi2MretH3gjJmfW160feCChDSVEuQ0VMTC5JUV9MQVNUU0FMRVBSSUNFLjA0LzA2LzIwMjQuVVNEAQAAAFYDXg0CAAAADjAsMDMyODg4NDg2MTE1ABItjK3rR94I18D1tetH3ggoQ0lRLkNFTEwuSVFfTEFTVFNBTEVQUklDRS4yNC8wNS8yMDI0LlVTRAEAAABWA14NAgAAAA0wLDAzNjU5OTQ3MDA1ABItjK3rR94I18D1tetH3ggoQ0lRLkNFTEwuSVFfTEFTVFNBTEVQUklDRS4wNy8wNi8yMDI0LlVTRAEAAABWA14NAgAAAA0wLDAyOTA4MjAyNTg0ABItjK3rR94I5uf1tetH3ggnQ0lRLlNGVC5JUV9MQVNUU0FMRVBSSUNFLjI5LzA1LzIwMjQuVVNEAQAAAJE1pwACAAAADTAsMjI4ODUzMzE3NzgAEi2MretH3gjm5/W160feCCdDSVEuU0ZULklRX0xBU1RTQUxFUFJJQ0UuMjgvMDUvMjAyNC5VU0QBAAAAkTWnAAIAAAANMCwyMzAwMDU0OTQ1NAAS</t>
  </si>
  <si>
    <t>LYyt60feCObn9bXrR94IJ0NJUS5TRlQuSVFfTEFTVFNBTEVQUklDRS4yNy8wNS8yMDI0LlVTRAEAAACRNacAAgAAAA0wLDIyOTkzNDk3OTU0ABItjK3rR94I5uf1tetH3ggnQ0lRLlNGVC5JUV9MQVNUU0FMRVBSSUNFLjI2LzA1LzIwMjQuVVNEAQAAAJE1pwACAAAADTAsMjI5NDMwODgzOTYAEi2MretH3gjm5/W160feCCdDSVEuU0ZULklRX0xBU1RTQUxFUFJJQ0UuMzEvMDUvMjAyNC5VU0QBAAAAkTWnAAIAAAAPMCwyMjU4NDcwODU1OTI1ABItjK3rR94I18D1tetH3ggnQ0lRLlNGVC5JUV9MQVNUU0FMRVBSSUNFLjAxLzA2LzIwMjQuVVNEAQAAAJE1pwACAAAADzAsMjI1ODQ3MDg1NTkyNQASLYyt60feCObn9bXrR94IJ0NJUS5TRlQuSVFfTEFTVFNBTEVQUklDRS4wMi8wNi8yMDI0LlVTRAEAAACRNacAAgAAAA8wLDIyNTg0NzA4NTU5MjUAEi2MretH3gjm5/W160feCCdDSVEuU0ZULklRX0xBU1RTQUxFUFJJQ0UuMDMvMDYvMjAyNC5VU0QBAAAAkTWnAAIAAAAOMCwyMjcwMTQwMzAwNTUAEi2MretH3gj6Dva160feCCdDSVEuU0ZULklRX0xBU1RTQUxFUFJJQ0UuMjMvMDUvMjAyNC5VU0QBAAAAkTWnAAIAAAANMCwyMjg4MDA5NTU5NgASLYyt60feCPoO9rXrR94IJ0NJUS5TRlQuSVFfTEFTVFNBTEVQUklDRS4wNi8wNi8yMDI0LlVTRAEAAACRNacAAgAAAA8wLDIyNjk1MDE3MzE4NzUAEi2MretH3gj6</t>
  </si>
  <si>
    <t>Dva160feCCdDSVEuRU5ZLklRX0xBU1RTQUxFUFJJQ0UuMjkvMDUvMjAyNC5VU0QBAAAAqSNVAAIAAAANMSw3NDEyOTM1MzI1OAASLYyt60feCPoO9rXrR94IJ0NJUS5FTlkuSVFfTEFTVFNBTEVQUklDRS4yOC8wNS8yMDI0LlVTRAEAAACpI1UAAgAAAA0xLDc2MjAxODcwNzc4ABItjK3rR94IBjb2tetH3ggnQ0lRLkVOWS5JUV9MQVNUU0FMRVBSSUNFLjI3LzA1LzIwMjQuVVNEAQAAAKkjVQACAAAADDEsNzkxNzI1NDg2MQASLYyt60feCAY29rXrR94IJ0NJUS5FTlkuSVFfTEFTVFNBTEVQUklDRS4yNi8wNS8yMDI0LlVTRAEAAACpI1UAAgAAAA0xLDc1ODM4NDg5MDY0ABItjK3rR94I+g72tetH3ggnQ0lRLkVOWS5JUV9MQVNUU0FMRVBSSUNFLjMxLzA1LzIwMjQuVVNEAQAAAKkjVQACAAAADDEsNzYyMjgxNzQ4NQASLYyt60feCPoO9rXrR94IJ0NJUS5FTlkuSVFfTEFTVFNBTEVQUklDRS4wMS8wNi8yMDI0LlVTRAEAAACpI1UAAgAAAAwxLDc2MjI4MTc0ODUAEi2MretH3ggGNva160feCCpDSVEuUEVSUCBCLklRX0xBU1RTQUxFUFJJQ0UuMTEvMDYvMjAyNC5VU0QBAAAA0sUMAgIAAAARMCwxOTc2NTMwNTk2MDg0OTIADmCLretH3gg1Bei160feCCdDSVEuRU5ZLklRX0xBU1RTQUxFUFJJQ0UuMDIvMDYvMjAyNC5VU0QBAAAAqSNVAAIAAAAMMSw3NjIyODE3NDg1ABItjK3rR94I+g72tetH3ggqQ0lRLlBF</t>
  </si>
  <si>
    <t>UlAgQi5JUV9MQVNUU0FMRVBSSUNFLjI1LzA2LzIwMjQuVVNEAQAAANLFDAICAAAAETAsMzAxMTU3NDgwNDI1NjM0ABItjK3rR94INQXotetH3ggnQ0lRLkNHUy5JUV9MQVNUU0FMRVBSSUNFLjE2LzA2LzIwMjQuVVNEAQAAAMhiDQACAAAADTQsNzY4MzY2NDU1NjgAEi2MretH3ghILOi160feCCdDSVEuQ0dTLklRX0xBU1RTQUxFUFJJQ0UuMTUvMDYvMjAyNC5VU0QBAAAAyGINAAIAAAANNCw3NjgzNjY0NTU2OAASLYyt60feCEgs6LXrR94IJ0NJUS5DR1MuSVFfTEFTVFNBTEVQUklDRS4xNC8wNi8yMDI0LlVTRAEAAADIYg0AAgAAAA00LDc2ODM2NjQ1NTY4ABItjK3rR94ISCzotetH3ggnQ0lRLkNHUy5JUV9MQVNUU0FMRVBSSUNFLjEzLzA2LzIwMjQuVVNEAQAAAMhiDQACAAAACzQsNDY1MTQwMDE1ABItjK3rR94IWFPotetH3ggnQ0lRLkNHUy5JUV9MQVNUU0FMRVBSSUNFLjE4LzA2LzIwMjQuVVNEAQAAAMhiDQACAAAADTQsODQ2NzkzMTIyMDIAEi2MretH3ghILOi160feCCdDSVEuQ0dTLklRX0xBU1RTQUxFUFJJQ0UuMTkvMDYvMjAyNC5VU0QBAAAAyGINAAIAAAANNCw5MTE4Nzg4NTczNgASLYyt60feCEgs6LXrR94IJ0NJUS5DR1MuSVFfTEFTVFNBTEVQUklDRS4yMC8wNi8yMDI0LlVTRAEAAADIYg0AAgAAAA00LDg1NDc5OTY2MDc5ABItjK3rR94ISCzotetH3ggnQ0lRLkNHUy5JUV9MQVNUU0FM</t>
  </si>
  <si>
    <t>RVBSSUNFLjIxLzA2LzIwMjQuVVNEAQAAAMhiDQACAAAADDQsNzk3OTE5MjE5OAASLYyt60feCEgs6LXrR94IJ0NJUS5DR1MuSVFfTEFTVFNBTEVQUklDRS4xMC8wNi8yMDI0LlVTRAEAAADIYg0AAgAAAA00LDg4NjQyODcwNzg0ABItjK3rR94IWFPotetH3ggnQ0lRLkNHUy5JUV9MQVNUU0FMRVBSSUNFLjI0LzA2LzIwMjQuVVNEAQAAAMhiDQACAAAADTQsNTQzNDM1NDk4MzgAEi2MretH3gg1Bei160feCCdDSVEuRzJNLklRX0xBU1RTQUxFUFJJQ0UuMTYvMDYvMjAyNC5VU0QBAAAArIQAEQIAAAAMMiw3ODExNjU5MDM0ABItjK3rR94IanrotetH3ggnQ0lRLkcyTS5JUV9MQVNUU0FMRVBSSUNFLjE1LzA2LzIwMjQuVVNEAQAAAKyEABECAAAADDIsNzgxMTY1OTAzNAASLYyt60feCGp66LXrR94IJ0NJUS5HMk0uSVFfTEFTVFNBTEVQUklDRS4xNC8wNi8yMDI0LlVTRAEAAACshAARAgAAAAwyLDc4MTE2NTkwMzQAEi2MretH3ghYU+i160feCCdDSVEuRzJNLklRX0xBU1RTQUxFUFJJQ0UuMTMvMDYvMjAyNC5VU0QBAAAArIQAEQIAAAAMMiw5MTU3MDIzMjU5ABItjK3rR94IeqHotetH3ggnQ0lRLkcyTS5JUV9MQVNUU0FMRVBSSUNFLjE4LzA2LzIwMjQuVVNEAQAAAKyEABECAAAADDIsNzE3NjE0OTQyOAASLYyt60feCHqh6LXrR94IJ0NJUS5HMk0uSVFfTEFTVFNBTEVQUklDRS4xOS8wNi8yMDI0LlVTRAEA</t>
  </si>
  <si>
    <t>AACshAARAgAAAAwyLDcwNDM0MDc0NTYAEi2MretH3gh6oei160feCCdDSVEuRzJNLklRX0xBU1RTQUxFUFJJQ0UuMjAvMDYvMjAyNC5VU0QBAAAArIQAEQIAAAAMMiw3MTgzMjg1OTQxABItjK3rR94IanrotetH3ggnQ0lRLkcyTS5JUV9MQVNUU0FMRVBSSUNFLjIxLzA2LzIwMjQuVVNEAQAAAKyEABECAAAACzIsNjk4OTY5NTY0ABItjK3rR94IanrotetH3ggnQ0lRLkcyTS5JUV9MQVNUU0FMRVBSSUNFLjI0LzA2LzIwMjQuVVNEAQAAAKyEABECAAAADTIsNjUxMzU5MTgxMjUAEi2MretH3giPyOi160feCClDSVEuSU5GMVQuSVFfTEFTVFNBTEVQUklDRS4xNi8wNi8yMDI0LlVTRAEAAACN190BAgAAAA00MiwxNDM1NDQ3NzA0ABItjK3rR94Ij8jotetH3ggpQ0lRLklORjFULklRX0xBU1RTQUxFUFJJQ0UuMTUvMDYvMjAyNC5VU0QBAAAAjdfdAQIAAAANNDIsMTQzNTQ0NzcwNAASLYyt60feCI/I6LXrR94IKUNJUS5JTkYxVC5JUV9MQVNUU0FMRVBSSUNFLjE0LzA2LzIwMjQuVVNEAQAAAI3X3QECAAAADTQyLDE0MzU0NDc3MDQAEi2MretH3giPyOi160feCClDSVEuSU5GMVQuSVFfTEFTVFNBTEVQUklDRS4xMy8wNi8yMDI0LlVTRAEAAACN190BAgAAAA00Miw1MTg4Mzc0Njc1ABItjK3rR94Ij8jotetH3ggpQ0lRLklORjFULklRX0xBU1RTQUxFUFJJQ0UuMTgvMDYvMjAyNC5VU0QBAAAAjdfdAQIAAAAN</t>
  </si>
  <si>
    <t>NDIsMjYxODQwODE3NgASLYyt60feCJ/v6LXrR94IKUNJUS5JTkYxVC5JUV9MQVNUU0FMRVBSSUNFLjE5LzA2LzIwMjQuVVNEAQAAAI3X3QECAAAADTQyLDM3Mzc5MTYxOTIAEi2MretH3gh6oei160feCClDSVEuSU5GMVQuSVFfTEFTVFNBTEVQUklDRS4yMC8wNi8yMDI0LlVTRAEAAACN190BAgAAAAw0MiwyMjAzMTcyMDcAEi2MretH3gif7+i160feCClDSVEuSU5GMVQuSVFfTEFTVFNBTEVQUklDRS4yMS8wNi8yMDI0LlVTRAEAAACN190BAgAAAAw0MiwyMDA4NTQ2ODYAEi2MretH3gif7+i160feCClDSVEuSU5GMVQuSVFfTEFTVFNBTEVQUklDRS4xMC8wNi8yMDI0LlVTRAEAAACN190BAgAAAAs0MSw2ODQ1NzI0MgASLYyt60feCJ/v6LXrR94IKUNJUS5JTkYxVC5JUV9MQVNUU0FMRVBSSUNFLjI0LzA2LzIwMjQuVVNEAQAAAI3X3QECAAAADTQyLDM3NzQyNzMwOTUAEi2MretH3givFum160feCChDSVEuMTY2Mi5JUV9MQVNUU0FMRVBSSUNFLjE2LzA2LzIwMjQuVVNEAQAAAETIUwACAAAACTgsMzI1NTQ3OAASLYyt60feCK8W6bXrR94IKENJUS4xNjYyLklRX0xBU1RTQUxFUFJJQ0UuMTUvMDYvMjAyNC5VU0QBAAAARMhTAAIAAAAJOCwzMjU1NDc4ABItjK3rR94IwT3ptetH3ggoQ0lRLjE2NjIuSVFfTEFTVFNBTEVQUklDRS4xNC8wNi8yMDI0LlVTRAEAAABEyFMAAgAAAAk4LDMyNTU0NzgAEi2MretH</t>
  </si>
  <si>
    <t>3gjBPem160feCChDSVEuMTY2Mi5JUV9MQVNUU0FMRVBSSUNFLjEzLzA2LzIwMjQuVVNEAQAAAETIUwACAAAACjgsMjQ2NzY1NTIAEi2MretH3gjBPem160feCChDSVEuMTY2Mi5JUV9MQVNUU0FMRVBSSUNFLjE4LzA2LzIwMjQuVVNEAQAAAETIUwACAAAACzcsOTkxOTQ0MzgyABItjK3rR94IrxbptetH3ggoQ0lRLjE2NjIuSVFfTEFTVFNBTEVQUklDRS4xOS8wNi8yMDI0LlVTRAEAAABEyFMAAgAAAAs3LDk1Mzg5NzU3NgASLYyt60feCME96bXrR94IKENJUS4xNjYyLklRX0xBU1RTQUxFUFJJQ0UuMjAvMDYvMjAyNC5VU0QBAAAARMhTAAIAAAALNyw5Nzc4Njg2NDQAEi2MretH3gjBPem160feCChDSVEuMTY2Mi5JUV9MQVNUU0FMRVBSSUNFLjIxLzA2LzIwMjQuVVNEAQAAAETIUwACAAAACjcsODk3NDU4MjQAEi2MretH3givFum160feCChDSVEuMTY2Mi5JUV9MQVNUU0FMRVBSSUNFLjEwLzA2LzIwMjQuVVNEAQAAAETIUwACAAAACzgsMTY4MjA2NTkyABItjK3rR94IwT3ptetH3ggoQ0lRLjE2NjIuSVFfTEFTVFNBTEVQUklDRS4yNC8wNi8yMDI0LlVTRAEAAABEyFMAAgAAAAo3LDg5MDA0MDYyABItjK3rR94IrxbptetH3ggpQ0lRLlNBTVBPLklRX0xBU1RTQUxFUFJJQ0UuMTYvMDYvMjAyNC5VU0QBAAAAT04tAAIAAAAOOCw0MDUxNzcwMjU1MjgAEi2MretH3gjhi+m160feCClDSVEuU0FNUE8uSVFf</t>
  </si>
  <si>
    <t>TEFTVFNBTEVQUklDRS4xNS8wNi8yMDI0LlVTRAEAAABPTi0AAgAAAA44LDQwNTE3NzAyNTUyOAASLYyt60feCOGL6bXrR94IKUNJUS5TQU1QTy5JUV9MQVNUU0FMRVBSSUNFLjE0LzA2LzIwMjQuVVNEAQAAAE9OLQACAAAADjgsNDA1MTc3MDI1NTI4ABItjK3rR94I0GTptetH3ggpQ0lRLlNBTVBPLklRX0xBU1RTQUxFUFJJQ0UuMTMvMDYvMjAyNC5VU0QBAAAAT04tAAIAAAANOCw1MzE3NTQ1NzYzOQASLYyt60feCOyy6bXrR94IKUNJUS5TQU1QTy5JUV9MQVNUU0FMRVBSSUNFLjE4LzA2LzIwMjQuVVNEAQAAAE9OLQACAAAADjgsMzc1MDQwMjcxODA4ABItjK3rR94I7LLptetH3ggpQ0lRLlNBTVBPLklRX0xBU1RTQUxFUFJJQ0UuMTkvMDYvMjAyNC5VU0QBAAAAT04tAAIAAAAOOCw1MTEyNzgxOTQ5NDQAEi2MretH3gjhi+m160feCClDSVEuU0FNUE8uSVFfTEFTVFNBTEVQUklDRS4yMC8wNi8yMDI0LlVTRAEAAABPTi0AAgAAAA04LDYyNDA4OTE1OTQ0ABItjK3rR94I7LLptetH3ggpQ0lRLlNBTVBPLklRX0xBU1RTQUxFUFJJQ0UuMjEvMDYvMjAyNC5VU0QBAAAAT04tAAIAAAAOOCw1OTgyOTA1OTUyNjQAEi2MretH3gjQZOm160feCClDSVEuU0FNUE8uSVFfTEFTVFNBTEVQUklDRS4xMC8wNi8yMDI0LlVTRAEAAABPTi0AAgAAAAw4LDU2ODk3MjkyODQAEi2MretH3gjhi+m160feCClDSVEuU0FNUE8u</t>
  </si>
  <si>
    <t>SVFfTEFTVFNBTEVQUklDRS4yNC8wNi8yMDI0LlVTRAEAAABPTi0AAgAAAA44LDY2NjQ1MjA5NjM1OAASLYyt60feCP7Z6bXrR94IKENJUS5TVVNHLklRX0xBU1RTQUxFUFJJQ0UuMTYvMDYvMjAyNC5VU0QBAAAAOhIqAgIAAAANMCwwNTQ1NzkxOTQzNQASLYyt60feCP7Z6bXrR94IKENJUS5TVVNHLklRX0xBU1RTQUxFUFJJQ0UuMTUvMDYvMjAyNC5VU0QBAAAAOhIqAgIAAAANMCwwNTQ1NzkxOTQzNQASLYyt60feCA4B6rXrR94IKENJUS5TVVNHLklRX0xBU1RTQUxFUFJJQ0UuMTQvMDYvMjAyNC5VU0QBAAAAOhIqAgIAAAANMCwwNTQ1NzkxOTQzNQASLYyt60feCA4B6rXrR94IKENJUS5TVVNHLklRX0xBU1RTQUxFUFJJQ0UuMTMvMDYvMjAyNC5VU0QBAAAAOhIqAgIAAAANMCwwNTU4MzI1OTc3MwASLYyt60feCA4B6rXrR94IKENJUS5TVVNHLklRX0xBU1RTQUxFUFJJQ0UuMTgvMDYvMjAyNC5VU0QBAAAAOhIqAgIAAAANMCwwNTQ1NDM2ODAxOQASLYyt60feCOyy6bXrR94IKENJUS5TVVNHLklRX0xBU1RTQUxFUFJJQ0UuMTkvMDYvMjAyNC5VU0QBAAAAOhIqAgIAAAAMMCwwNTI3NDQyMzQ0ABItjK3rR94IDgHqtetH3ggoQ0lRLlNVU0cuSVFfTEFTVFNBTEVQUklDRS4yMC8wNi8yMDI0LlVTRAEAAAA6EioCAgAAAA0wLDA1Mzk4NDM4MTU3ABItjK3rR94IDgHqtetH3ggoQ0lRLlNVU0cuSVFfTEFTVFNB</t>
  </si>
  <si>
    <t>TEVQUklDRS4yMS8wNi8yMDI0LlVTRAEAAAA6EioCAgAAAAwwLDA1MzU5OTkyMjgAEi2MretH3ggcKOq160feCChDSVEuU1VTRy5JUV9MQVNUU0FMRVBSSUNFLjEwLzA2LzIwMjQuVVNEAQAAADoSKgICAAAADTAsMDUwOTI4ODA4MTkAEi2MretH3ggcKOq160feCChDSVEuU1VTRy5JUV9MQVNUU0FMRVBSSUNFLjI0LzA2LzIwMjQuVVNEAQAAADoSKgICAAAADjAsMDUzOTgyNjI4Mzc1ABItjK3rR94IHCjqtetH3ggpQ0lRLk1BR0xFLklRX0xBU1RTQUxFUFJJQ0UuMTYvMDYvMjAyNC5VU0QBAAAAkePlJwIAAAAMMywxNzAzMzkyODkyABItjK3rR94ILk/qtetH3ggpQ0lRLk1BR0xFLklRX0xBU1RTQUxFUFJJQ0UuMTUvMDYvMjAyNC5VU0QBAAAAkePlJwIAAAAMMywxNzAzMzkyODkyABItjK3rR94ILk/qtetH3ggpQ0lRLk1BR0xFLklRX0xBU1RTQUxFUFJJQ0UuMTQvMDYvMjAyNC5VU0QBAAAAkePlJwIAAAAMMywxNzAzMzkyODkyAIhUjK3rR94IHCjqtetH3ggpQ0lRLk1BR0xFLklRX0xBU1RTQUxFUFJJQ0UuMTMvMDYvMjAyNC5VU0QBAAAAkePlJwIAAAAMMywyNjQwNTk1NTk2AIhUjK3rR94IPXbqtetH3ggpQ0lRLk1BR0xFLklRX0xBU1RTQUxFUFJJQ0UuMTgvMDYvMjAyNC5VU0QBAAAAkePlJwIAAAAMMyw3ODkzNTA0MTMyAIhUjK3rR94ILk/qtetH3ggpQ0lRLk1BR0xFLklRX0xBU1RTQUxFUFJJQ0Uu</t>
  </si>
  <si>
    <t>MTkvMDYvMjAyNC5VU0QBAAAAkePlJwIAAAAMMyw3OTc1ODQ4NzY4AIhUjK3rR94ILk/qtetH3ggpQ0lRLk1BR0xFLklRX0xBU1RTQUxFUFJJQ0UuMjAvMDYvMjAyNC5VU0QBAAAAkePlJwIAAAAMMyw3ODM2ODQwODg4AIhUjK3rR94IPXbqtetH3ggpQ0lRLk1BR0xFLklRX0xBU1RTQUxFUFJJQ0UuMjEvMDYvMjAyNC5VU0QBAAAAkePlJwIAAAALMyw3NTY3Mzc5NTIAiFSMretH3gg9duq160feCClDSVEuTUFHTEUuSVFfTEFTVFNBTEVQUklDRS4xMC8wNi8yMDI0LlVTRAEAAACR4+UnAgAAAAwzLDI3NDY3NDc2OTYAiFSMretH3gg9duq160feCClDSVEuTUFHTEUuSVFfTEFTVFNBTEVQUklDRS4yNC8wNi8yMDI0LlVTRAEAAACR4+UnAgAAAAo0LDM5NTA0NTg1AIhUjK3rR94IHCjqtetH3ggpQ0lRLkxFTU9OLklRX0xBU1RTQUxFUFJJQ0UuMTYvMDYvMjAyNC5VU0QBAAAA+SbHFgIAAAAMNiw0NzEyODAzNTE4AIhUjK3rR94IZMTqtetH3ggpQ0lRLkxFTU9OLklRX0xBU1RTQUxFUFJJQ0UuMTUvMDYvMjAyNC5VU0QBAAAA+SbHFgIAAAAMNiw0NzEyODAzNTE4AIhUjK3rR94IPXbqtetH3ggpQ0lRLkxFTU9OLklRX0xBU1RTQUxFUFJJQ0UuMTQvMDYvMjAyNC5VU0QBAAAA+SbHFgIAAAAMNiw0NzEyODAzNTE4AIhUjK3rR94IZMTqtetH3ggpQ0lRLkxFTU9OLklRX0xBU1RTQUxFUFJJQ0UuMTMvMDYvMjAyNC5V</t>
  </si>
  <si>
    <t>U0QBAAAA+SbHFgIAAAANNiw1MTIzNzg5MDMyNQCIVIyt60feCG7r6rXrR94IKUNJUS5MRU1PTi5JUV9MQVNUU0FMRVBSSUNFLjE4LzA2LzIwMjQuVVNEAQAAAPkmxxYCAAAACzYsNDQzOTkwOTc2AIhUjK3rR94IbuvqtetH3ggpQ0lRLkxFTU9OLklRX0xBU1RTQUxFUFJJQ0UuMTkvMDYvMjAyNC5VU0QBAAAA+SbHFgIAAAALNiw0NDQ2ODMxMzYAiFSMretH3ghu6+q160feCClDSVEuTEVNT04uSVFfTEFTVFNBTEVQUklDRS4yMC8wNi8yMDI0LlVTRAEAAAD5JscWAgAAAAw2LDMyMjMzMTc2NDUAiFSMretH3ghQneq160feCClDSVEuTEVNT04uSVFfTEFTVFNBTEVQUklDRS4yMS8wNi8yMDI0LlVTRAEAAAD5JscWAgAAAAw2LDMwMzQxODgwMTIAiFSMretH3ghkxOq160feCClDSVEuTEVNT04uSVFfTEFTVFNBTEVQUklDRS4xMC8wNi8yMDI0LlVTRAEAAAD5JscWAgAAAAw2LDYwNzIxOTU5NzUAiFSMretH3ghQneq160feCClDSVEuTEVNT04uSVFfTEFTVFNBTEVQUklDRS4yNC8wNi8yMDI0LlVTRAEAAAD5JscWAgAAAAw2LDMyOTc5MjkzOTkAWfAsrutH3gh7Euu160feCCdDSVEuTU5HLklRX0xBU1RTQUxFUFJJQ0UuMTMvMDYvMjAyNC5VU0QBAAAA1NyCIwIAAAANMiw1NzU3NDc5MTE1MQCIVIyt60feCHsS67XrR94IJ0NJUS5NTkcuSVFfTEFTVFNBTEVQUklDRS4xMi8wNi8yMDI0LlVTRAEAAADU3IIjAgAA</t>
  </si>
  <si>
    <t>AA4yLDYxODA5Njg0MDYxOQCIVIyt60feCHsS67XrR94IJ0NJUS5NTkcuSVFfTEFTVFNBTEVQUklDRS4xMS8wNi8yMDI0LlVTRAEAAADU3IIjAgAAAA8yLDUzOTk3OTM4OTc0NDUAiFSMretH3gh7Euu160feCCdDSVEuTU5HLklRX0xBU1RTQUxFUFJJQ0UuMTAvMDYvMjAyNC5VU0QBAAAA1NyCIwIAAAANMiw1ODMxOTAxNzYyOACIVIyt60feCIs567XrR94IJ0NJUS5NTkcuSVFfTEFTVFNBTEVQUklDRS4xNS8wNi8yMDI0LlVTRAEAAADU3IIjAgAAAA0yLDU0MjcwNjA0ODg0AIhUjK3rR94IiznrtetH3ggnQ0lRLk1ORy5JUV9MQVNUU0FMRVBSSUNFLjE2LzA2LzIwMjQuVVNEAQAAANTcgiMCAAAADTIsNTQyNzA2MDQ4ODQAiFSMretH3ghu6+q160feCCdDSVEuTU5HLklRX0xBU1RTQUxFUFJJQ0UuMTcvMDYvMjAyNC5VU0QBAAAA1NyCIwIAAAAOMiw1NDkxMzY1NDE2NzIAiFSMretH3giLOeu160feCCdDSVEuTU5HLklRX0xBU1RTQUxFUFJJQ0UuMTgvMDYvMjAyNC5VU0QBAAAA1NyCIwIAAAAOMiw1ODU4MDIxOTQ0MTgAiFSMretH3gieYOu160feCCdDSVEuTU5HLklRX0xBU1RTQUxFUFJJQ0UuMDcvMDYvMjAyNC5VU0QBAAAA1NyCIwIAAAAOMiw1MjI5OTcwNjE3MTkAiFSMretH3gieYOu160feCCdDSVEuTU5HLklRX0xBU1RTQUxFUFJJQ0UuMjEvMDYvMjAyNC5VU0QBAAAA1NyCIwIAAAAOMiw2MTQ4NjU5</t>
  </si>
  <si>
    <t>NzQ3OTEAiFSMretH3gieYOu160feCCpDSVEuTE9HSSBBLklRX0xBU1RTQUxFUFJJQ0UuMTMvMDYvMjAyNC5VU0QBAAAA800MAgIAAAAMMSwyNzg5MDA1MjkyAIhUjK3rR94InmDrtetH3ggqQ0lRLkxPR0kgQS5JUV9MQVNUU0FMRVBSSUNFLjEyLzA2LzIwMjQuVVNEAQAAAPNNDAICAAAADDEsMjgxNTI5NzYxNgCIVIyt60feCKyH67XrR94IKkNJUS5MT0dJIEEuSVFfTEFTVFNBTEVQUklDRS4xMS8wNi8yMDI0LlVTRAEAAADzTQwCAgAAAAsxLDMzMTM4MTkxMgCIVIyt60feCKyH67XrR94IKkNJUS5MT0dJIEEuSVFfTEFTVFNBTEVQUklDRS4xMC8wNi8yMDI0LlVTRAEAAADzTQwCAgAAAAsxLDMzMjcxNjQ3NgCIVIyt60feCJ5g67XrR94IKkNJUS5MT0dJIEEuSVFfTEFTVFNBTEVQUklDRS4xNS8wNi8yMDI0LlVTRAEAAADzTQwCAgAAAAwxLDMwMDQwODYzMDYAiFSMretH3gieYOu160feCCpDSVEuTE9HSSBBLklRX0xBU1RTQUxFUFJJQ0UuMTYvMDYvMjAyNC5VU0QBAAAA800MAgIAAAAMMSwzMDA0MDg2MzA2AIhUjK3rR94IrIfrtetH3ggqQ0lRLkxPR0kgQS5JUV9MQVNUU0FMRVBSSUNFLjE3LzA2LzIwMjQuVVNEAQAAAPNNDAICAAAACzEsMzAyNzQzMjc1AIhUjK3rR94InmDrtetH3ggqQ0lRLkxPR0kgQS5JUV9MQVNUU0FMRVBSSUNFLjE4LzA2LzIwMjQuVVNEAQAAAPNNDAICAAAADDEsMzEwOTYyMTM3</t>
  </si>
  <si>
    <t>OQCIVIyt60feCKyH67XrR94IKkNJUS5MT0dJIEEuSVFfTEFTVFNBTEVQUklDRS4wNy8wNi8yMDI0LlVTRAEAAADzTQwCAgAAAAsxLDMzNzc2OTc4OQCIVIyt60feCLyu67XrR94IKkNJUS5MT0dJIEEuSVFfTEFTVFNBTEVQUklDRS4yMS8wNi8yMDI0LlVTRAEAAADzTQwCAgAAAAsxLDM4OTgwMzMwOACIVIyt60feCLyu67XrR94IJ0NJUS5BR08uSVFfTEFTVFNBTEVQUklDRS4xMy8wNi8yMDI0LlVTRAEAAABb530AAgAAAAU3NSw5OQCIVIyt60feCMjV67XrR94IJ0NJUS5BR08uSVFfTEFTVFNBTEVQUklDRS4xMi8wNi8yMDI0LlVTRAEAAABb530AAgAAAAU3NSwzOQCIVIyt60feCMjV67XrR94IJ0NJUS5BR08uSVFfTEFTVFNBTEVQUklDRS4xMS8wNi8yMDI0LlVTRAEAAABb530AAgAAAAU3Myw3MgCIVIyt60feCLyu67XrR94IJ0NJUS5BR08uSVFfTEFTVFNBTEVQUklDRS4xMC8wNi8yMDI0LlVTRAEAAABb530AAgAAAAU3NSwzNQCIVIyt60feCNf867XrR94IJ0NJUS5BR08uSVFfTEFTVFNBTEVQUklDRS4xNS8wNi8yMDI0LlVTRAEAAABb530AAgAAAAU3NSw1MgCIVIyt60feCNf867XrR94IJ0NJUS5BR08uSVFfTEFTVFNBTEVQUklDRS4xNi8wNi8yMDI0LlVTRAEAAABb530AAgAAAAU3NSw1MgCIVIyt60feCNf867XrR94IJ0NJUS5BR08uSVFfTEFTVFNBTEVQUklDRS4xNy8wNi8yMDI0LlVTRAEAAABb</t>
  </si>
  <si>
    <t>530AAgAAAAU3Nyw1OQCIVIyt60feCMjV67XrR94IJ0NJUS5BR08uSVFfTEFTVFNBTEVQUklDRS4xOC8wNi8yMDI0LlVTRAEAAABb530AAgAAAAU3Nyw3MgCIVIyt60feCMjV67XrR94IJ0NJUS5BR08uSVFfTEFTVFNBTEVQUklDRS4wNy8wNi8yMDI0LlVTRAEAAABb530AAgAAAAU3Niw5OQCIVIyt60feCMjV67XrR94IJ0NJUS5BR08uSVFfTEFTVFNBTEVQUklDRS4yMS8wNi8yMDI0LlVTRAEAAABb530AAgAAAAU3NywxNQCIVIyt60feCOgj7LXrR94IJ0NJUS5LVFkuSVFfTEFTVFNBTEVQUklDRS4xMy8wNi8yMDI0LlVTRAEAAAAB/QcAAgAAAAsyMTAsMzE3OTUxNACIVIyt60feCNf867XrR94IJ0NJUS5LVFkuSVFfTEFTVFNBTEVQUklDRS4xMi8wNi8yMDI0LlVTRAEAAAAB/QcAAgAAAA0yMTksMDY0MDkwMDg4AIhUjK3rR94I6CPstetH3ggnQ0lRLktUWS5JUV9MQVNUU0FMRVBSSUNFLjExLzA2LzIwMjQuVVNEAQAAAAH9BwACAAAADTIxMSwyMjc1NjY5NDgAiFSMretH3gjoI+y160feCCdDSVEuS1RZLklRX0xBU1RTQUxFUFJJQ0UuMTAvMDYvMjAyNC5VU0QBAAAAAf0HAAIAAAANMjE0LDIwNzcwNDIyMQCIVIyt60feCOgj7LXrR94IJ0NJUS5LVFkuSVFfTEFTVFNBTEVQUklDRS4xNS8wNi8yMDI0LlVTRAEAAAAB/QcAAgAAAA0yMDUsNzI3MTMwNTc4AIhUjK3rR94I6CPstetH3ggnQ0lRLktUWS5JUV9M</t>
  </si>
  <si>
    <t>QVNUU0FMRVBSSUNFLjE2LzA2LzIwMjQuVVNEAQAAAAH9BwACAAAADTIwNSw3MjcxMzA1NzgAiFSMretH3gjX/Ou160feCCdDSVEuS1RZLklRX0xBU1RTQUxFUFJJQ0UuMTcvMDYvMjAyNC5VU0QBAAAAAf0HAAIAAAAMMjExLDY0NTQyMDM2AIhUjK3rR94I+krstetH3ggnQ0lRLktUWS5JUV9MQVNUU0FMRVBSSUNFLjE4LzA2LzIwMjQuVVNEAQAAAAH9BwACAAAADTIxMiwwMjM3NTA1MzIAiFSMretH3gj6Suy160feCCdDSVEuS1RZLklRX0xBU1RTQUxFUFJJQ0UuMDcvMDYvMjAyNC5VU0QBAAAAAf0HAAIAAAANMjE2LDM3MjA2OTM4NgCIVIyt60feCPpK7LXrR94IJ0NJUS5LVFkuSVFfTEFTVFNBTEVQUklDRS4yMS8wNi8yMDI0LlVTRAEAAAAB/QcAAgAAAA4yMjAsNTYyODI0MDExNQCIVIyt60feCPpK7LXrR94IKENJUS5TVklLLklRX0xBU1RTQUxFUFJJQ0UuMTMvMDYvMjAyNC5VU0QBAAAA3nQGAAIAAAANMTIsNjU1Mzg4ODE4OACIVIyt60feCPpK7LXrR94IKENJUS5TVklLLklRX0xBU1RTQUxFUFJJQ0UuMTIvMDYvMjAyNC5VU0QBAAAA3nQGAAIAAAANMTMsMDg3MTM3MjYyNACIVIyt60feCAhy7LXrR94IKENJUS5TVklLLklRX0xBU1RTQUxFUFJJQ0UuMTEvMDYvMjAyNC5VU0QBAAAA3nQGAAIAAAAMMTIsNzQzMjI2ODcyAIhUjK3rR94I+krstetH3ggoQ0lRLlNWSUsuSVFfTEFTVFNBTEVQUklDRS4x</t>
  </si>
  <si>
    <t>MC8wNi8yMDI0LlVTRAEAAADedAYAAgAAAAsxMiw4NTExOTQ1OQCIVIyt60feCBaZ7LXrR94IKENJUS5TVklLLklRX0xBU1RTQUxFUFJJQ0UuMTUvMDYvMjAyNC5VU0QBAAAA3nQGAAIAAAANMTIsNjQzMzg5MDIxNgCIVIyt60feCBaZ7LXrR94IKENJUS5TVklLLklRX0xBU1RTQUxFUFJJQ0UuMTYvMDYvMjAyNC5VU0QBAAAA3nQGAAIAAAANMTIsNjQzMzg5MDIxNgCIVIyt60feCAhy7LXrR94IKENJUS5TVklLLklRX0xBU1RTQUxFUFJJQ0UuMTcvMDYvMjAyNC5VU0QBAAAA3nQGAAIAAAAKMTMsMDA4NDE0NgCIVIyt60feCAhy7LXrR94IKENJUS5TVklLLklRX0xBU1RTQUxFUFJJQ0UuMTgvMDYvMjAyNC5VU0QBAAAA3nQGAAIAAAANMTMsMTY3MDM1Nzc5MgCIVIyt60feCAhy7LXrR94IKENJUS5TVklLLklRX0xBU1RTQUxFUFJJQ0UuMDcvMDYvMjAyNC5VU0QBAAAA3nQGAAIAAAAMMTIsNjU2NjMwNDg2AIhUjK3rR94ICHLstetH3ggoQ0lRLlNWSUsuSVFfTEFTVFNBTEVQUklDRS4yMS8wNi8yMDI0LlVTRAEAAADedAYAAgAAAAsxMywxODY1Mjk2OACIVIyt60feCAhy7LXrR94IJ0NJUS5TVEIuSVFfTEFTVFNBTEVQUklDRS4xMy8wNi8yMDI0LlVTRAEAAACBXg0AAgAAAAwxMCwxMTg1NDA4MTcAiFSMretH3gglwOy160feCCdDSVEuU1RCLklRX0xBU1RTQUxFUFJJQ0UuMTIvMDYvMjAyNC5VU0QBAAAAgV4N</t>
  </si>
  <si>
    <t>AAIAAAANMTAsNDIyMzE4MDc2NQCIVIyt60feCCXA7LXrR94IJ0NJUS5TVEIuSVFfTEFTVFNBTEVQUklDRS4xMS8wNi8yMDI0LlVTRAEAAACBXg0AAgAAAA0xMCwxMDY4ODE0Mzg1AIhUjK3rR94IFpnstetH3ggnQ0lRLlNUQi5JUV9MQVNUU0FMRVBSSUNFLjEwLzA2LzIwMjQuVVNEAQAAAIFeDQACAAAADTEwLDI4NTMwOTU2NDIAiFSMretH3gglwOy160feCCdDSVEuU1RCLklRX0xBU1RTQUxFUFJJQ0UuMTUvMDYvMjAyNC5VU0QBAAAAgV4NAAIAAAANMTAsMTMyMDE1NTk3MgCIVIyt60feCCXA7LXrR94IJ0NJUS5TVEIuSVFfTEFTVFNBTEVQUklDRS4xNi8wNi8yMDI0LlVTRAEAAACBXg0AAgAAAA0xMCwxMzIwMTU1OTcyAIhUjK3rR94IJcDstetH3ggnQ0lRLlNUQi5JUV9MQVNUU0FMRVBSSUNFLjE3LzA2LzIwMjQuVVNEAQAAAIFeDQACAAAADTEwLDIwNzI1NzgyNDQAiFSMretH3gglwOy160feCCdDSVEuU1RCLklRX0xBU1RTQUxFUFJJQ0UuMTgvMDYvMjAyNC5VU0QBAAAAgV4NAAIAAAANMTAsMzIyODE5MjQzNgCIVIyt60feCBaZ7LXrR94IJ0NJUS5TVEIuSVFfTEFTVFNBTEVQUklDRS4wNy8wNi8yMDI0LlVTRAEAAACBXg0AAgAAAAwxMCw1NzY2MTIyMDQAiFSMretH3ggWmey160feCCdDSVEuU1RCLklRX0xBU1RTQUxFUFJJQ0UuMjEvMDYvMjAyNC5VU0QBAAAAgV4NAAIAAAANMTAsMjYwMDI0NTMw</t>
  </si>
  <si>
    <t>NACIVIyt60feCDbn7LXrR94IJ0NJUS5EUlIuSVFfTEFTVFNBTEVQUklDRS4xMi8wNi8yMDI0LlVTRAEAAACjGRMnAgAAAAoyLDk3NDg3NDM3AIhUjK3rR94INufstetH3ggnQ0lRLkRSUi5JUV9MQVNUU0FMRVBSSUNFLjExLzA2LzIwMjQuVVNEAQAAAKMZEycCAAAADTIsOTU0OTUwMTk5MDQAiFSMretH3gg25+y160feCCdDSVEuRFJSLklRX0xBU1RTQUxFUFJJQ0UuMTAvMDYvMjAyNC5VU0QBAAAAoxkTJwIAAAANMywwMjU0OTg3NDY2OACIVIyt60feCDbn7LXrR94IJ0NJUS5EUlIuSVFfTEFTVFNBTEVQUklDRS4wOS8wNi8yMDI0LlVTRAEAAACjGRMnAgAAAA0zLDAxNTE0MTUzOTI2AIhUjK3rR94INufstetH3ggnQ0lRLkRSUi5JUV9MQVNUU0FMRVBSSUNFLjE0LzA2LzIwMjQuVVNEAQAAAKMZEycCAAAADTIsNzQzOTgzMDc1MTUAiFSMretH3gglwOy160feCCdDSVEuRFJSLklRX0xBU1RTQUxFUFJJQ0UuMTUvMDYvMjAyNC5VU0QBAAAAoxkTJwIAAAANMiw3NDM5ODMwNzUxNQCIVIyt60feCDbn7LXrR94IJ0NJUS5EUlIuSVFfTEFTVFNBTEVQUklDRS4xNi8wNi8yMDI0LlVTRAEAAACjGRMnAgAAAA0yLDc0Mzk4MzA3NTE1AIhUjK3rR94IRw7ttetH3ggnQ0lRLkRSUi5JUV9MQVNUU0FMRVBSSUNFLjE3LzA2LzIwMjQuVVNEAQAAAKMZEycCAAAADTIsNjc5MTYwNjE4NjgAiFSMretH3ghHDu2160feCCdD</t>
  </si>
  <si>
    <t>SVEuRFJSLklRX0xBU1RTQUxFUFJJQ0UuMDYvMDYvMjAyNC5VU0QBAAAAoxkTJwIAAAALMywwMzA5MDg2MDgAiFSMretH3ghHDu2160feCCdDSVEuRFJSLklRX0xBU1RTQUxFUFJJQ0UuMjAvMDYvMjAyNC5VU0QBAAAAoxkTJwIAAAANMiw3MzU5ODcyMTkzMQCIVIyt60feCEcO7bXrR94IJ0NJUS5QRUcuSVFfTEFTVFNBTEVQUklDRS4xMi8wNi8yMDI0LlVTRAEAAADyjQQAAgAAAAU3MywwNACIVIyt60feCFc17bXrR94IJ0NJUS5QRUcuSVFfTEFTVFNBTEVQUklDRS4xMS8wNi8yMDI0LlVTRAEAAADyjQQAAgAAAAU3Myw2NwCIVIyt60feCFc17bXrR94IJ0NJUS5QRUcuSVFfTEFTVFNBTEVQUklDRS4xMC8wNi8yMDI0LlVTRAEAAADyjQQAAgAAAAU3Myw0NACIVIyt60feCEcO7bXrR94IJ0NJUS5QRUcuSVFfTEFTVFNBTEVQUklDRS4wOS8wNi8yMDI0LlVTRAEAAADyjQQAAgAAAAU3Miw4OACIVIyt60feCFc17bXrR94IJ0NJUS5QRUcuSVFfTEFTVFNBTEVQUklDRS4xNC8wNi8yMDI0LlVTRAEAAADyjQQAAgAAAAU3Miw2NACIVIyt60feCEcO7bXrR94IJ0NJUS5QRUcuSVFfTEFTVFNBTEVQUklDRS4xNS8wNi8yMDI0LlVTRAEAAADyjQQAAgAAAAU3Miw2NACIVIyt60feCFc17bXrR94IJ0NJUS5QRUcuSVFfTEFTVFNBTEVQUklDRS4xNi8wNi8yMDI0LlVTRAEAAADyjQQAAgAAAAU3Miw2NACIVIyt60feCFc1</t>
  </si>
  <si>
    <t>7bXrR94IJ0NJUS5QRUcuSVFfTEFTVFNBTEVQUklDRS4xNy8wNi8yMDI0LlVTRAEAAADyjQQAAgAAAAU3MywwNwCIVIyt60feCFc17bXrR94IJ0NJUS5QRUcuSVFfTEFTVFNBTEVQUklDRS4wNi8wNi8yMDI0LlVTRAEAAADyjQQAAgAAAAU3NCw0NACIVIyt60feCFc17bXrR94IJ0NJUS5QRUcuSVFfTEFTVFNBTEVQUklDRS4yMC8wNi8yMDI0LlVTRAEAAADyjQQAAgAAAAU3Myw1OACIVIyt60feCEcO7bXrR94IKkNJUS5MQlRZLkEuSVFfTEFTVFNBTEVQUklDRS4xMi8wNi8yMDI0LlVTRAEAAAAD65cAAgAAAAUxNyw4MQCIVIyt60feCGhc7bXrR94IKkNJUS5MQlRZLkEuSVFfTEFTVFNBTEVQUklDRS4xMS8wNi8yMDI0LlVTRAEAAAAD65cAAgAAAAQxNyw3AAh8jK3rR94IaFzttetH3ggqQ0lRLkxCVFkuQS5JUV9MQVNUU0FMRVBSSUNFLjEwLzA2LzIwMjQuVVNEAQAAAAPrlwACAAAABTE3LDc0AAh8jK3rR94IVzXttetH3ggqQ0lRLkxCVFkuQS5JUV9MQVNUU0FMRVBSSUNFLjA5LzA2LzIwMjQuVVNEAQAAAAPrlwACAAAABTE4LDA5AAh8jK3rR94Id4PttetH3ggqQ0lRLkxCVFkuQS5JUV9MQVNUU0FMRVBSSUNFLjE0LzA2LzIwMjQuVVNEAQAAAAPrlwACAAAABTE3LDUzAAh8jK3rR94Id4PttetH3ggqQ0lRLkxCVFkuQS5JUV9MQVNUU0FMRVBSSUNFLjE1LzA2LzIwMjQuVVNEAQAAAAPrlwACAAAABTE3LDUz</t>
  </si>
  <si>
    <t>AAh8jK3rR94Id4PttetH3ggqQ0lRLkxCVFkuQS5JUV9MQVNUU0FMRVBSSUNFLjE2LzA2LzIwMjQuVVNEAQAAAAPrlwACAAAABTE3LDUzAAh8jK3rR94IaFzttetH3ggqQ0lRLkxCVFkuQS5JUV9MQVNUU0FMRVBSSUNFLjE3LzA2LzIwMjQuVVNEAQAAAAPrlwACAAAABTE3LDUyAAh8jK3rR94IaFzttetH3ggqQ0lRLkxCVFkuQS5JUV9MQVNUU0FMRVBSSUNFLjA2LzA2LzIwMjQuVVNEAQAAAAPrlwACAAAABTE4LDEzAAh8jK3rR94IaFzttetH3ggqQ0lRLkxCVFkuQS5JUV9MQVNUU0FMRVBSSUNFLjIwLzA2LzIwMjQuVVNEAQAAAAPrlwACAAAABTE3LDE5AAh8jK3rR94IharttetH3ggpQ0lRLkFCVEVDLklRX0xBU1RTQUxFUFJJQ0UuMTEvMDYvMjAyNC5VU0QBAAAAnARaAgIAAAANMCwzNjIzNTczMTYwOQAIfIyt60feCHeD7bXrR94IKUNJUS5BQlRFQy5JUV9MQVNUU0FMRVBSSUNFLjEwLzA2LzIwMjQuVVNEAQAAAJwEWgICAAAADDAsMzU1OTU3ODkwMgAIfIyt60feCIWq7bXrR94IKUNJUS5BQlRFQy5JUV9MQVNUU0FMRVBSSUNFLjA5LzA2LzIwMjQuVVNEAQAAAJwEWgICAAAACzAsMzU1MDQ1Mjg2AAh8jK3rR94IharttetH3ggpQ0lRLkFCVEVDLklRX0xBU1RTQUxFUFJJQ0UuMDgvMDYvMjAyNC5VU0QBAAAAnARaAgIAAAALMCwzNTUwNDUyODYACHyMretH3giFqu2160feCClDSVEuQUJURUMuSVFfTEFT</t>
  </si>
  <si>
    <t>VFNBTEVQUklDRS4xMy8wNi8yMDI0LlVTRAEAAACcBFoCAgAAAA0wLDQwNDU1MzkwNDY1AAh8jK3rR94Id4PttetH3ggpQ0lRLkFCVEVDLklRX0xBU1RTQUxFUFJJQ0UuMTQvMDYvMjAyNC5VU0QBAAAAnARaAgIAAAANMCw0MDg4MzU3MTcwOAAIfIyt60feCIWq7bXrR94IKUNJUS5BQlRFQy5JUV9MQVNUU0FMRVBSSUNFLjE1LzA2LzIwMjQuVVNEAQAAAJwEWgICAAAADTAsNDA4ODM1NzE3MDgACHyMretH3giFqu2160feCClDSVEuQUJURUMuSVFfTEFTVFNBTEVQUklDRS4xNi8wNi8yMDI0LlVTRAEAAACcBFoCAgAAAA0wLDQwODgzNTcxNzA4AAh8jK3rR94IharttetH3ggpQ0lRLkFCVEVDLklRX0xBU1RTQUxFUFJJQ0UuMDUvMDYvMjAyNC5VU0QBAAAAnARaAgIAAAANMCwzNjE1MTQ4MTQ1MwAIfIyt60feCIWq7bXrR94IKUNJUS5BQlRFQy5JUV9MQVNUU0FMRVBSSUNFLjE5LzA2LzIwMjQuVVNEAQAAAJwEWgICAAAADDAsMzcwMDUxMDQxMQAIfIyt60feCJbR7bXrR94ILUNJUS5HRklOQlVSIE8uSVFfTEFTVFNBTEVQUklDRS4xMS8wNi8yMDI0LlVTRAEAAADeZwEAAgAAAA0yLDM4MzYwMDEyOTgyAAh8jK3rR94IltHttetH3ggtQ0lRLkdGSU5CVVIgTy5JUV9MQVNUU0FMRVBSSUNFLjEwLzA2LzIwMjQuVVNEAQAAAN5nAQACAAAADDIsMzQyNjk2ODc5NgAIfIyt60feCJbR7bXrR94ILUNJUS5HRklOQlVS</t>
  </si>
  <si>
    <t>IE8uSVFfTEFTVFNBTEVQUklDRS4wOS8wNi8yMDI0LlVTRAEAAADeZwEAAgAAAA0yLDQyOTQwNDE0OTA3AAh8jK3rR94IltHttetH3ggtQ0lRLkdGSU5CVVIgTy5JUV9MQVNUU0FMRVBSSUNFLjA4LzA2LzIwMjQuVVNEAQAAAN5nAQACAAAADTIsNDI5NDA0MTQ5MDcACHyMretH3gim+O2160feCC1DSVEuR0ZJTkJVUiBPLklRX0xBU1RTQUxFUFJJQ0UuMTMvMDYvMjAyNC5VU0QBAAAA3mcBAAIAAAANMiwyNjI5OTQ5NDQxNgAIfIyt60feCKb47bXrR94ILUNJUS5HRklOQlVSIE8uSVFfTEFTVFNBTEVQUklDRS4xNC8wNi8yMDI0LlVTRAEAAADeZwEAAgAAAA0yLDI3NTExOTY2MTU3AAh8jK3rR94IltHttetH3ggtQ0lRLkdGSU5CVVIgTy5JUV9MQVNUU0FMRVBSSUNFLjE1LzA2LzIwMjQuVVNEAQAAAN5nAQACAAAADTIsMjc1MTE5NjYxNTcACHyMretH3giW0e2160feCC1DSVEuR0ZJTkJVUiBPLklRX0xBU1RTQUxFUFJJQ0UuMTYvMDYvMjAyNC5VU0QBAAAA3mcBAAIAAAANMiwyNzUxMTk2NjE1NwAIfIyt60feCJbR7bXrR94ILUNJUS5HRklOQlVSIE8uSVFfTEFTVFNBTEVQUklDRS4wNS8wNi8yMDI0LlVTRAEAAADeZwEAAgAAAAwyLDY4MTY5MDUxNDMACHyMretH3giW0e2160feCC1DSVEuR0ZJTkJVUiBPLklRX0xBU1RTQUxFUFJJQ0UuMTkvMDYvMjAyNC5VU0QBAAAA3mcBAAIAAAANMiwzNDI5Mjc4MDA0</t>
  </si>
  <si>
    <t>MwAIfIyt60feCJbR7bXrR94IKENJUS5STldILklRX0xBU1RTQUxFUFJJQ0UuMTAvMDYvMjAyNC5VU0QBAAAArFoNAAIAAAAOMTMsNjY2NzMwMjkyMjQACHyMretH3gi2H+6160feCChDSVEuUk5XSC5JUV9MQVNUU0FMRVBSSUNFLjA5LzA2LzIwMjQuVVNEAQAAAKxaDQACAAAADjEzLDU2Mjg1ODYzNzM4AAh8jK3rR94Ith/utetH3ggoQ0lRLlJOV0guSVFfTEFTVFNBTEVQUklDRS4wOC8wNi8yMDI0LlVTRAEAAACsWg0AAgAAAA4xMyw1NjI4NTg2MzczOAAIfIyt60feCKb47bXrR94IKENJUS5STldILklRX0xBU1RTQUxFUFJJQ0UuMDcvMDYvMjAyNC5VU0QBAAAArFoNAAIAAAAOMTMsNTYyODU4NjM3MzgACHyMretH3gi2H+6160feCChDSVEuUk5XSC5JUV9MQVNUU0FMRVBSSUNFLjEyLzA2LzIwMjQuVVNEAQAAAKxaDQACAAAADjE0LDA0NzA3MTgxNzc0AAh8jK3rR94Ith/utetH3ggoQ0lRLlJOV0guSVFfTEFTVFNBTEVQUklDRS4xMy8wNi8yMDI0LlVTRAEAAACsWg0AAgAAAA0xMyw3MDE2MDEwNzQ2AAh8jK3rR94Ith/utetH3ggoQ0lRLlJOV0guSVFfTEFTVFNBTEVQUklDRS4xNC8wNi8yMDI0LlVTRAEAAACsWg0AAgAAAA4xMyw1NDQxODk4MjYyNAAIfIyt60feCKb47bXrR94IKENJUS5STldILklRX0xBU1RTQUxFUFJJQ0UuMTUvMDYvMjAyNC5VU0QBAAAArFoNAAIAAAAOMTMsNTQ0MTg5ODI2MjQA</t>
  </si>
  <si>
    <t>CHyMretH3gim+O2160feCChDSVEuUk5XSC5JUV9MQVNUU0FMRVBSSUNFLjA0LzA2LzIwMjQuVVNEAQAAAKxaDQACAAAADDEzLDU3NzQzNzQyMgAIfIyt60feCKb47bXrR94IKENJUS5STldILklRX0xBU1RTQUxFUFJJQ0UuMTgvMDYvMjAyNC5VU0QBAAAArFoNAAIAAAAOMTMsNjUyMjIzNTU4MzYACHyMretH3gjGRu6160feCChDSVEuT1hJRy5JUV9MQVNUU0FMRVBSSUNFLjEwLzA2LzIwMjQuVVNEAQAAAJ59CgACAAAADTMxLDMwMzY4MzkwOTYACHyMretH3gjGRu6160feCChDSVEuT1hJRy5JUV9MQVNUU0FMRVBSSUNFLjA5LzA2LzIwMjQuVVNEAQAAAJ59CgACAAAADTMxLDY4MDU5ODUwNTcACHyMretH3gjGRu6160feCChDSVEuT1hJRy5JUV9MQVNUU0FMRVBSSUNFLjA4LzA2LzIwMjQuVVNEAQAAAJ59CgACAAAADTMxLDY4MDU5ODUwNTcACHyMretH3gjGRu6160feCChDSVEuT1hJRy5JUV9MQVNUU0FMRVBSSUNFLjA3LzA2LzIwMjQuVVNEAQAAAJ59CgACAAAADTMxLDY4MDU5ODUwNTcACHyMretH3gjGRu6160feCChDSVEuT1hJRy5JUV9MQVNUU0FMRVBSSUNFLjEyLzA2LzIwMjQuVVNEAQAAAJ59CgACAAAADTM0LDE1NDY3MTg3ODYACHyMretH3gjGRu6160feCChDSVEuT1hJRy5JUV9MQVNUU0FMRVBSSUNFLjEzLzA2LzIwMjQuVVNEAQAAAJ59CgACAAAADTMzLDIzMzM5OTI1NDUACHyMretH3gi2</t>
  </si>
  <si>
    <t>H+6160feCChDSVEuT1hJRy5JUV9MQVNUU0FMRVBSSUNFLjE0LzA2LzIwMjQuVVNEAQAAAJ59CgACAAAADDMyLDk3Mjc0Njc2OAAIfIyt60feCMZG7rXrR94IKENJUS5PWElHLklRX0xBU1RTQUxFUFJJQ0UuMTUvMDYvMjAyNC5VU0QBAAAAnn0KAAIAAAAMMzIsOTcyNzQ2NzY4AAh8jK3rR94I1m3utetH3ggoQ0lRLk9YSUcuSVFfTEFTVFNBTEVQUklDRS4wNC8wNi8yMDI0LlVTRAEAAACefQoAAgAAAAwzMCw0OTE3MDI2ODUACHyMretH3gjWbe6160feCChDSVEuT1hJRy5JUV9MQVNUU0FMRVBSSUNFLjE4LzA2LzIwMjQuVVNEAQAAAJ59CgACAAAADTMzLDM2OTI4MjQ4OTMACHyMretH3gjWbe6160feCChDSVEuQVhGTy5JUV9MQVNUU0FMRVBSSUNFLjEwLzA2LzIwMjQuVVNEAQAAAN9sUwACAAAADDI1LDQ2NDQwNDA5NQAIfIyt60feCNZt7rXrR94IKENJUS5BWEZPLklRX0xBU1RTQUxFUFJJQ0UuMDkvMDYvMjAyNC5VU0QBAAAA32xTAAIAAAAMMjUsNTUwNDU0MTk3AAh8jK3rR94I1m3utetH3ggoQ0lRLkFYRk8uSVFfTEFTVFNBTEVQUklDRS4wOC8wNi8yMDI0LlVTRAEAAADfbFMAAgAAAAwyNSw1NTA0NTQxOTcACHyMretH3gjnlO6160feCChDSVEuQVhGTy5JUV9MQVNUU0FMRVBSSUNFLjA3LzA2LzIwMjQuVVNEAQAAAN9sUwACAAAADDI1LDU1MDQ1NDE5NwAIfIyt60feCNZt7rXrR94IKENJUS5BWEZP</t>
  </si>
  <si>
    <t>LklRX0xBU1RTQUxFUFJJQ0UuMTIvMDYvMjAyNC5VU0QBAAAA32xTAAIAAAAMMjYsNTA0MzY1NTI0AAh8jK3rR94I1m3utetH3ggoQ0lRLkFYRk8uSVFfTEFTVFNBTEVQUklDRS4xMy8wNi8yMDI0LlVTRAEAAADfbFMAAgAAAA0yNiwwMjY1ODAxNzI2AAh8jK3rR94I1m3utetH3ggoQ0lRLkFYRk8uSVFfTEFTVFNBTEVQUklDRS4xNC8wNi8yMDI0LlVTRAEAAADfbFMAAgAAAA0yNiwxMzE1NjkwNTE0AAh8jK3rR94I1m3utetH3ggoQ0lRLkFYRk8uSVFfTEFTVFNBTEVQUklDRS4xNS8wNi8yMDI0LlVTRAEAAADfbFMAAgAAAA0yNiwxMzE1NjkwNTE0AAh8jK3rR94I55TutetH3ggoQ0lRLkFYRk8uSVFfTEFTVFNBTEVQUklDRS4wNC8wNi8yMDI0LlVTRAEAAADfbFMAAgAAAA0yNSw3ODE2ODA3NTU2AAh8jK3rR94I55TutetH3ggoQ0lRLkFYRk8uSVFfTEFTVFNBTEVQUklDRS4xOC8wNi8yMDI0LlVTRAEAAADfbFMAAgAAAAwyNiw2MDIwMDU0MjYACHyMretH3gjnlO6160feCCdDSVEuRU5ZLklRX0xBU1RTQUxFUFJJQ0UuMDMvMDYvMjAyNC5VU0QBAAAAqSNVAAIAAAAOMSw3Nzk4ODI0Mjk5NDUAEi2MretH3ggGNva160feCCdDSVEuRU5ZLklRX0xBU1RTQUxFUFJJQ0UuMjMvMDUvMjAyNC5VU0QBAAAAqSNVAAIAAAANMSw3MjA5NjU0NzI5OAAIfIyt60feCAY29rXrR94IJ0NJUS5FTlkuSVFfTEFTVFNBTEVQ</t>
  </si>
  <si>
    <t>UklDRS4wNi8wNi8yMDI0LlVTRAEAAACpI1UAAgAAAA0xLDc4NDU0ODQyMjQ4AAh8jK3rR94IBjb2tetH3ggoQ0lRLkhPRkkuSVFfTEFTVFNBTEVQUklDRS4yOS8wNS8yMDI0LlVTRAEAAAAXzBYAAgAAAAw1LDI2NTc1MTQ5NDMACHyMretH3ggXXfa160feCChDSVEuSE9GSS5JUV9MQVNUU0FMRVBSSUNFLjI4LzA1LzIwMjQuVVNEAQAAABfMFgACAAAADDUsNDE0NzU1MDg1NgAIfIyt60feCAY29rXrR94IKENJUS5IT0ZJLklRX0xBU1RTQUxFUFJJQ0UuMjcvMDUvMjAyNC5VU0QBAAAAF8wWAAIAAAAMNSwzODEyMzg1ODQ3AAh8jK3rR94IF132tetH3ggoQ0lRLkhPRkkuSVFfTEFTVFNBTEVQUklDRS4yNi8wNS8yMDI0LlVTRAEAAAAXzBYAAgAAAAw1LDM0NDE1ODE1ODQACHyMretH3ggXXfa160feCChDSVEuSE9GSS5JUV9MQVNUU0FMRVBSSUNFLjMxLzA1LzIwMjQuVVNEAQAAABfMFgACAAAADDUsNTgxODI0NDk0NAAIfIyt60feCBdd9rXrR94IKENJUS5IT0ZJLklRX0xBU1RTQUxFUFJJQ0UuMDEvMDYvMjAyNC5VU0QBAAAAF8wWAAIAAAAMNSw1ODE4MjQ0OTQ0AAh8jK3rR94IF132tetH3ggnQ0lRLkRTRy5JUV9MQVNUU0FMRVBSSUNFLjEwLzA2LzIwMjQuVVNEAQAAAE5VpAECAAAADTAsMTI0MDY5NDc4OTEACHyMretH3gj4u+6160feCCdDSVEuRFNHLklRX0xBU1RTQUxFUFJJQ0UuMDkvMDYvMjAyNC5V</t>
  </si>
  <si>
    <t>U0QBAAAATlWkAQIAAAAPMCwxMjQwNTA1MzYzMTc1AAh8jK3rR94I+LvutetH3ggnQ0lRLkRTRy5JUV9MQVNUU0FMRVBSSUNFLjA4LzA2LzIwMjQuVVNEAQAAAE5VpAECAAAADzAsMTI0MDUwNTM2MzE3NQAIfIyt60feCOeU7rXrR94IJ0NJUS5EU0cuSVFfTEFTVFNBTEVQUklDRS4wNy8wNi8yMDI0LlVTRAEAAABOVaQBAgAAAA8wLDEyNDA1MDUzNjMxNzUACHyMretH3gj4u+6160feCCdDSVEuRFNHLklRX0xBU1RTQUxFUFJJQ0UuMTIvMDYvMjAyNC5VU0QBAAAATlWkAQIAAAAPMCwxMjUxOTA5OTY1NDc1AAh8jK3rR94I+LvutetH3ggnQ0lRLkRTRy5JUV9MQVNUU0FMRVBSSUNFLjEzLzA2LzIwMjQuVVNEAQAAAE5VpAECAAAADjAsMTI0Mzg2MDQzMjc1AAh8jK3rR94IBuPutetH3ggnQ0lRLkRTRy5JUV9MQVNUU0FMRVBSSUNFLjE0LzA2LzIwMjQuVVNEAQAAAE5VpAECAAAADTAsMTIzNjQ3ODAwMzgACHyMretH3gj4u+6160feCCdDSVEuRFNHLklRX0xBU1RTQUxFUFJJQ0UuMTUvMDYvMjAyNC5VU0QBAAAATlWkAQIAAAANMCwxMjM2NDc4MDAzOAAIfIyt60feCPi77rXrR94IJ0NJUS5EU0cuSVFfTEFTVFNBTEVQUklDRS4wNC8wNi8yMDI0LlVTRAEAAABOVaQBAgAAAA0wLDEyNDY1MTYxNDc1AAh8jK3rR94I+LvutetH3ggnQ0lRLkRTRy5JUV9MQVNUU0FMRVBSSUNFLjE4LzA2LzIwMjQuVVNEAQAAAE5V</t>
  </si>
  <si>
    <t>pAECAAAADjAsMTIwNTM1NDMxMDQ1AAh8jK3rR94IBuPutetH3ggnQ0lRLlZISS5JUV9MQVNUU0FMRVBSSUNFLjA5LzA2LzIwMjQuVVNEAQAAALLBBAACAAAABDE4LDcACHyMretH3ggG4+6160feCCdDSVEuVkhJLklRX0xBU1RTQUxFUFJJQ0UuMDgvMDYvMjAyNC5VU0QBAAAAssEEAAIAAAAEMTgsNwAIfIyt60feCAbj7rXrR94IJ0NJUS5WSEkuSVFfTEFTVFNBTEVQUklDRS4wNy8wNi8yMDI0LlVTRAEAAACywQQAAgAAAAQxOCw3AAh8jK3rR94IBuPutetH3ggnQ0lRLlZISS5JUV9MQVNUU0FMRVBSSUNFLjA2LzA2LzIwMjQuVVNEAQAAALLBBAACAAAABTE5LDA1AAh8jK3rR94IBuPutetH3ggnQ0lRLlZISS5JUV9MQVNUU0FMRVBSSUNFLjExLzA2LzIwMjQuVVNEAQAAALLBBAACAAAABTE5LDM5AAh8jK3rR94IBuPutetH3ggnQ0lRLlZISS5JUV9MQVNUU0FMRVBSSUNFLjEyLzA2LzIwMjQuVVNEAQAAALLBBAACAAAABTE5LDM4AAh8jK3rR94IBuPutetH3ggnQ0lRLlZISS5JUV9MQVNUU0FMRVBSSUNFLjEzLzA2LzIwMjQuVVNEAQAAALLBBAACAAAABTE5LDEzAAh8jK3rR94IFgrvtetH3ggnQ0lRLlZISS5JUV9MQVNUU0FMRVBSSUNFLjE0LzA2LzIwMjQuVVNEAQAAALLBBAACAAAABDE4LDcACHyMretH3ggWCu+160feCCdDSVEuVkhJLklRX0xBU1RTQUxFUFJJQ0UuMDMvMDYvMjAyNC5VU0QBAAAAssEE</t>
  </si>
  <si>
    <t>AAIAAAAFMjAsMDIACHyMretH3ggWCu+160feCCdDSVEuVkhJLklRX0xBU1RTQUxFUFJJQ0UuMTcvMDYvMjAyNC5VU0QBAAAAssEEAAIAAAAFMTgsMDcACHyMretH3ggWCu+160feCChDSVEuQ1JNTC5JUV9MQVNUU0FMRVBSSUNFLjA5LzA2LzIwMjQuVVNEAQAAAJTs9yACAAAABTEwLDI4AAh8jK3rR94IFgrvtetH3ggoQ0lRLkNSTUwuSVFfTEFTVFNBTEVQUklDRS4wOC8wNi8yMDI0LlVTRAEAAACU7PcgAgAAAAUxMCwyOAAIfIyt60feCCYx77XrR94IKENJUS5DUk1MLklRX0xBU1RTQUxFUFJJQ0UuMDcvMDYvMjAyNC5VU0QBAAAAlOz3IAIAAAAFMTAsMjgACHyMretH3ggWCu+160feCChDSVEuQ1JNTC5JUV9MQVNUU0FMRVBSSUNFLjA2LzA2LzIwMjQuVVNEAQAAAJTs9yACAAAABTEwLDg3AAh8jK3rR94IJjHvtetH3ggoQ0lRLkNSTUwuSVFfTEFTVFNBTEVQUklDRS4xMS8wNi8yMDI0LlVTRAEAAACU7PcgAgAAAAM5LDkACHyMretH3ggmMe+160feCChDSVEuQ1JNTC5JUV9MQVNUU0FMRVBSSUNFLjEyLzA2LzIwMjQuVVNEAQAAAJTs9yACAAAABDEwLDIACHyMretH3ggmMe+160feCChDSVEuQ1JNTC5JUV9MQVNUU0FMRVBSSUNFLjEzLzA2LzIwMjQuVVNEAQAAAJTs9yACAAAABTExLDM5AAh8jK3rR94IJjHvtetH3ggoQ0lRLkNSTUwuSVFfTEFTVFNBTEVQUklDRS4xNC8wNi8yMDI0LlVTRAEAAACU7Pcg</t>
  </si>
  <si>
    <t>AgAAAAUxMSw1MwAIfIyt60feCCYx77XrR94IKENJUS5DUk1MLklRX0xBU1RTQUxFUFJJQ0UuMDMvMDYvMjAyNC5VU0QBAAAAlOz3IAIAAAAFMTEsMjgACHyMretH3ggWCu+160feCChDSVEuQ1JNTC5JUV9MQVNUU0FMRVBSSUNFLjE3LzA2LzIwMjQuVVNEAQAAAJTs9yACAAAABDExLDMACHyMretH3ggWCu+160feCClDSVEuV1VGMVYuSVFfTEFTVFNBTEVQUklDRS4wOS8wNi8yMDI0LlVTRAEAAADI0HwAAgAAAA0yLDY4MDUwMTUxMjMyAAh8jK3rR94INljvtetH3ggpQ0lRLldVRjFWLklRX0xBU1RTQUxFUFJJQ0UuMDgvMDYvMjAyNC5VU0QBAAAAyNB8AAIAAAANMiw2ODA1MDE1MTIzMgCIo4yt60feCDZY77XrR94IKUNJUS5XVUYxVi5JUV9MQVNUU0FMRVBSSUNFLjA3LzA2LzIwMjQuVVNEAQAAAMjQfAACAAAADTIsNjgwNTAxNTEyMzIAiKOMretH3ggmMe+160feCClDSVEuV1VGMVYuSVFfTEFTVFNBTEVQUklDRS4wNi8wNi8yMDI0LlVTRAEAAADI0HwAAgAAAA0yLDY5ODU4NTQxOTM2AIijjK3rR94INljvtetH3ggpQ0lRLldVRjFWLklRX0xBU1RTQUxFUFJJQ0UuMTEvMDYvMjAyNC5VU0QBAAAAyNB8AAIAAAANMiw3MjQ0NDQ5MjE5NACIo4yt60feCEZ/77XrR94IKUNJUS5XVUYxVi5JUV9MQVNUU0FMRVBSSUNFLjEyLzA2LzIwMjQuVVNEAQAAAMjQfAACAAAADTIsNzU1MTc5NTIxMzgAiKOMretH3ghG</t>
  </si>
  <si>
    <t>f++160feCClDSVEuV1VGMVYuSVFfTEFTVFNBTEVQUklDRS4xMy8wNi8yMDI0LlVTRAEAAADI0HwAAgAAAA0yLDc2NjQxNTUwMTA1AIijjK3rR94INljvtetH3ggpQ0lRLldVRjFWLklRX0xBU1RTQUxFUFJJQ0UuMTQvMDYvMjAyNC5VU0QBAAAAyNB8AAIAAAANMiw3MTY4NjgxMTQ2NACIo4yt60feCDZY77XrR94IKUNJUS5XVUYxVi5JUV9MQVNUU0FMRVBSSUNFLjAzLzA2LzIwMjQuVVNEAQAAAMjQfAACAAAADTIsNjY3MTAyMTEyMTUAiKOMretH3gg2WO+160feCClDSVEuV1VGMVYuSVFfTEFTVFNBTEVQUklDRS4xNy8wNi8yMDI0LlVTRAEAAADI0HwAAgAAAAwyLDcxMjg0NTgwNzEAiKOMretH3ghGf++160feCCdDSVEuQVVCLklRX0xBU1RTQUxFUFJJQ0UuMDkvMDYvMjAyNC5VU0QBAAAAAIMFAAIAAAAEMzEsNgCIo4yt60feCEZ/77XrR94IJ0NJUS5BVUIuSVFfTEFTVFNBTEVQUklDRS4wOC8wNi8yMDI0LlVTRAEAAAAAgwUAAgAAAAQzMSw2AIijjK3rR94IRn/vtetH3ggnQ0lRLkFVQi5JUV9MQVNUU0FMRVBSSUNFLjA3LzA2LzIwMjQuVVNEAQAAAACDBQACAAAABDMxLDYAiKOMretH3ghGf++160feCCdDSVEuQVVCLklRX0xBU1RTQUxFUFJJQ0UuMDYvMDYvMjAyNC5VU0QBAAAAAIMFAAIAAAAFMzEsNjkAiKOMretH3ghGf++160feCCdDSVEuQVVCLklRX0xBU1RTQUxFUFJJQ0UuMTEvMDYvMjAyNC5V</t>
  </si>
  <si>
    <t>U0QBAAAAAIMFAAIAAAAFMzEsMDUAiKOMretH3ghXpu+160feCCdDSVEuQVVCLklRX0xBU1RTQUxFUFJJQ0UuMTIvMDYvMjAyNC5VU0QBAAAAAIMFAAIAAAAFMzEsODEAiKOMretH3ghGf++160feCCdDSVEuQVVCLklRX0xBU1RTQUxFUFJJQ0UuMTMvMDYvMjAyNC5VU0QBAAAAAIMFAAIAAAAFMzEsNDcAiKOMretH3ghXpu+160feCCdDSVEuQVVCLklRX0xBU1RTQUxFUFJJQ0UuMTQvMDYvMjAyNC5VU0QBAAAAAIMFAAIAAAAEMzAsOQCIo4yt60feCFem77XrR94IJ0NJUS5BVUIuSVFfTEFTVFNBTEVQUklDRS4wMy8wNi8yMDI0LlVTRAEAAAAAgwUAAgAAAAUzMiwwNACIo4yt60feCFem77XrR94IJ0NJUS5BVUIuSVFfTEFTVFNBTEVQUklDRS4xNy8wNi8yMDI0LlVTRAEAAAAAgwUAAgAAAAUzMSwzNwCIo4yt60feCFem77XrR94IKENJUS5QUEhDLklRX0xBU1RTQUxFUFJJQ0UuMDYvMDYvMjAyNC5VU0QBAAAA7OV2ZAIAAAAOOCwwMjMxNjgwOTQzNzUAiKOMretH3ghXpu+160feCChDSVEuUFBIQy5JUV9MQVNUU0FMRVBSSUNFLjA1LzA2LzIwMjQuVVNEAQAAAOzldmQCAAAADjgsMDExNjk1MTYwNDc1AIijjK3rR94IZ83vtetH3ggoQ0lRLlBQSEMuSVFfTEFTVFNBTEVQUklDRS4wNC8wNi8yMDI0LlVTRAEAAADs5XZkAgAAAAw4LDAyMjQ1MDA3NzUAiKOMretH3ghnze+160feCChDSVEuUFBIQy5JUV9MQVNU</t>
  </si>
  <si>
    <t>U0FMRVBSSUNFLjAzLzA2LzIwMjQuVVNEAQAAAOzldmQCAAAADTgsMDI1NDI1NTY5NTUAiKOMretH3ghnze+160feCChDSVEuUFBIQy5JUV9MQVNUU0FMRVBSSUNFLjA4LzA2LzIwMjQuVVNEAQAAAOzldmQCAAAADDgsMDE1NTczMTE1OQCIo4yt60feCFem77XrR94IKENJUS5QUEhDLklRX0xBU1RTQUxFUFJJQ0UuMDkvMDYvMjAyNC5VU0QBAAAA7OV2ZAIAAAAMOCwwMTU1NzMxMTU5AIijjK3rR94IZ83vtetH3ggoQ0lRLlBQSEMuSVFfTEFTVFNBTEVQUklDRS4xMC8wNi8yMDI0LlVTRAEAAADs5XZkAgAAAAw4LDAxNjc5NzA5ODgAiKOMretH3ghnze+160feCChDSVEuUFBIQy5JUV9MQVNUU0FMRVBSSUNFLjExLzA2LzIwMjQuVVNEAQAAAOzldmQCAAAADDgsMDE0OTYxMjU5OQCIo4yt60feCFem77XrR94IKENJUS5QUEhDLklRX0xBU1RTQUxFUFJJQ0UuMzEvMDUvMjAyNC5VU0QBAAAA7OV2ZAIAAAAONyw5ODQxNzE2MTc0MjUAiKOMretH3ghnze+160feCChDSVEuUFBIQy5JUV9MQVNUU0FMRVBSSUNFLjE0LzA2LzIwMjQuVVNEAQAAAOzldmQCAAAACzgsNzE4NzU1MTU1AIijjK3rR94IV6bvtetH3ggoQ0lRLjM2NjguSVFfTEFTVFNBTEVQUklDRS4wNi8wNi8yMDI0LlVTRAEAAADIb1wNAgAAAAszLDczNjQ2MDk5MgCIo4yt60feCHf077XrR94IKENJUS4zNjY4LklRX0xBU1RTQUxFUFJJQ0UuMDUvMDYv</t>
  </si>
  <si>
    <t>MjAyNC5VU0QBAAAAyG9cDQIAAAAJMyw3MTM1Njg5AIijjK3rR94Id/TvtetH3ggoQ0lRLjM2NjguSVFfTEFTVFNBTEVQUklDRS4wNC8wNi8yMDI0LlVTRAEAAADIb1wNAgAAAAozLDcxMzQzODU1AIijjK3rR94IZ83vtetH3ggoQ0lRLjM2NjguSVFfTEFTVFNBTEVQUklDRS4wMy8wNi8yMDI0LlVTRAEAAADIb1wNAgAAAAszLDYzODUwNjg5NgCIo4yt60feCIYb8LXrR94IKENJUS4zNjY4LklRX0xBU1RTQUxFUFJJQ0UuMDgvMDYvMjAyNC5VU0QBAAAAyG9cDQIAAAALMyw3OTM1NjM3NzQAiKOMretH3giGG/C160feCChDSVEuMzY2OC5JUV9MQVNUU0FMRVBSSUNFLjA5LzA2LzIwMjQuVVNEAQAAAMhvXA0CAAAACzMsNzkzNTYzNzc0AIijjK3rR94IhhvwtetH3ggoQ0lRLjM2NjguSVFfTEFTVFNBTEVQUklDRS4xMC8wNi8yMDI0LlVTRAEAAADIb1wNAgAAAAszLDkzNzU1OTgwOACIo4yt60feCHf077XrR94IKENJUS4zNjY4LklRX0xBU1RTQUxFUFJJQ0UuMTEvMDYvMjAyNC5VU0QBAAAAyG9cDQIAAAALMyw4NTI5MjczOTYAiKOMretH3gh39O+160feCChDSVEuMzY2OC5JUV9MQVNUU0FMRVBSSUNFLjMxLzA1LzIwMjQuVVNEAQAAAMhvXA0CAAAACzMsNjMxOTIyNTg1AIijjK3rR94Id/TvtetH3ggoQ0lRLjM2NjguSVFfTEFTVFNBTEVQUklDRS4xNC8wNi8yMDI0LlVTRAEAAADIb1wNAgAAAAo0LDAyOTMx</t>
  </si>
  <si>
    <t>MDkyAIijjK3rR94IhhvwtetH3ggpQ0lRLk1PUkxELklRX0xBU1RTQUxFUFJJQ0UuMDYvMDYvMjAyNC5VU0QBAAAAwh+VKgMAAAAAAIijjK3rR94IhhvwtetH3ggpQ0lRLk1PUkxELklRX0xBU1RTQUxFUFJJQ0UuMDUvMDYvMjAyNC5VU0QBAAAAwh+VKgMAAAAAAIijjK3rR94IhhvwtetH3ggpQ0lRLk1PUkxELklRX0xBU1RTQUxFUFJJQ0UuMDQvMDYvMjAyNC5VU0QBAAAAwh+VKgMAAAAAAIijjK3rR94IlkLwtetH3ggpQ0lRLk1PUkxELklRX0xBU1RTQUxFUFJJQ0UuMDMvMDYvMjAyNC5VU0QBAAAAwh+VKgMAAAAAAIijjK3rR94IlkLwtetH3ggpQ0lRLk1PUkxELklRX0xBU1RTQUxFUFJJQ0UuMDgvMDYvMjAyNC5VU0QBAAAAwh+VKgMAAAAAAIijjK3rR94IlkLwtetH3ggpQ0lRLk1PUkxELklRX0xBU1RTQUxFUFJJQ0UuMDkvMDYvMjAyNC5VU0QBAAAAwh+VKgMAAAAAAIijjK3rR94IhhvwtetH3ggpQ0lRLk1PUkxELklRX0xBU1RTQUxFUFJJQ0UuMTAvMDYvMjAyNC5VU0QBAAAAwh+VKgMAAAAAAIijjK3rR94IlkLwtetH3ggpQ0lRLk1PUkxELklRX0xBU1RTQUxFUFJJQ0UuMTEvMDYvMjAyNC5VU0QBAAAAwh+VKgMAAAAAAIijjK3rR94IlkLwtetH3ggpQ0lRLk1PUkxELklRX0xBU1RTQUxFUFJJQ0UuMzEvMDUvMjAyNC5VU0QBAAAAwh+VKgMAAAAAAIijjK3rR94IlkLwtetH3ggpQ0lRLk1PUkxELklR</t>
  </si>
  <si>
    <t>X0xBU1RTQUxFUFJJQ0UuMTQvMDYvMjAyNC5VU0QBAAAAwh+VKgMAAAAAAIijjK3rR94IlkLwtetH3ggqQ0lRLjAwMDMzMy5JUV9MQVNUU0FMRVBSSUNFLjA2LzA2LzIwMjQuVVNEAQAAAKFqGQMCAAAADDksMDc2NzI5ODI4OACIo4yt60feCJZC8LXrR94IKkNJUS4wMDAzMzMuSVFfTEFTVFNBTEVQUklDRS4wNS8wNi8yMDI0LlVTRAEAAAChahkDAgAAAA04LDgxOTcxNDY0NjY0AIijjK3rR94Iq2nwtetH3ggqQ0lRLjAwMDMzMy5JUV9MQVNUU0FMRVBSSUNFLjA0LzA2LzIwMjQuVVNEAQAAAKFqGQMCAAAADDgsOTMzODI1MDY5NACIo4yt60feCKtp8LXrR94IKkNJUS4wMDAzMzMuSVFfTEFTVFNBTEVQUklDRS4wMy8wNi8yMDI0LlVTRAEAAAChahkDAgAAAA04LDk3ODE4Mjc5ODA0AIijjK3rR94Iq2nwtetH3ggqQ0lRLjAwMDMzMy5JUV9MQVNUU0FMRVBSSUNFLjA4LzA2LzIwMjQuVVNEAQAAAKFqGQMCAAAACjgsOTkxODAzMDcAiKOMretH3girafC160feCCpDSVEuMDAwMzMzLklRX0xBU1RTQUxFUFJJQ0UuMDkvMDYvMjAyNC5VU0QBAAAAoWoZAwIAAAAKOCw5OTE4MDMwNwCIo4yt60feCKtp8LXrR94IKkNJUS4wMDAzMzMuSVFfTEFTVFNBTEVQUklDRS4xMC8wNi8yMDI0LlVTRAEAAAChahkDAgAAAAw4LDk5MDU2MjQyMzYAiKOMretH3girafC160feCCpDSVEuMDAwMzMzLklRX0xBU1RTQUxFUFJJQ0Uu</t>
  </si>
  <si>
    <t>MTEvMDYvMjAyNC5VU0QBAAAAoWoZAwIAAAAKOCw5NjgyMzg2MwCIo4yt60feCKtp8LXrR94IKkNJUS4wMDAzMzMuSVFfTEFTVFNBTEVQUklDRS4zMS8wNS8yMDI0LlVTRAEAAAChahkDAgAAAA04LDk0MjE1NzY4MDk2AIijjK3rR94Iq2nwtetH3ggoQ0lRLkhPRkkuSVFfTEFTVFNBTEVQUklDRS4wMi8wNi8yMDI0LlVTRAEAAAAXzBYAAgAAAAw1LDU4MTgyNDQ5NDQACHyMretH3ggXXfa160feCChDSVEuSE9GSS5JUV9MQVNUU0FMRVBSSUNFLjAzLzA2LzIwMjQuVVNEAQAAABfMFgACAAAADDUsNTIwMDU2NTIyNQApzIyt60feCBdd9rXrR94IKENJUS5IT0ZJLklRX0xBU1RTQUxFUFJJQ0UuMjMvMDUvMjAyNC5VU0QBAAAAF8wWAAIAAAAMNSwyODAyNzg1MDM1ACnMjK3rR94IF132tetH3ggoQ0lRLkhPRkkuSVFfTEFTVFNBTEVQUklDRS4wNi8wNi8yMDI0LlVTRAEAAAAXzBYAAgAAAAw1LDM0MzE3OTEyNjQAKcyMretH3ggohPa160feCChDSVEuSU5TRy5JUV9MQVNUU0FMRVBSSUNFLjI5LzA1LzIwMjQuVVNEAQAAAAV+AAACAAAABDgsNTUAyfSMretH3ggohPa160feCChDSVEuSU5TRy5JUV9MQVNUU0FMRVBSSUNFLjI4LzA1LzIwMjQuVVNEAQAAAAV+AAACAAAABDgsNzgAyfSMretH3ggohPa160feCChDSVEuSU5TRy5JUV9MQVNUU0FMRVBSSUNFLjI3LzA1LzIwMjQuVVNEAQAAAAV+AAACAAAAAzcsNQDJ</t>
  </si>
  <si>
    <t>9Iyt60feCCiE9rXrR94IKENJUS5JTlNHLklRX0xBU1RTQUxFUFJJQ0UuMjYvMDUvMjAyNC5VU0QBAAAABX4AAAIAAAADNyw1AMn0jK3rR94IKIT2tetH3ggoQ0lRLklOU0cuSVFfTEFTVFNBTEVQUklDRS4zMS8wNS8yMDI0LlVTRAEAAAAFfgAAAgAAAAQ5LDY2AMn0jK3rR94IN6v2tetH3ggoQ0lRLklOU0cuSVFfTEFTVFNBTEVQUklDRS4wMS8wNi8yMDI0LlVTRAEAAAAFfgAAAgAAAAQ5LDY2AMn0jK3rR94IKIT2tetH3ggoQ0lRLklOU0cuSVFfTEFTVFNBTEVQUklDRS4wMi8wNi8yMDI0LlVTRAEAAAAFfgAAAgAAAAQ5LDY2AMn0jK3rR94IKIT2tetH3ggoQ0lRLklOU0cuSVFfTEFTVFNBTEVQUklDRS4wMy8wNi8yMDI0LlVTRAEAAAAFfgAAAgAAAAQ4LDQ5AMn0jK3rR94IN6v2tetH3ggoQ0lRLklOU0cuSVFfTEFTVFNBTEVQUklDRS4yMy8wNS8yMDI0LlVTRAEAAAAFfgAAAgAAAAQ2LDU5AMn0jK3rR94IN6v2tetH3ggoQ0lRLklOU0cuSVFfTEFTVFNBTEVQUklDRS4wNi8wNi8yMDI0LlVTRAEAAAAFfgAAAgAAAAQ4LDU0AMn0jK3rR94IN6v2tetH3ggpQ0lRLlNURUNILklRX0xBU1RTQUxFUFJJQ0UuMjkvMDUvMjAyNC5VU0QBAAAANC3zGAIAAAANMCwwMzgzMDE2ODY5NwDJ9Iyt60feCEjS9rXrR94IKUNJUS5TVEVDSC5JUV9MQVNUU0FMRVBSSUNFLjI4LzA1LzIwMjQuVVNEAQAAADQt8xgCAAAADTAs</t>
  </si>
  <si>
    <t>MDQwMjExMTc2NzQAyfSMretH3ghI0va160feCClDSVEuU1RFQ0guSVFfTEFTVFNBTEVQUklDRS4yNy8wNS8yMDI0LlVTRAEAAAA0LfMYAgAAAA0wLDAzOTM2NTc3MzkyAMn0jK3rR94ISNL2tetH3ggpQ0lRLlNURUNILklRX0xBU1RTQUxFUFJJQ0UuMjYvMDUvMjAyNC5VU0QBAAAANC3zGAIAAAANMCwwNDA2NTg3MjY2NADJ9Iyt60feCEjS9rXrR94IKUNJUS5TVEVDSC5JUV9MQVNUU0FMRVBSSUNFLjMxLzA1LzIwMjQuVVNEAQAAADQt8xgCAAAADTAsMDM3NzQ2MDk2MzUAyfSMretH3gg3q/a160feCClDSVEuU1RFQ0guSVFfTEFTVFNBTEVQUklDRS4wMS8wNi8yMDI0LlVTRAEAAAA0LfMYAgAAAA0wLDAzNzc0NjA5NjM1AMn0jK3rR94IN6v2tetH3ggpQ0lRLlNURUNILklRX0xBU1RTQUxFUFJJQ0UuMDIvMDYvMjAyNC5VU0QBAAAANC3zGAIAAAANMCwwMzc3NDYwOTYzNQDJ9Iyt60feCEjS9rXrR94IKUNJUS5TVEVDSC5JUV9MQVNUU0FMRVBSSUNFLjAzLzA2LzIwMjQuVVNEAQAAADQt8xgCAAAADTAsMDM3OTEwODE0MTMAyfSMretH3ghI0va160feCClDSVEuU1RFQ0guSVFfTEFTVFNBTEVQUklDRS4yMy8wNS8yMDI0LlVTRAEAAAA0LfMYAgAAAA0wLDAzOTU4ODI4MTM1AMn0jK3rR94IN6v2tetH3ggpQ0lRLlNURUNILklRX0xBU1RTQUxFUFJJQ0UuMDYvMDYvMjAyNC5VU0QBAAAANC3zGAIAAAAMMCww</t>
  </si>
  <si>
    <t>MzcwNDQ2NTg4AMn0jK3rR94IN6v2tetH3ggpQ0lRLk1BR0xFLklRX0xBU1RTQUxFUFJJQ0UuMjkvMDUvMjAyNC5VU0QBAAAAkePlJwIAAAAMMywwNDExODI2ODEyAMn0jK3rR94IV/n2tetH3ggpQ0lRLk1BR0xFLklRX0xBU1RTQUxFUFJJQ0UuMjgvMDUvMjAyNC5VU0QBAAAAkePlJwIAAAAMMywxNjcyOTk4MjI0AMn0jK3rR94ISNL2tetH3ggpQ0lRLk1BR0xFLklRX0xBU1RTQUxFUFJJQ0UuMjcvMDUvMjAyNC5VU0QBAAAAkePlJwIAAAAMMywxMjg4NDYyNTI0AMn0jK3rR94IV/n2tetH3ggpQ0lRLk1BR0xFLklRX0xBU1RTQUxFUFJJQ0UuMjYvMDUvMjAyNC5VU0QBAAAAkePlJwIAAAAMMywxMzY5OTI2NjI0AMn0jK3rR94IV/n2tetH3ggpQ0lRLk1BR0xFLklRX0xBU1RTQUxFUFJJQ0UuMzEvMDUvMjAyNC5VU0QBAAAAkePlJwIAAAAMMywyMDg1OTk3OTQ0AMn0jK3rR94IV/n2tetH3ggpQ0lRLk1BR0xFLklRX0xBU1RTQUxFUFJJQ0UuMDEvMDYvMjAyNC5VU0QBAAAAkePlJwIAAAAMMywyMDg1OTk3OTQ0AMn0jK3rR94IZyD3tetH3ggpQ0lRLk1BR0xFLklRX0xBU1RTQUxFUFJJQ0UuMDIvMDYvMjAyNC5VU0QBAAAAkePlJwIAAAAMMywyMDg1OTk3OTQ0AMn0jK3rR94IV/n2tetH3ggpQ0lRLk1BR0xFLklRX0xBU1RTQUxFUFJJQ0UuMDMvMDYvMjAyNC5VU0QBAAAAkePlJwIAAAAMMywyNDQ4MzMyMjU0</t>
  </si>
  <si>
    <t>AMn0jK3rR94IZyD3tetH3ggpQ0lRLk1BR0xFLklRX0xBU1RTQUxFUFJJQ0UuMjMvMDUvMjAyNC5VU0QBAAAAkePlJwIAAAALMywwOTE4MDMyODYAyfSMretH3ghX+fa160feCClDSVEuTUFHTEUuSVFfTEFTVFNBTEVQUklDRS4wNi8wNi8yMDI0LlVTRAEAAACR4+UnAgAAAAwzLDI4NjYzMTc2NDgAyfSMretH3ghnIPe160feCCdDSVEuTVJLLklRX0xBU1RTQUxFUFJJQ0UuMjgvMDUvMjAyNC5VU0QBAAAA9mYEAAIAAAAGMTI2LDA5AMn0jK3rR94IZyD3tetH3ggnQ0lRLk1SSy5JUV9MQVNUU0FMRVBSSUNFLjI3LzA1LzIwMjQuVVNEAQAAAPZmBAACAAAABjEyOSw0OQDJ9Iyt60feCGcg97XrR94IJ0NJUS5NUksuSVFfTEFTVFNBTEVQUklDRS4yNi8wNS8yMDI0LlVTRAEAAAD2ZgQAAgAAAAYxMjksNDkAyfSMretH3ghnIPe160feCCdDSVEuTVJLLklRX0xBU1RTQUxFUFJJQ0UuMjUvMDUvMjAyNC5VU0QBAAAA9mYEAAIAAAAGMTI5LDQ5AMn0jK3rR94IZyD3tetH3ggnQ0lRLk1SSy5JUV9MQVNUU0FMRVBSSUNFLjMwLzA1LzIwMjQuVVNEAQAAAPZmBAACAAAABjEyNCw1MwDJ9Iyt60feCHdH97XrR94IJ0NJUS5NUksuSVFfTEFTVFNBTEVQUklDRS4zMS8wNS8yMDI0LlVTRAEAAAD2ZgQAAgAAAAYxMjUsNTQAyfSMretH3ghnIPe160feCCdDSVEuTVJLLklRX0xBU1RTQUxFUFJJQ0UuMDEvMDYvMjAyNC5VU0QB</t>
  </si>
  <si>
    <t>AAAA9mYEAAIAAAAGMTI1LDU0AMn0jK3rR94Id0f3tetH3ggnQ0lRLk1SSy5JUV9MQVNUU0FMRVBSSUNFLjAyLzA2LzIwMjQuVVNEAQAAAPZmBAACAAAABjEyNSw1NADJ9Iyt60feCHdH97XrR94IJ0NJUS5NUksuSVFfTEFTVFNBTEVQUklDRS4yMi8wNS8yMDI0LlVTRAEAAAD2ZgQAAgAAAAUxMzEsMQDJ9Iyt60feCHdH97XrR94IJ0NJUS5NUksuSVFfTEFTVFNBTEVQUklDRS4wNS8wNi8yMDI0LlVTRAEAAAD2ZgQAAgAAAAYxMjksNDUAyfSMretH3gh3R/e160feCClDSVEuTVVMVEkuSVFfTEFTVFNBTEVQUklDRS4yNy8wNS8yMDI0LlVTRAEAAADWS18BAgAAAAwxNCw0MzUzNjI5ODYAyfSMretH3giHbve160feCClDSVEuTVVMVEkuSVFfTEFTVFNBTEVQUklDRS4yNi8wNS8yMDI0LlVTRAEAAADWS18BAgAAAAwxNCw1Njg3MjMyNDYAyfSMretH3giHbve160feCClDSVEuTVVMVEkuSVFfTEFTVFNBTEVQUklDRS4yNS8wNS8yMDI0LlVTRAEAAADWS18BAgAAAAwxNCw1Njg3MjMyNDYAyfSMretH3giHbve160feCClDSVEuTVVMVEkuSVFfTEFTVFNBTEVQUklDRS4zMC8wNS8yMDI0LlVTRAEAAADWS18BAgAAAAwxNCw1NDQ5OTgyNDQAyfSMretH3gh3R/e160feCClDSVEuTVVMVEkuSVFfTEFTVFNBTEVQUklDRS4yMi8wNS8yMDI0LlVTRAEAAADWS18BAgAAAA0xNCwyNjk5MjcxODI1AMn0jK3rR94Id0f3tetH</t>
  </si>
  <si>
    <t>3ggnQ0lRLldPUi5JUV9MQVNUU0FMRVBSSUNFLjI4LzA1LzIwMjQuVVNEAQAAAH7NBAACAAAABTU3LDE1AMn0jK3rR94IlpX3tetH3ggnQ0lRLldPUi5JUV9MQVNUU0FMRVBSSUNFLjI3LzA1LzIwMjQuVVNEAQAAAH7NBAACAAAABTU2LDk5AMn0jK3rR94Ih273tetH3ggnQ0lRLldPUi5JUV9MQVNUU0FMRVBSSUNFLjI2LzA1LzIwMjQuVVNEAQAAAH7NBAACAAAABTU2LDk5AMn0jK3rR94IlpX3tetH3ggnQ0lRLldPUi5JUV9MQVNUU0FMRVBSSUNFLjI1LzA1LzIwMjQuVVNEAQAAAH7NBAACAAAABTU2LDk5AMn0jK3rR94IlpX3tetH3ggnQ0lRLldPUi5JUV9MQVNUU0FMRVBSSUNFLjMwLzA1LzIwMjQuVVNEAQAAAH7NBAACAAAABTU2LDU3AMn0jK3rR94Ip7z3tetH3ggnQ0lRLldPUi5JUV9MQVNUU0FMRVBSSUNFLjMxLzA1LzIwMjQuVVNEAQAAAH7NBAACAAAABTU3LDAzAMn0jK3rR94Ip7z3tetH3ggnQ0lRLldPUi5JUV9MQVNUU0FMRVBSSUNFLjAxLzA2LzIwMjQuVVNEAQAAAH7NBAACAAAABTU3LDAzAMn0jK3rR94IlpX3tetH3ggnQ0lRLldPUi5JUV9MQVNUU0FMRVBSSUNFLjAyLzA2LzIwMjQuVVNEAQAAAH7NBAACAAAABTU3LDAzAEscja3rR94Ip7z3tetH3ggnQ0lRLldPUi5JUV9MQVNUU0FMRVBSSUNFLjIyLzA1LzIwMjQuVVNEAQAAAH7NBAACAAAABDU2LDMASxyNretH3giWlfe160feCCdDSVEu</t>
  </si>
  <si>
    <t>V09SLklRX0xBU1RTQUxFUFJJQ0UuMDUvMDYvMjAyNC5VU0QBAAAAfs0EAAIAAAAFNTQsMjYASxyNretH3ginvPe160feCCdDSVEuSEVYLklRX0xBU1RTQUxFUFJJQ0UuMjgvMDUvMjAyNC5VU0QBAAAAzaR2bwIAAAAOMCwyNDkxNzI2MTkwODUASxyNretH3ginvPe160feCCdDSVEuSEVYLklRX0xBU1RTQUxFUFJJQ0UuMjcvMDUvMjAyNC5VU0QBAAAAzaR2bwIAAAAPMCwyMjY3NDE0MzgxNTc1AEscja3rR94Ip7z3tetH3ggnQ0lRLkhFWC5JUV9MQVNUU0FMRVBSSUNFLjI2LzA1LzIwMjQuVVNEAQAAAM2kdm8CAAAADjAsMjI2MjQ0MzQzOTA1AEscja3rR94Ip7z3tetH3ggnQ0lRLkhFWC5JUV9MQVNUU0FMRVBSSUNFLjI1LzA1LzIwMjQuVVNEAQAAAM2kdm8CAAAADjAsMjI2MjQ0MzQzOTA1AEscja3rR94ItuP3tetH3ggnQ0lRLkhFWC5JUV9MQVNUU0FMRVBSSUNFLjMwLzA1LzIwMjQuVVNEAQAAAM2kdm8CAAAACzAsMjQyMTA5MTUzAEscja3rR94ItuP3tetH3ggnQ0lRLkhFWC5JUV9MQVNUU0FMRVBSSUNFLjMxLzA1LzIwMjQuVVNEAQAAAM2kdm8CAAAADzAsMjQ0OTMyNzU0Nzk3NQBLHI2t60feCLbj97XrR94IJ0NJUS5IRVguSVFfTEFTVFNBTEVQUklDRS4wMS8wNi8yMDI0LlVTRAEAAADNpHZvAgAAAA8wLDI0NDkzMjc1NDc5NzUASxyNretH3gi24/e160feCCdDSVEuSEVYLklRX0xBU1RTQUxFUFJJ</t>
  </si>
  <si>
    <t>Q0UuMDIvMDYvMjAyNC5VU0QBAAAAzaR2bwIAAAAPMCwyNDQ5MzI3NTQ3OTc1AEscja3rR94ItuP3tetH3ggnQ0lRLkhFWC5JUV9MQVNUU0FMRVBSSUNFLjIyLzA1LzIwMjQuVVNEAQAAAM2kdm8CAAAADTAsMjI1ODk4ODIyNzYASxyNretH3gi24/e160feCCdDSVEuSEVYLklRX0xBU1RTQUxFUFJJQ0UuMDUvMDYvMjAyNC5VU0QBAAAAzaR2bwIAAAANMCwyOTM2NTU3NTg4NwBLHI2t60feCLbj97XrR94IKENJUS5HUk9ZLklRX0xBU1RTQUxFUFJJQ0UuMjcvMDUvMjAyNC5VU0QBAAAAqhAmKAIAAAAEMSw5MgBLHI2t60feCMgK+LXrR94IKENJUS5HUk9ZLklRX0xBU1RTQUxFUFJJQ0UuMjYvMDUvMjAyNC5VU0QBAAAAqhAmKAIAAAAEMSw5MgBLHI2t60feCMgK+LXrR94IKENJUS5HUk9ZLklRX0xBU1RTQUxFUFJJQ0UuMjUvMDUvMjAyNC5VU0QBAAAAqhAmKAIAAAAEMSw5MgBLHI2t60feCMgK+LXrR94IKENJUS5HUk9ZLklRX0xBU1RTQUxFUFJJQ0UuMjQvMDUvMjAyNC5VU0QBAAAAqhAmKAIAAAAEMSw5MgBLHI2t60feCMgK+LXrR94IKENJUS5HUk9ZLklRX0xBU1RTQUxFUFJJQ0UuMjkvMDUvMjAyNC5VU0QBAAAAqhAmKAIAAAAEMSw1MQBLHI2t60feCMgK+LXrR94IKENJUS5HUk9ZLklRX0xBU1RTQUxFUFJJQ0UuMzAvMDUvMjAyNC5VU0QBAAAAqhAmKAIAAAAEMSw0OABLHI2t60feCNgx+LXrR94IKENJ</t>
  </si>
  <si>
    <t>US5HUk9ZLklRX0xBU1RTQUxFUFJJQ0UuMzEvMDUvMjAyNC5VU0QBAAAAqhAmKAIAAAAEMSw2MwBLHI2t60feCMgK+LXrR94IKENJUS5HUk9ZLklRX0xBU1RTQUxFUFJJQ0UuMDEvMDYvMjAyNC5VU0QBAAAAqhAmKAIAAAAEMSw2MwBLHI2t60feCMgK+LXrR94IKENJUS5HUk9ZLklRX0xBU1RTQUxFUFJJQ0UuMjEvMDUvMjAyNC5VU0QBAAAAqhAmKAIAAAAEMSw5OABLHI2t60feCMgK+LXrR94IKENJUS5HUk9ZLklRX0xBU1RTQUxFUFJJQ0UuMDQvMDYvMjAyNC5VU0QBAAAAqhAmKAIAAAAEMSw1NQBLHI2t60feCMgK+LXrR94IKENJUS4zNDA3LklRX0xBU1RTQUxFUFJJQ0UuMjcvMDUvMjAyNC5VU0QBAAAAiFYNAAIAAAALNiw2NTE0MDM5NTUASxyNretH3gjYMfi160feCChDSVEuMzQwNy5JUV9MQVNUU0FMRVBSSUNFLjI2LzA1LzIwMjQuVVNEAQAAAIhWDQACAAAADDYsNjU1NzkxMTAxNQBLHI2t60feCNgx+LXrR94IKENJUS4zNDA3LklRX0xBU1RTQUxFUFJJQ0UuMjUvMDUvMjAyNC5VU0QBAAAAiFYNAAIAAAAMNiw2NTU3OTExMDE1AEscja3rR94I6Fj4tetH3ggoQ0lRLjM0MDcuSVFfTEFTVFNBTEVQUklDRS4yNC8wNS8yMDI0LlVTRAEAAACIVg0AAgAAAAw2LDY1NTc5MTEwMTUASxyNretH3gjYMfi160feCChDSVEuMzQwNy5JUV9MQVNUU0FMRVBSSUNFLjI5LzA1LzIwMjQuVVNEAQAAAIhWDQACAAAA</t>
  </si>
  <si>
    <t>CzYsNTI0OTU0NDk2AEscja3rR94I6Fj4tetH3ggoQ0lRLjM0MDcuSVFfTEFTVFNBTEVQUklDRS4zMC8wNS8yMDI0LlVTRAEAAACIVg0AAgAAAAs2LDQzMzY1ODc4NABLHI2t60feCOhY+LXrR94IKENJUS4zNDA3LklRX0xBU1RTQUxFUFJJQ0UuMzEvMDUvMjAyNC5VU0QBAAAAiFYNAAIAAAALNiw1MTk2NTA4NzUASxyNretH3gjYMfi160feCChDSVEuMzQwNy5JUV9MQVNUU0FMRVBSSUNFLjAxLzA2LzIwMjQuVVNEAQAAAIhWDQACAAAACzYsNTE5NjUwODc1AEscja3rR94I6Fj4tetH3ggoQ0lRLjM0MDcuSVFfTEFTVFNBTEVQUklDRS4yMS8wNS8yMDI0LlVTRAEAAACIVg0AAgAAAAs2LDg5ODIzMDIzNABLHI2t60feCNgx+LXrR94IKENJUS4zNDA3LklRX0xBU1RTQUxFUFJJQ0UuMDQvMDYvMjAyNC5VU0QBAAAAiFYNAAIAAAALNiw2NzQ1MDIxNTkASxyNretH3gj5f/i160feCChDSVEuTElOSy5JUV9MQVNUU0FMRVBSSUNFLjI3LzA1LzIwMjQuVVNEAQAAAHD/BAACAAAACDMsNDAzNDY2AEscja3rR94I+X/4tetH3ggoQ0lRLkxJTksuSVFfTEFTVFNBTEVQUklDRS4yNi8wNS8yMDI0LlVTRAEAAABw/wQAAgAAAAgzLDQwMzQ2NgBLHI2t60feCOhY+LXrR94IKENJUS5MSU5LLklRX0xBU1RTQUxFUFJJQ0UuMjUvMDUvMjAyNC5VU0QBAAAAcP8EAAIAAAAIMyw0MDM0NjYASxyNretH3gj5f/i160feCChDSVEu</t>
  </si>
  <si>
    <t>TElOSy5JUV9MQVNUU0FMRVBSSUNFLjI0LzA1LzIwMjQuVVNEAQAAAHD/BAACAAAACDMsNDAzNDY2AEscja3rR94I+X/4tetH3ggoQ0lRLkxJTksuSVFfTEFTVFNBTEVQUklDRS4yOS8wNS8yMDI0LlVTRAEAAABw/wQAAgAAAAgzLDIxMzMzMwBLHI2t60feCPl/+LXrR94IKENJUS5MSU5LLklRX0xBU1RTQUxFUFJJQ0UuMzAvMDUvMjAyNC5VU0QBAAAAcP8EAAIAAAAIMywxMTMzMzMASxyNretH3gj5f/i160feCChDSVEuTElOSy5JUV9MQVNUU0FMRVBSSUNFLjMxLzA1LzIwMjQuVVNEAQAAAHD/BAACAAAACDMsMDI2NjY2AEscja3rR94I+X/4tetH3ggoQ0lRLkxJTksuSVFfTEFTVFNBTEVQUklDRS4wMS8wNi8yMDI0LlVTRAEAAABw/wQAAgAAAAgzLDAyNjY2NgBLHI2t60feCAmn+LXrR94IKENJUS5MSU5LLklRX0xBU1RTQUxFUFJJQ0UuMjEvMDUvMjAyNC5VU0QBAAAAcP8EAAIAAAAIMyw0MTMzMzMASxyNretH3ggJp/i160feCChDSVEuTElOSy5JUV9MQVNUU0FMRVBSSUNFLjA0LzA2LzIwMjQuVVNEAQAAAHD/BAACAAAACDMsMTU3MzMzAEscja3rR94ICaf4tetH3ggnQ0lRLk1ZRC5JUV9MQVNUU0FMRVBSSUNFLjI3LzA1LzIwMjQuVVNEAQAAADZPXgACAAAABTEwLDczAEscja3rR94ICaf4tetH3ggnQ0lRLk1ZRC5JUV9MQVNUU0FMRVBSSUNFLjI2LzA1LzIwMjQuVVNEAQAAADZPXgACAAAABTEwLDcz</t>
  </si>
  <si>
    <t>AEscja3rR94ICaf4tetH3ggnQ0lRLk1ZRC5JUV9MQVNUU0FMRVBSSUNFLjI1LzA1LzIwMjQuVVNEAQAAADZPXgACAAAABTEwLDczAEscja3rR94ICaf4tetH3ggnQ0lRLk1ZRC5JUV9MQVNUU0FMRVBSSUNFLjI0LzA1LzIwMjQuVVNEAQAAADZPXgACAAAABTEwLDczAEscja3rR94IF874tetH3ggnQ0lRLk1ZRC5JUV9MQVNUU0FMRVBSSUNFLjI5LzA1LzIwMjQuVVNEAQAAADZPXgACAAAABTEwLDU1AEscja3rR94ICaf4tetH3ggnQ0lRLk1ZRC5JUV9MQVNUU0FMRVBSSUNFLjMwLzA1LzIwMjQuVVNEAQAAADZPXgACAAAABjEwLDUzNQBLHI2t60feCBfO+LXrR94IJ0NJUS5NWUQuSVFfTEFTVFNBTEVQUklDRS4zMS8wNS8yMDI0LlVTRAEAAAA2T14AAgAAAAUxMCw1OQBLHI2t60feCAmn+LXrR94IJ0NJUS5NWUQuSVFfTEFTVFNBTEVQUklDRS4wMS8wNi8yMDI0LlVTRAEAAAA2T14AAgAAAAUxMCw1OQBLHI2t60feCBfO+LXrR94IJ0NJUS5NWUQuSVFfTEFTVFNBTEVQUklDRS4yMS8wNS8yMDI0LlVTRAEAAAA2T14AAgAAAAUxMCw4MQBLHI2t60feCAmn+LXrR94IJ0NJUS5NWUQuSVFfTEFTVFNBTEVQUklDRS4wNC8wNi8yMDI0LlVTRAEAAAA2T14AAgAAAAUxMCw2NABLHI2t60feCBfO+LXrR94IKUNJUS5DVFBOVi5JUV9MQVNUU0FMRVBSSUNFLjI3LzA1LzIwMjQuVVNEAQAAAJm04ykCAAAADDE3LDkxNzI1</t>
  </si>
  <si>
    <t>NDg2MQBLHI2t60feCCj1+LXrR94IKUNJUS5DVFBOVi5JUV9MQVNUU0FMRVBSSUNFLjI2LzA1LzIwMjQuVVNEAQAAAJm04ykCAAAADjE3LDkzMTE4NDE5MzQ0AEscja3rR94IF874tetH3ggpQ0lRLkNUUE5WLklRX0xBU1RTQUxFUFJJQ0UuMjUvMDUvMjAyNC5VU0QBAAAAmbTjKQIAAAAOMTcsOTMxMTg0MTkzNDQASxyNretH3ggo9fi160feCClDSVEuQ1RQTlYuSVFfTEFTVFNBTEVQUklDRS4yNC8wNS8yMDI0LlVTRAEAAACZtOMpAgAAAA4xNyw5MzExODQxOTM0NABLHI2t60feCCj1+LXrR94IKUNJUS5DVFBOVi5JUV9MQVNUU0FMRVBSSUNFLjI5LzA1LzIwMjQuVVNEAQAAAJm04ykCAAAADjE3LDU4NTk4MzEzMDI4AEscja3rR94IKPX4tetH3ggpQ0lRLkNUUE5WLklRX0xBU1RTQUxFUFJJQ0UuMzAvMDUvMjAyNC5VU0QBAAAAmbTjKQIAAAAOMTcsOTU3MDU5MjEyMjQASxyNretH3ggo9fi160feCClDSVEuQ1RQTlYuSVFfTEFTVFNBTEVQUklDRS4zMS8wNS8yMDI0LlVTRAEAAACZtOMpAgAAAA4xNyw4MDcxNzkyNjc5MgBLHI2t60feCBfO+LXrR94IKUNJUS5DVFBOVi5JUV9MQVNUU0FMRVBSSUNFLjAxLzA2LzIwMjQuVVNEAQAAAJm04ykCAAAADjE3LDgwNzE3OTI2NzkyAEscja3rR94IKPX4tetH3ggpQ0lRLkNUUE5WLklRX0xBU1RTQUxFUFJJQ0UuMjEvMDUvMjAyNC5VU0QBAAAAmbTjKQIAAAANMTgs</t>
  </si>
  <si>
    <t>MTc1ODk1NzY0MgBLHI2t60feCBfO+LXrR94IKUNJUS5DVFBOVi5JUV9MQVNUU0FMRVBSSUNFLjA0LzA2LzIwMjQuVVNEAQAAAJm04ykCAAAADTE4LDM4OTU1Mzg2NTgASxyNretH3gg4HPm160feCChDSVEuV0lITC5JUV9MQVNUU0FMRVBSSUNFLjI2LzA1LzIwMjQuVVNEAQAAADeBXgECAAAADDksMjMyNTI2MzA4OABLHI2t60feCDgc+bXrR94IKENJUS5XSUhMLklRX0xBU1RTQUxFUFJJQ0UuMjUvMDUvMjAyNC5VU0QBAAAAN4FeAQIAAAAMOSwyMzI1MjYzMDg4AEscja3rR94IKPX4tetH3ggoQ0lRLldJSEwuSVFfTEFTVFNBTEVQUklDRS4yNC8wNS8yMDI0LlVTRAEAAAA3gV4BAgAAAAw5LDIzMjUyNjMwODgASxyNretH3gg4HPm160feCChDSVEuV0lITC5JUV9MQVNUU0FMRVBSSUNFLjIzLzA1LzIwMjQuVVNEAQAAADeBXgECAAAACzksMTQ1MDMyNjExAEscja3rR94IOBz5tetH3ggoQ0lRLldJSEwuSVFfTEFTVFNBTEVQUklDRS4yOC8wNS8yMDI0LlVTRAEAAAA3gV4BAgAAAAw5LDMyMTcyMzcyODgACkiNretH3gg4HPm160feCChDSVEuV0lITC5JUV9MQVNUU0FMRVBSSUNFLjI5LzA1LzIwMjQuVVNEAQAAADeBXgECAAAADTgsOTc4MDU5MzY1OTUACkiNretH3gg4HPm160feCChDSVEuV0lITC5JUV9MQVNUU0FMRVBSSUNFLjMwLzA1LzIwMjQuVVNEAQAAADeBXgECAAAADDksMjQ5NTg4NzM3MQAKSI2t</t>
  </si>
  <si>
    <t>60feCDgc+bXrR94IKENJUS5XSUhMLklRX0xBU1RTQUxFUFJJQ0UuMzEvMDUvMjAyNC5VU0QBAAAAN4FeAQIAAAAMOSw0NjQ0MjAxMDM2AApIja3rR94ISUP5tetH3ggoQ0lRLldJSEwuSVFfTEFTVFNBTEVQUklDRS4yMC8wNS8yMDI0LlVTRAEAAAA3gV4BAgAAAAw5LDM2OTg3MTQzODIACkiNretH3ghJQ/m160feCChDSVEuV0lITC5JUV9MQVNUU0FMRVBSSUNFLjAzLzA2LzIwMjQuVVNEAQAAADeBXgECAAAADDksNjQ4MDk4NzkxNQAKSI2t60feCElD+bXrR94IJ0NJUS5OV0wuSVFfTEFTVFNBTEVQUklDRS4yNi8wNS8yMDI0LlVTRAEAAAB3cwQAAgAAAAQ3LDg2AApIja3rR94ISUP5tetH3ggnQ0lRLk5XTC5JUV9MQVNUU0FMRVBSSUNFLjI1LzA1LzIwMjQuVVNEAQAAAHdzBAACAAAABDcsODYACkiNretH3ghJQ/m160feCCdDSVEuTldMLklRX0xBU1RTQUxFUFJJQ0UuMjQvMDUvMjAyNC5VU0QBAAAAd3MEAAIAAAAENyw4NgAKSI2t60feCFdq+bXrR94IJ0NJUS5OV0wuSVFfTEFTVFNBTEVQUklDRS4yMy8wNS8yMDI0LlVTRAEAAAB3cwQAAgAAAAQ3LDg1AApIja3rR94IV2r5tetH3ggnQ0lRLk5XTC5JUV9MQVNUU0FMRVBSSUNFLjI4LzA1LzIwMjQuVVNEAQAAAHdzBAACAAAABDcsNzEACkiNretH3ghJQ/m160feCCdDSVEuTldMLklRX0xBU1RTQUxFUFJJQ0UuMjkvMDUvMjAyNC5VU0QBAAAAd3MEAAIA</t>
  </si>
  <si>
    <t>AAAENywzNwAKSI2t60feCFdq+bXrR94IJ0NJUS5OV0wuSVFfTEFTVFNBTEVQUklDRS4zMC8wNS8yMDI0LlVTRAEAAAB3cwQAAgAAAAQ3LDQ3AApIja3rR94IV2r5tetH3ggnQ0lRLk5XTC5JUV9MQVNUU0FMRVBSSUNFLjMxLzA1LzIwMjQuVVNEAQAAAHdzBAACAAAABDcsNzIACkiNretH3ghXavm160feCCdDSVEuTldMLklRX0xBU1RTQUxFUFJJQ0UuMjAvMDUvMjAyNC5VU0QBAAAAd3MEAAIAAAAEOCwyMgAKSI2t60feCElD+bXrR94IJ0NJUS5OV0wuSVFfTEFTVFNBTEVQUklDRS4wMy8wNi8yMDI0LlVTRAEAAAB3cwQAAgAAAAQ3LDY0AApIja3rR94IV2r5tetH3ggnQ0lRLklWTi5JUV9MQVNUU0FMRVBSSUNFLjI2LzA1LzIwMjQuVVNEAQAAAKgadwICAAAADjE0LDE5MzI3NDQ4NTM5AApIja3rR94IZ5H5tetH3ggnQ0lRLklWTi5JUV9MQVNUU0FMRVBSSUNFLjI1LzA1LzIwMjQuVVNEAQAAAKgadwICAAAADjE0LDE5MzI3NDQ4NTM5AApIja3rR94IV2r5tetH3ggnQ0lRLklWTi5JUV9MQVNUU0FMRVBSSUNFLjI0LzA1LzIwMjQuVVNEAQAAAKgadwICAAAADjE0LDE5MzI3NDQ4NTM5AApIja3rR94IZ5H5tetH3ggnQ0lRLklWTi5JUV9MQVNUU0FMRVBSSUNFLjIzLzA1LzIwMjQuVVNEAQAAAKgadwICAAAADjEzLDgwMjgxODk0OTg5AApIja3rR94IZ5H5tetH3ggnQ0lRLklWTi5JUV9MQVNUU0FMRVBSSUNF</t>
  </si>
  <si>
    <t>LjI4LzA1LzIwMjQuVVNEAQAAAKgadwICAAAADjE1LDA5ODA3NTE1MzkzAApIja3rR94IZ5H5tetH3ggnQ0lRLklWTi5JUV9MQVNUU0FMRVBSSUNFLjI5LzA1LzIwMjQuVVNEAQAAAKgadwICAAAADTE0LDYyNDY0MTUwMTIACkiNretH3ghnkfm160feCCdDSVEuSVZOLklRX0xBU1RTQUxFUFJJQ0UuMzAvMDUvMjAyNC5VU0QBAAAAqBp3AgIAAAAOMTQsNDY5NjI5ODg1MjUACkiNretH3ghnkfm160feCCdDSVEuSVZOLklRX0xBU1RTQUxFUFJJQ0UuMzEvMDUvMjAyNC5VU0QBAAAAqBp3AgIAAAAOMTQsNDI0NTU2OTE5MDQACkiNretH3gh4uPm160feCCdDSVEuSVZOLklRX0xBU1RTQUxFUFJJQ0UuMjAvMDUvMjAyNC5VU0QBAAAAqBp3AgIAAAAMMTUsNDg5NDA3OTgyAApIja3rR94IZ5H5tetH3ggnQ0lRLklWTi5JUV9MQVNUU0FMRVBSSUNFLjAzLzA2LzIwMjQuVVNEAQAAAKgadwICAAAADjE0LDA0OTI1MzEyMjk2AApIja3rR94IeLj5tetH3ggoQ0lRLjY5MDIuSVFfTEFTVFNBTEVQUklDRS4yMy8wNS8yMDI0LlVTRAEAAAA8Vg0AAgAAAAwxNiwyNjk2ODM3OTYACkiNretH3gh4uPm160feCChDSVEuNjkwMi5JUV9MQVNUU0FMRVBSSUNFLjIyLzA1LzIwMjQuVVNEAQAAADxWDQACAAAACzE2LDM3NzQxNjIyAApIja3rR94IiN/5tetH3ggoQ0lRLjY5MDIuSVFfTEFTVFNBTEVQUklDRS4yMS8wNS8yMDI0LlVT</t>
  </si>
  <si>
    <t>RAEAAAA8Vg0AAgAAAAwxNiw2OTE1Mzk0NTIACkiNretH3gh4uPm160feCChDSVEuNjkwMi5JUV9MQVNUU0FMRVBSSUNFLjIwLzA1LzIwMjQuVVNEAQAAADxWDQACAAAADTE2LDczMzYyNzU5MzUACkiNretH3gh4uPm160feCChDSVEuNjkwMi5JUV9MQVNUU0FMRVBSSUNFLjI1LzA1LzIwMjQuVVNEAQAAADxWDQACAAAADDE2LDE3MjcxMjEyNgAKSI2t60feCHi4+bXrR94IKENJUS42OTAyLklRX0xBU1RTQUxFUFJJQ0UuMjYvMDUvMjAyNC5VU0QBAAAAPFYNAAIAAAAMMTYsMTcyNzEyMTI2AApIja3rR94IeLj5tetH3ggoQ0lRLjY5MDIuSVFfTEFTVFNBTEVQUklDRS4yNy8wNS8yMDI0LlVTRAEAAAA8Vg0AAgAAAA0xNiwxODg0ODQxMjI1AApIja3rR94IeLj5tetH3ggoQ0lRLjY5MDIuSVFfTEFTVFNBTEVQUklDRS4yOC8wNS8yMDI0LlVTRAEAAAA8Vg0AAgAAAAwxNiwxMzA3Nzg3NTYACkiNretH3giI3/m160feCChDSVEuNjkwMi5JUV9MQVNUU0FMRVBSSUNFLjE3LzA1LzIwMjQuVVNEAQAAADxWDQACAAAACzE2LDkzNjIzMDg3AApIja3rR94IiN/5tetH3ggoQ0lRLjY5MDIuSVFfTEFTVFNBTEVQUklDRS4zMS8wNS8yMDI0LlVTRAEAAAA8Vg0AAgAAAAwxNiwxNzUwOTQ4MDUACkiNretH3giI3/m160feCClDSVEuS1JPTkEuSVFfTEFTVFNBTEVQUklDRS4yMy8wNS8yMDI0LlVTRAEAAADAY/8pAgAAAAsz</t>
  </si>
  <si>
    <t>LDYzMTkzNzU5NQAKSI2t60feCJYG+rXrR94IKUNJUS5LUk9OQS5JUV9MQVNUU0FMRVBSSUNFLjIyLzA1LzIwMjQuVVNEAQAAAMBj/ykCAAAACzMsNTQxNTE1NDEyAApIja3rR94IiN/5tetH3ggpQ0lRLktST05BLklRX0xBU1RTQUxFUFJJQ0UuMjEvMDUvMjAyNC5VU0QBAAAAwGP/KQIAAAAMMyw0MTk5OTgyMDg0AApIja3rR94Ilgb6tetH3ggpQ0lRLktST05BLklRX0xBU1RTQUxFUFJJQ0UuMjAvMDUvMjAyNC5VU0QBAAAAwGP/KQIAAAAMMyw0MDM4MjU1NTI0AApIja3rR94Ilgb6tetH3ggpQ0lRLktST05BLklRX0xBU1RTQUxFUFJJQ0UuMjUvMDUvMjAyNC5VU0QBAAAAwGP/KQIAAAALMyw2NjI5NTU1MDQACkiNretH3giI3/m160feCClDSVEuS1JPTkEuSVFfTEFTVFNBTEVQUklDRS4yNi8wNS8yMDI0LlVTRAEAAADAY/8pAgAAAAszLDY2Mjk1NTUwNAAKSI2t60feCIjf+bXrR94IKUNJUS5LUk9OQS5JUV9MQVNUU0FMRVBSSUNFLjI3LzA1LzIwMjQuVVNEAQAAAMBj/ykCAAAACzMsNjc1NDUxOTIzAApIja3rR94Ilgb6tetH3ggpQ0lRLktST05BLklRX0xBU1RTQUxFUFJJQ0UuMjgvMDUvMjAyNC5VU0QBAAAAwGP/KQIAAAAMMyw3MTczMDk5NzEyAApIja3rR94Ilgb6tetH3ggpQ0lRLktST05BLklRX0xBU1RTQUxFUFJJQ0UuMTcvMDUvMjAyNC5VU0QBAAAAwGP/KQIAAAAMMywzOTk0NjA5Mzc2AApI</t>
  </si>
  <si>
    <t>ja3rR94IiN/5tetH3ggpQ0lRLktST05BLklRX0xBU1RTQUxFUFJJQ0UuMzEvMDUvMjAyNC5VU0QBAAAAwGP/KQIAAAAMMyw2NjQyNTg5MzY4AApIja3rR94Ilgb6tetH3ggnQ0lRLkNQSS5JUV9MQVNUU0FMRVBSSUNFLjIzLzA1LzIwMjQuVVNEAQAAACprDQACAAAAEDIsODMzMzE3MjMzNTIxNTgACkiNretH3gioLfq160feCCdDSVEuQ1BJLklRX0xBU1RTQUxFUFJJQ0UuMjIvMDUvMjAyNC5VU0QBAAAAKmsNAAIAAAAQMiw3OTA5NjI3NzQxNjI1OAAKSI2t60feCJYG+rXrR94IJ0NJUS5DUEkuSVFfTEFTVFNBTEVQUklDRS4yMS8wNS8yMDI0LlVTRAEAAAAqaw0AAgAAABAyLDczODk1ODMzMDczNzAxAApIja3rR94IqC36tetH3ggnQ0lRLkNQSS5JUV9MQVNUU0FMRVBSSUNFLjIwLzA1LzIwMjQuVVNEAQAAACprDQACAAAADzIsODcwMDI3OTQ5ODc3NAAKSI2t60feCKgt+rXrR94IJ0NJUS5DUEkuSVFfTEFTVFNBTEVQUklDRS4yNS8wNS8yMDI0LlVTRAEAAAAqaw0AAgAAABAyLDg2MDIzNzA3ODc1MTk4AApIja3rR94IuFT6tetH3ggnQ0lRLkNQSS5JUV9MQVNUU0FMRVBSSUNFLjI2LzA1LzIwMjQuVVNEAQAAACprDQACAAAAEDIsODYwMjM3MDc4NzUxOTgACkiNretH3gi4VPq160feCCdDSVEuQ1BJLklRX0xBU1RTQUxFUFJJQ0UuMjcvMDUvMjAyNC5VU0QBAAAAKmsNAAIAAAAQMiw4NjY1MjE0Njc1MTU0</t>
  </si>
  <si>
    <t>NQAKSI2t60feCKgt+rXrR94IJ0NJUS5DUEkuSVFfTEFTVFNBTEVQUklDRS4yOC8wNS8yMDI0LlVTRAEAAAAqaw0AAgAAAA8yLDc1NjIzMTIzMTc2MjcACkiNretH3gi4VPq160feCCdDSVEuQ1BJLklRX0xBU1RTQUxFUFJJQ0UuMTcvMDUvMjAyNC5VU0QBAAAAKmsNAAIAAAAPMiw3Nzg4MDAwNDU4NTI0AApIja3rR94IqC36tetH3ggnQ0lRLkNQSS5JUV9MQVNUU0FMRVBSSUNFLjMxLzA1LzIwMjQuVVNEAQAAACprDQACAAAAEDIsNzIxNjE1MTU2MjU1MDUACkiNretH3gi4VPq160feCCZDSVEuQjMuSVFfTEFTVFNBTEVQUklDRS4yMi8wNS8yMDI0LlVTRAEAAABgQHgGAgAAAAw3LDExMDk5MDE1NjIACkiNretH3gi4VPq160feCCZDSVEuQjMuSVFfTEFTVFNBTEVQUklDRS4yMS8wNS8yMDI0LlVTRAEAAABgQHgGAgAAAAw2LDg3NzM3MzQ0NjQACkiNretH3gi4VPq160feCCZDSVEuQjMuSVFfTEFTVFNBTEVQUklDRS4yMC8wNS8yMDI0LlVTRAEAAABgQHgGAgAAAAw3LDA0MTQzMDMzMjMACkiNretH3gi4VPq160feCCZDSVEuQjMuSVFfTEFTVFNBTEVQUklDRS4xOS8wNS8yMDI0LlVTRAEAAABgQHgGAgAAAAw2LDY0MDE1NTg0MjQACkiNretH3gi4VPq160feCCZDSVEuQjMuSVFfTEFTVFNBTEVQUklDRS4yNC8wNS8yMDI0LlVTRAEAAABgQHgGAgAAAAw3LDQxMDQ0MDc1MDQACkiNretH3gjHe/q160feCCZD</t>
  </si>
  <si>
    <t>SVEuQjMuSVFfTEFTVFNBTEVQUklDRS4yNS8wNS8yMDI0LlVTRAEAAABgQHgGAgAAAAw3LDQxMDQ0MDc1MDQACkiNretH3gjHe/q160feCCZDSVEuQjMuSVFfTEFTVFNBTEVQUklDRS4yNi8wNS8yMDI0LlVTRAEAAABgQHgGAgAAAAw3LDQxMDQ0MDc1MDQACkiNretH3gjHe/q160feCCZDSVEuQjMuSVFfTEFTVFNBTEVQUklDRS4yNy8wNS8yMDI0LlVTRAEAAABgQHgGAgAAAAw2LDk0NTY2MTcxMDkACkiNretH3gjHe/q160feCCZDSVEuQjMuSVFfTEFTVFNBTEVQUklDRS4xNi8wNS8yMDI0LlVTRAEAAABgQHgGAgAAAAw2LDY1MzA2Nzc2NTYACkiNretH3gjHe/q160feCCZDSVEuQjMuSVFfTEFTVFNBTEVQUklDRS4zMC8wNS8yMDI0LlVTRAEAAABgQHgGAgAAAAw3LDUzNTY1MjY5MjQACkiNretH3gjHe/q160feCCdDSVEuVUxTLklRX0xBU1RTQUxFUFJJQ0UuMjEvMDUvMjAyNC5VU0QBAAAAF80MAAIAAAAFNDAsMDUACkiNretH3gjaovq160feCCdDSVEuVUxTLklRX0xBU1RTQUxFUFJJQ0UuMjAvMDUvMjAyNC5VU0QBAAAAF80MAAIAAAACMzgACkiNretH3gjaovq160feCCdDSVEuVUxTLklRX0xBU1RTQUxFUFJJQ0UuMTkvMDUvMjAyNC5VU0QBAAAAF80MAAIAAAAEMzcsMgAKSI2t60feCNqi+rXrR94IJ0NJUS5VTFMuSVFfTEFTVFNBTEVQUklDRS4xOC8wNS8yMDI0LlVTRAEAAAAXzQwAAgAAAAQzNywy</t>
  </si>
  <si>
    <t>AApIja3rR94I2qL6tetH3ggnQ0lRLlVMUy5JUV9MQVNUU0FMRVBSSUNFLjIzLzA1LzIwMjQuVVNEAQAAABfNDAACAAAABTQyLDA2AApIja3rR94I2qL6tetH3ggnQ0lRLlVMUy5JUV9MQVNUU0FMRVBSSUNFLjI0LzA1LzIwMjQuVVNEAQAAABfNDAACAAAABTQxLDk5AApIja3rR94I2qL6tetH3ggnQ0lRLlVMUy5JUV9MQVNUU0FMRVBSSUNFLjI1LzA1LzIwMjQuVVNEAQAAABfNDAACAAAABTQxLDk5AApIja3rR94I2qL6tetH3ggnQ0lRLlVMUy5JUV9MQVNUU0FMRVBSSUNFLjI2LzA1LzIwMjQuVVNEAQAAABfNDAACAAAABTQxLDk5AApIja3rR94I2qL6tetH3ggnQ0lRLlVMUy5JUV9MQVNUU0FMRVBSSUNFLjE1LzA1LzIwMjQuVVNEAQAAABfNDAACAAAABTM3LDE3AApIja3rR94I2qL6tetH3ggnQ0lRLlVMUy5JUV9MQVNUU0FMRVBSSUNFLjI5LzA1LzIwMjQuVVNEAQAAABfNDAACAAAABTM4LDY0AApIja3rR94I2qL6tetH3ggnQ0lRLk1BQi5JUV9MQVNUU0FMRVBSSUNFLjIxLzA1LzIwMjQuVVNEAQAAAF44OgACAAAADTMsMzgyMzczNTEwNzQACkiNretH3gj78Pq160feCCdDSVEuTUFCLklRX0xBU1RTQUxFUFJJQ0UuMjAvMDUvMjAyNC5VU0QBAAAAXjg6AAIAAAANMywzNzk0OTQzNDUzNgAFd42t60feCOjJ+rXrR94IJ0NJUS5NQUIuSVFfTEFTVFNBTEVQUklDRS4xOS8wNS8yMDI0LlVTRAEAAABeODoA</t>
  </si>
  <si>
    <t>AgAAAA0zLDM0ODAyOTkzNTQ2AAV3ja3rR94I+/D6tetH3ggnQ0lRLk1BQi5JUV9MQVNUU0FMRVBSSUNFLjE4LzA1LzIwMjQuVVNEAQAAAF44OgACAAAADTMsMzQ4MDI5OTM1NDYABXeNretH3gjoyfq160feCCdDSVEuTUFCLklRX0xBU1RTQUxFUFJJQ0UuMjMvMDUvMjAyNC5VU0QBAAAAXjg6AAIAAAANMyw3NzUyMTU3NzMzNAAFd42t60feCPvw+rXrR94IJ0NJUS5NQUIuSVFfTEFTVFNBTEVQUklDRS4yNC8wNS8yMDI0LlVTRAEAAABeODoAAgAAAA0zLDgzNjU5NDIyNjIyAAV3ja3rR94I+/D6tetH3ggnQ0lRLk1BQi5JUV9MQVNUU0FMRVBSSUNFLjI1LzA1LzIwMjQuVVNEAQAAAF44OgACAAAADTMsODM2NTk0MjI2MjIABXeNretH3gjoyfq160feCCdDSVEuTUFCLklRX0xBU1RTQUxFUFJJQ0UuMjYvMDUvMjAyNC5VU0QBAAAAXjg6AAIAAAANMyw4MzY1OTQyMjYyMgAFd42t60feCPvw+rXrR94IJ0NJUS5NQUIuSVFfTEFTVFNBTEVQUklDRS4xNS8wNS8yMDI0LlVTRAEAAABeODoAAgAAAA0zLDI0MzE3NDc2MzUyAAV3ja3rR94I6Mn6tetH3ggnQ0lRLk1BQi5JUV9MQVNUU0FMRVBSSUNFLjI5LzA1LzIwMjQuVVNEAQAAAF44OgACAAAADTMsODUyMzY0MTgyNjMABXeNretH3ggHGPu160feCCpDSVEuQUxTWURCLklRX0xBU1RTQUxFUFJJQ0UuMjAvMDUvMjAyNC5VU0QBAAAAsF9EAAIAAAALNTIsNzA0MTQ0</t>
  </si>
  <si>
    <t>NzIABXeNretH3ggHGPu160feCCpDSVEuQUxTWURCLklRX0xBU1RTQUxFUFJJQ0UuMTkvMDUvMjAyNC5VU0QBAAAAsF9EAAIAAAAMNTIsNzQ1MzgyNjc0AAV3ja3rR94IBxj7tetH3ggqQ0lRLkFMU1lEQi5JUV9MQVNUU0FMRVBSSUNFLjE4LzA1LzIwMjQuVVNEAQAAALBfRAACAAAADDUyLDc0NTM4MjY3NAAFd42t60feCAcY+7XrR94IKkNJUS5BTFNZREIuSVFfTEFTVFNBTEVQUklDRS4xNy8wNS8yMDI0LlVTRAEAAACwX0QAAgAAAAw1Miw3NDUzODI2NzQABXeNretH3ggHGPu160feCCpDSVEuQUxTWURCLklRX0xBU1RTQUxFUFJJQ0UuMjIvMDUvMjAyNC5VU0QBAAAAsF9EAAIAAAANNTMsMTIzODk3MjMwMgAFd42t60feCPvw+rXrR94IKkNJUS5BTFNZREIuSVFfTEFTVFNBTEVQUklDRS4yMy8wNS8yMDI0LlVTRAEAAACwX0QAAgAAAA01MywwMDQ3NjM1ODk0AAV3ja3rR94IBxj7tetH3ggqQ0lRLkFMU1lEQi5JUV9MQVNUU0FMRVBSSUNFLjI0LzA1LzIwMjQuVVNEAQAAALBfRAACAAAADTUyLDg4OTUwMzYxMTYABXeNretH3ggHGPu160feCCpDSVEuQUxTWURCLklRX0xBU1RTQUxFUFJJQ0UuMjUvMDUvMjAyNC5VU0QBAAAAsF9EAAIAAAANNTIsODg5NTAzNjExNgAFd42t60feCBo/+7XrR94IKkNJUS5BTFNZREIuSVFfTEFTVFNBTEVQUklDRS4xNC8wNS8yMDI0LlVTRAEAAACwX0QAAgAAAAw1Miw5MjQw</t>
  </si>
  <si>
    <t>MTU1OTUABXeNretH3ggaP/u160feCCpDSVEuQUxTWURCLklRX0xBU1RTQUxFUFJJQ0UuMjgvMDUvMjAyNC5VU0QBAAAAsF9EAAIAAAANNTMsMjYxOTY3NTUzMgAFd42t60feCBo/+7XrR94IJ0NJUS5WT1MuSVFfTEFTVFNBTEVQUklDRS4yMC8wNS8yMDI0LlVTRAEAAADBaw0AAgAAAAw1MCw1MDUwNTA0ODcAoMKjretH3ggaP/u160feCCdDSVEuVk9TLklRX0xBU1RTQUxFUFJJQ0UuMTkvMDUvMjAyNC5VU0QBAAAAwWsNAAIAAAAMNTAsNTU0NDY4MzYyAKDCo63rR94IKGb7tetH3ggnQ0lRLlZPUy5JUV9MQVNUU0FMRVBSSUNFLjE4LzA1LzIwMjQuVVNEAQAAAMFrDQACAAAADDUwLDU1NDQ2ODM2MgCgwqOt60feCChm+7XrR94IJ0NJUS5WT1MuSVFfTEFTVFNBTEVQUklDRS4xNy8wNS8yMDI0LlVTRAEAAADBaw0AAgAAAAw1MCw1NTQ0NjgzNjIAoMKjretH3ggoZvu160feCCdDSVEuVk9TLklRX0xBU1RTQUxFUFJJQ0UuMjIvMDUvMjAyNC5VU0QBAAAAwWsNAAIAAAANNTAsMzMwNDgwMDA3NACgwqOt60feCChm+7XrR94IJ0NJUS5WT1MuSVFfTEFTVFNBTEVQUklDRS4yMy8wNS8yMDI0LlVTRAEAAADBaw0AAgAAAA00OSw1NzI0NjQ1Njc2AHr6o63rR94IGj/7tetH3ggnQ0lRLlZPUy5JUV9MQVNUU0FMRVBSSUNFLjI0LzA1LzIwMjQuVVNEAQAAAMFrDQACAAAADTQ5LDgyMDkwNTIzNDgAevqjretH3ggaP/u1</t>
  </si>
  <si>
    <t>60feCCdDSVEuVk9TLklRX0xBU1RTQUxFUFJJQ0UuMjUvMDUvMjAyNC5VU0QBAAAAwWsNAAIAAAANNDksODIwOTA1MjM0OAB6+qOt60feCChm+7XrR94IJ0NJUS5WT1MuSVFfTEFTVFNBTEVQUklDRS4xNC8wNS8yMDI0LlVTRAEAAADBaw0AAgAAAA01MCw3MzU2MTIyODgyAHr6o63rR94IGj/7tetH3ggnQ0lRLlZPUy5JUV9MQVNUU0FMRVBSSUNFLjI4LzA1LzIwMjQuVVNEAQAAAMFrDQACAAAADTUwLDkwMjc2MjY2OTIAevqjretH3ggaP/u160feCChDSVEuQUNBRy5JUV9MQVNUU0FMRVBSSUNFLjIwLzA1LzIwMjQuVVNEAQAAAG0lwiYCAAAADTYsNjAzNjcxMTE3NDQAevqjretH3gg3jfu160feCChDSVEuQUNBRy5JUV9MQVNUU0FMRVBSSUNFLjE5LzA1LzIwMjQuVVNEAQAAAG0lwiYCAAAADTYsNjc1MzY0MjA5NTIAevqjretH3ggoZvu160feCChDSVEuQUNBRy5JUV9MQVNUU0FMRVBSSUNFLjE4LzA1LzIwMjQuVVNEAQAAAG0lwiYCAAAADTYsNjc1MzY0MjA5NTIAevqjretH3gg3jfu160feCChDSVEuQUNBRy5JUV9MQVNUU0FMRVBSSUNFLjE3LzA1LzIwMjQuVVNEAQAAAG0lwiYCAAAADTYsNjc1MzY0MjA5NTIAevqjretH3gg3jfu160feCChDSVEuQUNBRy5JUV9MQVNUU0FMRVBSSUNFLjIyLzA1LzIwMjQuVVNEAQAAAG0lwiYCAAAADTYsNTY2MjU4NTMyNzIAevqjretH3gg3jfu160feCChDSVEuQUNB</t>
  </si>
  <si>
    <t>Ry5JUV9MQVNUU0FMRVBSSUNFLjIzLzA1LzIwMjQuVVNEAQAAAG0lwiYCAAAADTYsNDgzMzg1NjQ5NzgAevqjretH3gg3jfu160feCChDSVEuQUNBRy5JUV9MQVNUU0FMRVBSSUNFLjI0LzA1LzIwMjQuVVNEAQAAAG0lwiYCAAAADTYsNTM0MjQ1MDg3NDQAevqjretH3gg3jfu160feCChDSVEuQUNBRy5JUV9MQVNUU0FMRVBSSUNFLjI1LzA1LzIwMjQuVVNEAQAAAG0lwiYCAAAADTYsNTM0MjQ1MDg3NDQAevqjretH3gg3jfu160feCChDSVEuQUNBRy5JUV9MQVNUU0FMRVBSSUNFLjE0LzA1LzIwMjQuVVNEAQAAAG0lwiYCAAAADTYsNjYzNzgxOTEyNDgAevqjretH3gg3jfu160feCChDSVEuQUNBRy5JUV9MQVNUU0FMRVBSSUNFLjI4LzA1LzIwMjQuVVNEAQAAAG0lwiYCAAAADTYsNDQ5ODU4NjAzMTcAevqjretH3ghHtPu160feCChDSVEuQkVLQi5JUV9MQVNUU0FMRVBSSUNFLjIwLzA1LzIwMjQuVVNEAQAAAJGvCwACAAAADjQ3LDg3NjYxNTYwMTQ0AHr6o63rR94IR7T7tetH3ggoQ0lRLkJFS0IuSVFfTEFTVFNBTEVQUklDRS4xOS8wNS8yMDI0LlVTRAEAAACRrwsAAgAAAA40Nyw2NDA3OTE0NzU3NgB6+qOt60feCEe0+7XrR94IKENJUS5CRUtCLklRX0xBU1RTQUxFUFJJQ0UuMTgvMDUvMjAyNC5VU0QBAAAAka8LAAIAAAAONDcsNjQwNzkxNDc1NzYAevqjretH3ghHtPu160feCChDSVEuQkVLQi5JUV9M</t>
  </si>
  <si>
    <t>QVNUU0FMRVBSSUNFLjE3LzA1LzIwMjQuVVNEAQAAAJGvCwACAAAADjQ3LDY0MDc5MTQ3NTc2AHr6o63rR94IR7T7tetH3ggoQ0lRLkJFS0IuSVFfTEFTVFNBTEVQUklDRS4yMi8wNS8yMDI0LlVTRAEAAACRrwsAAgAAAA40NywzMDc0MDA1ODM5MgB6+qOt60feCEe0+7XrR94IKENJUS5CRUtCLklRX0xBU1RTQUxFUFJJQ0UuMjMvMDUvMjAyNC5VU0QBAAAAka8LAAIAAAANNDcsMTkxMjU0NDc5MgB6+qOt60feCEe0+7XrR94IKENJUS5CRUtCLklRX0xBU1RTQUxFUFJJQ0UuMjQvMDUvMjAyNC5VU0QBAAAAka8LAAIAAAAONDcsMjU5MzA3NDkyODgAevqjretH3ghHtPu160feCChDSVEuQkVLQi5JUV9MQVNUU0FMRVBSSUNFLjI1LzA1LzIwMjQuVVNEAQAAAJGvCwACAAAADjQ3LDI1OTMwNzQ5Mjg4AHr6o63rR94IV9v7tetH3ggoQ0lRLkJFS0IuSVFfTEFTVFNBTEVQUklDRS4xNC8wNS8yMDI0LlVTRAEAAACRrwsAAgAAAA40Nyw3NDk4OTE4MjA5MgB6+qOt60feCFfb+7XrR94IKENJUS5CRUtCLklRX0xBU1RTQUxFUFJJQ0UuMjgvMDUvMjAyNC5VU0QBAAAAka8LAAIAAAAONDcsNjE4MDExNzQ0ODIAevqjretH3ghX2/u160feCCdDSVEuVkVJLklRX0xBU1RTQUxFUFJJQ0UuMTkvMDUvMjAyNC5VU0QBAAAAJF8NAAIAAAAMMTAsOTM4MDcwNjMyAHr6o63rR94IV9v7tetH3ggnQ0lRLlZFSS5JUV9MQVNUU0FM</t>
  </si>
  <si>
    <t>RVBSSUNFLjE4LzA1LzIwMjQuVVNEAQAAACRfDQACAAAADDEwLDkzODA3MDYzMgB6+qOt60feCFfb+7XrR94IJ0NJUS5WRUkuSVFfTEFTVFNBTEVQUklDRS4xNy8wNS8yMDI0LlVTRAEAAAAkXw0AAgAAAAwxMCw5MzgwNzA2MzIAevqjretH3ghX2/u160feCCdDSVEuVkVJLklRX0xBU1RTQUxFUFJJQ0UuMTYvMDUvMjAyNC5VU0QBAAAAJF8NAAIAAAANMTAsOTEzNjY0MzM3NgB6+qOt60feCGgC/LXrR94IJ0NJUS5WRUkuSVFfTEFTVFNBTEVQUklDRS4yMS8wNS8yMDI0LlVTRAEAAAAkXw0AAgAAAAwxMCw4NzIwODE1NTYAevqjretH3ghoAvy160feCCdDSVEuVkVJLklRX0xBU1RTQUxFUFJJQ0UuMjIvMDUvMjAyNC5VU0QBAAAAJF8NAAIAAAAMMTAsODU0NTAxOTg4AHr6o63rR94IaAL8tetH3ggnQ0lRLlZFSS5JUV9MQVNUU0FMRVBSSUNFLjIzLzA1LzIwMjQuVVNEAQAAACRfDQACAAAADTEwLDg5NTYxNTgyMzQAevqjretH3ghoAvy160feCCdDSVEuVkVJLklRX0xBU1RTQUxFUFJJQ0UuMjQvMDUvMjAyNC5VU0QBAAAAJF8NAAIAAAANMTEsMDMwNjA0NzQzNAB6+qOt60feCGgC/LXrR94IJ0NJUS5WRUkuSVFfTEFTVFNBTEVQUklDRS4xMy8wNS8yMDI0LlVTRAEAAAAkXw0AAgAAAA0xMCw4NjI3Nzc5NzM2AHr6o63rR94IV9v7tetH3ggnQ0lRLlZFSS5JUV9MQVNUU0FMRVBSSUNFLjI3LzA1LzIwMjQuVVNE</t>
  </si>
  <si>
    <t>AQAAACRfDQACAAAADTExLDA3MTg3NTc2ODgAevqjretH3ghoAvy160feCChDSVEuQVJCTi5JUV9MQVNUU0FMRVBSSUNFLjE2LzA1LzIwMjQuVVNEAQAAAJ9lDQACAAAADTE0LDE0NjMwMzczMTIAevqjretH3giJUPy160feCChDSVEuQVJCTi5JUV9MQVNUU0FMRVBSSUNFLjE1LzA1LzIwMjQuVVNEAQAAAJ9lDQACAAAADjE0LDEyNzcwMjkxNzI0AHr6o63rR94IiVD8tetH3ggoQ0lRLkFSQk4uSVFfTEFTVFNBTEVQUklDRS4xNC8wNS8yMDI0LlVTRAEAAACfZQ0AAgAAAA4xNCwyNTUxMzYwNDI3NgB6+qOt60feCIlQ/LXrR94IKENJUS5BUkJOLklRX0xBU1RTQUxFUFJJQ0UuMTMvMDUvMjAyNC5VU0QBAAAAn2UNAAIAAAANMTQsMjM0NDA0OTU5NgB6+qOt60feCIlQ/LXrR94IKENJUS5BUkJOLklRX0xBU1RTQUxFUFJJQ0UuMTgvMDUvMjAyNC5VU0QBAAAAn2UNAAIAAAANMTQsMTQ2NzMzNzk3OAB6+qOt60feCJl3/LXrR94IKENJUS5BUkJOLklRX0xBU1RTQUxFUFJJQ0UuMTkvMDUvMjAyNC5VU0QBAAAAn2UNAAIAAAANMTQsMTQ2NzMzNzk3OAB6+qOt60feCIlQ/LXrR94IKENJUS5BUkJOLklRX0xBU1RTQUxFUFJJQ0UuMjAvMDUvMjAyNC5VU0QBAAAAn2UNAAIAAAAOMTQsMTE2NzE1Nzc4MTIAevqjretH3giZd/y160feCChDSVEuQVJCTi5JUV9MQVNUU0FMRVBSSUNFLjIxLzA1LzIwMjQuVVNEAQAAAJ9l</t>
  </si>
  <si>
    <t>DQACAAAADjE0LDAzNDM5NDE1MTQ2AHr6o63rR94ImXf8tetH3ggoQ0lRLkFSQk4uSVFfTEFTVFNBTEVQUklDRS4xMC8wNS8yMDI0LlVTRAEAAACfZQ0AAgAAAA4xNCwwNzE2MTUyNTI2NAB6+qOt60feCJl3/LXrR94IKENJUS5BUkJOLklRX0xBU1RTQUxFUFJJQ0UuMjQvMDUvMjAyNC5VU0QBAAAAn2UNAAIAAAANMTQsNjYwOTkxOTExNgB6+qOt60feCJl3/LXrR94IKUNJUS5DVktNRC5JUV9MQVNUU0FMRVBSSUNFLjE2LzA1LzIwMjQuVVNEAQAAAIguHyYCAAAADDAsNTI3NDAxMjYyMQB6+qOt60feCKie/LXrR94IKUNJUS5DVktNRC5JUV9MQVNUU0FMRVBSSUNFLjE1LzA1LzIwMjQuVVNEAQAAAIguHyYCAAAACzAsNTIxNDQxMTcyAHr6o63rR94IqJ78tetH3ggpQ0lRLkNWS01ELklRX0xBU1RTQUxFUFJJQ0UuMTQvMDUvMjAyNC5VU0QBAAAAiC4fJgIAAAANMCw0OTAwMTY4MDAwNQB6+qOt60feCKie/LXrR94IKUNJUS5DVktNRC5JUV9MQVNUU0FMRVBSSUNFLjEzLzA1LzIwMjQuVVNEAQAAAIguHyYCAAAADTAsNDc2ODc3OTQxNzYAevqjretH3gionvy160feCClDSVEuQ1ZLTUQuSVFfTEFTVFNBTEVQUklDRS4xOC8wNS8yMDI0LlVTRAEAAACILh8mAgAAAA0wLDUwNDMzNTUxMjA4AHr6o63rR94ImXf8tetH3ggpQ0lRLkNWS01ELklRX0xBU1RTQUxFUFJJQ0UuMTkvMDUvMjAyNC5VU0QBAAAAiC4fJgIA</t>
  </si>
  <si>
    <t>AAANMCw1MDQzMzU1MTIwOAB6+qOt60feCJl3/LXrR94IKUNJUS5DVktNRC5JUV9MQVNUU0FMRVBSSUNFLjIwLzA1LzIwMjQuVVNEAQAAAIguHyYCAAAADjAsNTIyOTE0MTYzNTg1AHr6o63rR94IqJ78tetH3ggpQ0lRLkNWS01ELklRX0xBU1RTQUxFUFJJQ0UuMjEvMDUvMjAyNC5VU0QBAAAAiC4fJgIAAAANMCw1MTA2ODQzMDE2OAB6+qOt60feCKie/LXrR94IKUNJUS5DVktNRC5JUV9MQVNUU0FMRVBSSUNFLjEwLzA1LzIwMjQuVVNEAQAAAIguHyYCAAAADTAsNDY2NjY0Mzk1ODYAevqjretH3giZd/y160feCClDSVEuQ1ZLTUQuSVFfTEFTVFNBTEVQUklDRS4yNC8wNS8yMDI0LlVTRAEAAACILh8mAgAAAA4wLDQ1Njc4NDcyMjIyNQB6+qOt60feCJl3/LXrR94IKENJUS5YU05YLklRX0xBU1RTQUxFUFJJQ0UuMTYvMDUvMjAyNC5VU0QBAAAA8ZUwAAIAAAAGMCwwMDgzAHr6o63rR94IuMX8tetH3ggoQ0lRLlhTTlguSVFfTEFTVFNBTEVQUklDRS4xNS8wNS8yMDI0LlVTRAEAAADxlTAAAgAAAAcwLDAwNTI5AHr6o63rR94IqJ78tetH3ggoQ0lRLlhTTlguSVFfTEFTVFNBTEVQUklDRS4xNC8wNS8yMDI0LlVTRAEAAADxlTAAAgAAAAUwLDAwNgB6+qOt60feCLjF/LXrR94IKENJUS5YU05YLklRX0xBU1RTQUxFUFJJQ0UuMTMvMDUvMjAyNC5VU0QBAAAA8ZUwAAIAAAAGMCwwMDY1AHr6o63rR94IuMX8tetH</t>
  </si>
  <si>
    <t>3ggoQ0lRLlhTTlguSVFfTEFTVFNBTEVQUklDRS4xOC8wNS8yMDI0LlVTRAEAAADxlTAAAgAAAAUwLDAxNQB6+qOt60feCMns/LXrR94IKENJUS5YU05YLklRX0xBU1RTQUxFUFJJQ0UuMTkvMDUvMjAyNC5VU0QBAAAA8ZUwAAIAAAAFMCwwMTUAevqjretH3gjJ7Py160feCChDSVEuWFNOWC5JUV9MQVNUU0FMRVBSSUNFLjIwLzA1LzIwMjQuVVNEAQAAAPGVMAACAAAABjAsMDExOAB6+qOt60feCLjF/LXrR94IKENJUS5YU05YLklRX0xBU1RTQUxFUFJJQ0UuMjEvMDUvMjAyNC5VU0QBAAAA8ZUwAAIAAAAFMCwwMTQAevqjretH3gjJ7Py160feCChDSVEuWFNOWC5JUV9MQVNUU0FMRVBSSUNFLjEwLzA1LzIwMjQuVVNEAQAAAPGVMAACAAAABTAsMDA3AHr6o63rR94IuMX8tetH3ggoQ0lRLlhTTlguSVFfTEFTVFNBTEVQUklDRS4yNC8wNS8yMDI0LlVTRAEAAADxlTAAAgAAAAUwLDAxNAB6+qOt60feCMns/LXrR94IKENJUS5UTUlOLklRX0xBU1RTQUxFUFJJQ0UuMTUvMDUvMjAyNC5VU0QBAAAA5MMNKAIAAAAMMCwwNDQxMDY2MjA0AHr6o63rR94Iyez8tetH3ggoQ0lRLlRNSU4uSVFfTEFTVFNBTEVQUklDRS4xNC8wNS8yMDI0LlVTRAEAAADkww0oAgAAAA0wLDA0Mzk1NzAxMDA0AHr6o63rR94I2RP9tetH3ggoQ0lRLlRNSU4uSVFfTEFTVFNBTEVQUklDRS4xMy8wNS8yMDI0LlVTRAEAAADkww0oAgAAAA4w</t>
  </si>
  <si>
    <t>LDA1NDgxNTc0NTk3NQB6+qOt60feCMns/LXrR94IKENJUS5UTUlOLklRX0xBU1RTQUxFUFJJQ0UuMTIvMDUvMjAyNC5VU0QBAAAA5MMNKAIAAAANMCwwNTg1NTU3MjMxMgB6+qOt60feCNkT/bXrR94IKENJUS5UTUlOLklRX0xBU1RTQUxFUFJJQ0UuMTcvMDUvMjAyNC5VU0QBAAAA5MMNKAIAAAANMCwwNTE0NDkwMjUwNAB6+qOt60feCNkT/bXrR94IKENJUS5UTUlOLklRX0xBU1RTQUxFUFJJQ0UuMTgvMDUvMjAyNC5VU0QBAAAA5MMNKAIAAAANMCwwNTE0NDkwMjUwNAB6+qOt60feCNkT/bXrR94IKENJUS5UTUlOLklRX0xBU1RTQUxFUFJJQ0UuMTkvMDUvMjAyNC5VU0QBAAAA5MMNKAIAAAANMCwwNTE0NDkwMjUwNAB6+qOt60feCMns/LXrR94IKENJUS5UTUlOLklRX0xBU1RTQUxFUFJJQ0UuMjAvMDUvMjAyNC5VU0QBAAAA5MMNKAIAAAAMMCwwNTE0MzU0MTU1AHr6o63rR94I2RP9tetH3ggoQ0lRLlRNSU4uSVFfTEFTVFNBTEVQUklDRS4wOS8wNS8yMDI0LlVTRAEAAADkww0oAgAAAA0wLDA0Mzg0NTU0Njc4AHr6o63rR94I2RP9tetH3ggoQ0lRLlRNSU4uSVFfTEFTVFNBTEVQUklDRS4yMy8wNS8yMDI0LlVTRAEAAADkww0oAgAAAA4wLDA1NDc0NDEyNTkyNQB6+qOt60feCOs6/bXrR94IKUNJUS5CRVRDTy5JUV9MQVNUU0FMRVBSSUNFLjE1LzA1LzIwMjQuVVNEAQAAAGnSyg4CAAAACjI3LDE0NTU1</t>
  </si>
  <si>
    <t>MTUAevqjretH3gj6Yf2160feCClDSVEuQkVUQ08uSVFfTEFTVFNBTEVQUklDRS4xNC8wNS8yMDI0LlVTRAEAAABp0soOAgAAAAsyNywyNjUzNTg0OAB6+qOt60feCPph/bXrR94IKUNJUS5CRVRDTy5JUV9MQVNUU0FMRVBSSUNFLjEzLzA1LzIwMjQuVVNEAQAAAGnSyg4CAAAADTI3LDA2MzgzNjYzNDUAevqjretH3gjrOv2160feCClDSVEuQkVUQ08uSVFfTEFTVFNBTEVQUklDRS4xMi8wNS8yMDI0LlVTRAEAAABp0soOAgAAAAwyNiwzNDUyMjExMTEAevqjretH3gjrOv2160feCClDSVEuQkVUQ08uSVFfTEFTVFNBTEVQUklDRS4xNy8wNS8yMDI0LlVTRAEAAABp0soOAgAAAAwyOCwyOTc3MTA1NTIAevqjretH3gjrOv2160feCClDSVEuQkVUQ08uSVFfTEFTVFNBTEVQUklDRS4xOC8wNS8yMDI0LlVTRAEAAABp0soOAgAAAAwyOCwyOTc3MTA1NTIAevqjretH3gjrOv2160feCClDSVEuQkVUQ08uSVFfTEFTVFNBTEVQUklDRS4xOS8wNS8yMDI0LlVTRAEAAABp0soOAgAAAAwyOCwyOTc3MTA1NTIAevqjretH3gjrOv2160feCClDSVEuQkVUQ08uSVFfTEFTVFNBTEVQUklDRS4yMC8wNS8yMDI0LlVTRAEAAABp0soOAgAAAAwyNyw3NzI5NzIyMjcAevqjretH3gjrOv2160feCClDSVEuQkVUQ08uSVFfTEFTVFNBTEVQUklDRS4wOS8wNS8yMDI0LlVTRAEAAABp0soOAgAAAAwyNiwzNjkwNzQ5NDQAevqjretH</t>
  </si>
  <si>
    <t>3gjrOv2160feCClDSVEuQkVUQ08uSVFfTEFTVFNBTEVQUklDRS4yMy8wNS8yMDI0LlVTRAEAAABp0soOAgAAAA0yMywwNDg4MzQ3Mzc1AHr6o63rR94I6zr9tetH3ggnQ0lRLkFUQy5JUV9MQVNUU0FMRVBSSUNFLjE1LzA1LzIwMjQuVVNEAQAAAN4lAGkCAAAADDEsNDU2ODk0OTEzMwB6+qOt60feCAmJ/bXrR94IJ0NJUS5BVEMuSVFfTEFTVFNBTEVQUklDRS4xNC8wNS8yMDI0LlVTRAEAAADeJQBpAgAAAAwxLDQ0Njk5NTkxMTEAevqjretH3gj6Yf2160feCCdDSVEuQVRDLklRX0xBU1RTQUxFUFJJQ0UuMTMvMDUvMjAyNC5VU0QBAAAA3iUAaQIAAAAMMSw0NDM1MDg2MDUxAHr6o63rR94ICYn9tetH3ggnQ0lRLkFUQy5JUV9MQVNUU0FMRVBSSUNFLjEyLzA1LzIwMjQuVVNEAQAAAN4lAGkCAAAADDEsNDM5MTM3MDE4MQAZIqSt60feCPph/bXrR94IJ0NJUS5BVEMuSVFfTEFTVFNBTEVQUklDRS4xNy8wNS8yMDI0LlVTRAEAAADeJQBpAgAAAAwxLDQ2MTE4OTUzNTQAGSKkretH3ggJif2160feCCdDSVEuQVRDLklRX0xBU1RTQUxFUFJJQ0UuMTgvMDUvMjAyNC5VU0QBAAAA3iUAaQIAAAAMMSw0NjExODk1MzU0ABkipK3rR94ICYn9tetH3ggnQ0lRLkFUQy5JUV9MQVNUU0FMRVBSSUNFLjE5LzA1LzIwMjQuVVNEAQAAAN4lAGkCAAAADDEsNDYxMTg5NTM1NAAZIqSt60feCPph/bXrR94IJ0NJUS5BVEMuSVFf</t>
  </si>
  <si>
    <t>TEFTVFNBTEVQUklDRS4yMC8wNS8yMDI0LlVTRAEAAADeJQBpAgAAAAwxLDUyNDU4MzkxNTIAGSKkretH3ggJif2160feCCdDSVEuQVRDLklRX0xBU1RTQUxFUFJJQ0UuMDkvMDUvMjAyNC5VU0QBAAAA3iUAaQIAAAAMMSw0MzkxMDEwMDAxABkipK3rR94I+mH9tetH3ggnQ0lRLkFUQy5JUV9MQVNUU0FMRVBSSUNFLjIzLzA1LzIwMjQuVVNEAQAAAN4lAGkCAAAADDEsNTI1MzM5NzA2NAAZIqSt60feCBmw/bXrR94IJ0NJUS5OVFcuSVFfTEFTVFNBTEVQUklDRS4xNS8wNS8yMDI0LlVTRAEAAAA0fQAAAwAAAAAAGSKkretH3ggZsP2160feCCdDSVEuTlRXLklRX0xBU1RTQUxFUFJJQ0UuMTQvMDUvMjAyNC5VU0QBAAAANH0AAAMAAAAAABkipK3rR94IGbD9tetH3ggnQ0lRLk5UVy5JUV9MQVNUU0FMRVBSSUNFLjEzLzA1LzIwMjQuVVNEAQAAADR9AAADAAAAAAAZIqSt60feCBmw/bXrR94IJ0NJUS5OVFcuSVFfTEFTVFNBTEVQUklDRS4xMi8wNS8yMDI0LlVTRAEAAAA0fQAAAwAAAAAAGSKkretH3ggZsP2160feCCdDSVEuTlRXLklRX0xBU1RTQUxFUFJJQ0UuMTcvMDUvMjAyNC5VU0QBAAAANH0AAAMAAAAAABkipK3rR94ICYn9tetH3ggnQ0lRLk5UVy5JUV9MQVNUU0FMRVBSSUNFLjE4LzA1LzIwMjQuVVNEAQAAADR9AAADAAAAAAAZIqSt60feCBmw/bXrR94IJ0NJUS5OVFcuSVFfTEFTVFNBTEVQUklDRS4x</t>
  </si>
  <si>
    <t>OS8wNS8yMDI0LlVTRAEAAAA0fQAAAwAAAAAAGSKkretH3ggZsP2160feCCdDSVEuTlRXLklRX0xBU1RTQUxFUFJJQ0UuMjAvMDUvMjAyNC5VU0QBAAAANH0AAAMAAAAAABkipK3rR94IKNf9tetH3ggnQ0lRLk5UVy5JUV9MQVNUU0FMRVBSSUNFLjA5LzA1LzIwMjQuVVNEAQAAADR9AAADAAAAAAAZIqSt60feCCjX/bXrR94IJ0NJUS5OVFcuSVFfTEFTVFNBTEVQUklDRS4yMy8wNS8yMDI0LlVTRAEAAAA0fQAAAwAAAAAAGSKkretH3ggo1/2160feCCdDSVEuQkRCLklRX0xBU1RTQUxFUFJJQ0UuMTUvMDUvMjAyNC5VU0QBAAAAhD9+AAIAAAANNSw0MTI0NTUxNjcyNgAZIqSt60feCDr+/bXrR94IJ0NJUS5CREIuSVFfTEFTVFNBTEVQUklDRS4xNC8wNS8yMDI0LlVTRAEAAACEP34AAgAAAA01LDIzNTgyODY0NTUyABkipK3rR94IOv79tetH3ggnQ0lRLkJEQi5JUV9MQVNUU0FMRVBSSUNFLjEzLzA1LzIwMjQuVVNEAQAAAIQ/fgACAAAADDUsMTU5MjAxMjk1NwAZIqSt60feCCjX/bXrR94IJ0NJUS5CREIuSVFfTEFTVFNBTEVQUklDRS4xMi8wNS8yMDI0LlVTRAEAAACEP34AAgAAAA01LDA4MzQ2Nzk2MTI4ABkipK3rR94IOv79tetH3ggnQ0lRLkJEQi5JUV9MQVNUU0FMRVBSSUNFLjE3LzA1LzIwMjQuVVNEAQAAAIQ/fgACAAAADDUsNjUzNDAyOTEzNgAZIqSt60feCCjX/bXrR94IJ0NJUS5CREIuSVFfTEFT</t>
  </si>
  <si>
    <t>VFNBTEVQUklDRS4xOC8wNS8yMDI0LlVTRAEAAACEP34AAgAAAAw1LDY1MzQwMjkxMzYAGSKkretH3ggo1/2160feCCdDSVEuQkRCLklRX0xBU1RTQUxFUFJJQ0UuMTkvMDUvMjAyNC5VU0QBAAAAhD9+AAIAAAAMNSw2NTM0MDI5MTM2ABkipK3rR94IKNf9tetH3ggnQ0lRLkJEQi5JUV9MQVNUU0FMRVBSSUNFLjIwLzA1LzIwMjQuVVNEAQAAAIQ/fgACAAAADTUsNjY5NTk5MjE1OTYAGSKkretH3gg6/v2160feCCdDSVEuQkRCLklRX0xBU1RTQUxFUFJJQ0UuMDkvMDUvMjAyNC5VU0QBAAAAhD9+AAIAAAALNSwwMzE3ODUzNjcAGSKkretH3ggo1/2160feCCdDSVEuQkRCLklRX0xBU1RTQUxFUFJJQ0UuMjMvMDUvMjAyNC5VU0QBAAAAhD9+AAIAAAANNSw3NTgxOTg5NDEwNAAZIqSt60feCCjX/bXrR94IJ0NJUS5BQkwuSVFfTEFTVFNBTEVQUklDRS4xNC8wNS8yMDI0LlVTRAEAAADIzN4PAgAAAAsxLDA1MzY2ODcxMgAZIqSt60feCEgl/rXrR94IJ0NJUS5BQkwuSVFfTEFTVFNBTEVQUklDRS4xMy8wNS8yMDI0LlVTRAEAAADIzN4PAgAAAAwxLDA1MzAyNDM5NTQAGSKkretH3gg6/v2160feCCdDSVEuQUJMLklRX0xBU1RTQUxFUFJJQ0UuMTIvMDUvMjAyNC5VU0QBAAAAyMzeDwIAAAANMSwwNzQxMjA3ODQ4NQAZIqSt60feCEgl/rXrR94IJ0NJUS5BQkwuSVFfTEFTVFNBTEVQUklDRS4xMS8wNS8yMDI0LlVT</t>
  </si>
  <si>
    <t>RAEAAADIzN4PAgAAAA0xLDA3NDEyMDc4NDg1ABkipK3rR94IOv79tetH3ggnQ0lRLkFCTC5JUV9MQVNUU0FMRVBSSUNFLjE2LzA1LzIwMjQuVVNEAQAAAMjM3g8CAAAADDEsMTMwNjEwNzc0NwAZIqSt60feCEgl/rXrR94IJ0NJUS5BQkwuSVFfTEFTVFNBTEVQUklDRS4xNy8wNS8yMDI0LlVTRAEAAADIzN4PAgAAAAwxLDEzMzEzOTE2NjUAGSKkretH3ghIJf6160feCCdDSVEuQUJMLklRX0xBU1RTQUxFUFJJQ0UuMTgvMDUvMjAyNC5VU0QBAAAAyMzeDwIAAAAMMSwxMzMxMzkxNjY1ABkipK3rR94ISCX+tetH3ggnQ0lRLkFCTC5JUV9MQVNUU0FMRVBSSUNFLjE5LzA1LzIwMjQuVVNEAQAAAMjM3g8CAAAADDEsMTMzMTM5MTY2NQAZIqSt60feCEgl/rXrR94IJ0NJUS5BQkwuSVFfTEFTVFNBTEVQUklDRS4wOC8wNS8yMDI0LlVTRAEAAADIzN4PAgAAAAwxLDA3MzEyNzY4NTUAGSKkretH3ghIJf6160feCCdDSVEuQUJMLklRX0xBU1RTQUxFUFJJQ0UuMjIvMDUvMjAyNC5VU0QBAAAAyMzeDwIAAAAMMSwxNDE1OTQxNzQ2ABkipK3rR94IkMH+tetH3ggpQ0lRLklORjFULklRX0xBU1RTQUxFUFJJQ0UuMTQvMDUvMjAyNC5VU0QBAAAAjdfdAQIAAAANNDIsNTE0MDYzMTc1NAAZIqSt60feCFhM/rXrR94IKUNJUS5JTkYxVC5JUV9MQVNUU0FMRVBSSUNFLjEzLzA1LzIwMjQuVVNEAQAAAI3X3QECAAAADjQyLDU3</t>
  </si>
  <si>
    <t>OTYwMDY1MTc1ABkipK3rR94ISCX+tetH3ggpQ0lRLklORjFULklRX0xBU1RTQUxFUFJJQ0UuMTIvMDUvMjAyNC5VU0QBAAAAjdfdAQIAAAANNDIsNDg3ODgzNzAxOAAZIqSt60feCJDB/rXrR94IKUNJUS5JTkYxVC5JUV9MQVNUU0FMRVBSSUNFLjExLzA1LzIwMjQuVVNEAQAAAI3X3QECAAAADTQyLDQ4Nzg4MzcwMTgAGSKkretH3gia6P6160feCClDSVEuSU5GMVQuSVFfTEFTVFNBTEVQUklDRS4xNi8wNS8yMDI0LlVTRAEAAACN190BAgAAAA00MywwOTc4MjYwOTczABkipK3rR94Imuj+tetH3ggpQ0lRLklORjFULklRX0xBU1RTQUxFUFJJQ0UuMTcvMDUvMjAyNC5VU0QBAAAAjdfdAQIAAAANNDIsMTgzMDgzMjc4NAAZIqSt60feCJro/rXrR94IKUNJUS5JTkYxVC5JUV9MQVNUU0FMRVBSSUNFLjE4LzA1LzIwMjQuVVNEAQAAAI3X3QECAAAADTQyLDE4MzA4MzI3ODQAGSKkretH3gia6P6160feCClDSVEuSU5GMVQuSVFfTEFTVFNBTEVQUklDRS4xOS8wNS8yMDI0LlVTRAEAAACN190BAgAAAA00MiwxODMwODMyNzg0ABkipK3rR94Imuj+tetH3ggpQ0lRLklORjFULklRX0xBU1RTQUxFUFJJQ0UuMDgvMDUvMjAyNC5VU0QBAAAAjdfdAQIAAAAMNDIsNDUwMjk1NTI3ABkipK3rR94Imuj+tetH3ggpQ0lRLklORjFULklRX0xBU1RTQUxFUFJJQ0UuMjIvMDUvMjAyNC5VU0QBAAAAjdfdAQIAAAANNDIsNDc0</t>
  </si>
  <si>
    <t>ODA3NjcwNAAZIqSt60feCJro/rXrR94IJkNJUS5NRy5JUV9MQVNUU0FMRVBSSUNFLjE0LzA1LzIwMjQuVVNEAQAAAOxpRQACAAAAAzgsNQAZIqSt60feCKgP/7XrR94IJkNJUS5NRy5JUV9MQVNUU0FMRVBSSUNFLjEzLzA1LzIwMjQuVVNEAQAAAOxpRQACAAAABDksMDMAGSKkretH3gioD/+160feCCZDSVEuTUcuSVFfTEFTVFNBTEVQUklDRS4xMi8wNS8yMDI0LlVTRAEAAADsaUUAAgAAAAQ5LDE1ABkipK3rR94IqA//tetH3ggmQ0lRLk1HLklRX0xBU1RTQUxFUFJJQ0UuMTEvMDUvMjAyNC5VU0QBAAAA7GlFAAIAAAAEOSwxNQAZIqSt60feCKgP/7XrR94IJkNJUS5NRy5JUV9MQVNUU0FMRVBSSUNFLjE2LzA1LzIwMjQuVVNEAQAAAOxpRQACAAAABDgsMzQAGSKkretH3gioD/+160feCCZDSVEuTUcuSVFfTEFTVFNBTEVQUklDRS4xNy8wNS8yMDI0LlVTRAEAAADsaUUAAgAAAAQ4LDM4ABkipK3rR94IqA//tetH3ggmQ0lRLk1HLklRX0xBU1RTQUxFUFJJQ0UuMTgvMDUvMjAyNC5VU0QBAAAA7GlFAAIAAAAEOCwzOAAZIqSt60feCKgP/7XrR94IJkNJUS5NRy5JUV9MQVNUU0FMRVBSSUNFLjE5LzA1LzIwMjQuVVNEAQAAAOxpRQACAAAABDgsMzgAGSKkretH3gioD/+160feCCZDSVEuTUcuSVFfTEFTVFNBTEVQUklDRS4wOC8wNS8yMDI0LlVTRAEAAADsaUUAAgAAAAQ5LDA3ABkipK3rR94Imuj+tetH3ggm</t>
  </si>
  <si>
    <t>Q0lRLk1HLklRX0xBU1RTQUxFUFJJQ0UuMjIvMDUvMjAyNC5VU0QBAAAA7GlFAAIAAAAEOCw3OAAZIqSt60feCKgP/7XrR94IKENJUS5OT1JELklRX0xBU1RTQUxFUFJJQ0UuMTQvMDUvMjAyNC5VU0QBAAAAxLf5bAIAAAABNQAZIqSt60feCLg2/7XrR94IKENJUS5OT1JELklRX0xBU1RTQUxFUFJJQ0UuMTMvMDUvMjAyNC5VU0QBAAAAxLf5bAIAAAABNQAZIqSt60feCKgP/7XrR94IKENJUS5OT1JELklRX0xBU1RTQUxFUFJJQ0UuMTIvMDUvMjAyNC5VU0QBAAAAxLf5bAIAAAABNQAZIqSt60feCLg2/7XrR94IKENJUS5OT1JELklRX0xBU1RTQUxFUFJJQ0UuMTEvMDUvMjAyNC5VU0QBAAAAxLf5bAIAAAABNQAZIqSt60feCLg2/7XrR94IKENJUS5OT1JELklRX0xBU1RTQUxFUFJJQ0UuMTYvMDUvMjAyNC5VU0QBAAAAxLf5bAIAAAABNQAZIqSt60feCMdd/7XrR94IKENJUS5OT1JELklRX0xBU1RTQUxFUFJJQ0UuMTcvMDUvMjAyNC5VU0QBAAAAxLf5bAIAAAABNQAZIqSt60feCMdd/7XrR94IKENJUS5OT1JELklRX0xBU1RTQUxFUFJJQ0UuMTgvMDUvMjAyNC5VU0QBAAAAxLf5bAIAAAABNQAZIqSt60feCLg2/7XrR94IKENJUS5OT1JELklRX0xBU1RTQUxFUFJJQ0UuMTkvMDUvMjAyNC5VU0QBAAAAxLf5bAIAAAABNQAZIqSt60feCMdd/7XrR94IKENJUS5OT1JELklRX0xBU1RTQUxFUFJJQ0UuMDgvMDUv</t>
  </si>
  <si>
    <t>MjAyNC5VU0QBAAAAxLf5bAIAAAADNiw1ABkipK3rR94IuDb/tetH3ggoQ0lRLk5PUkQuSVFfTEFTVFNBTEVQUklDRS4yMi8wNS8yMDI0LlVTRAEAAADEt/lsAgAAAAE1ABkipK3rR94Ix13/tetH3ggoQ0lRLjU3MTEuSVFfTEFTVFNBTEVQUklDRS4xMy8wNS8yMDI0LlVTRAEAAACxXg0AAgAAAAsxOSw3OTQ2Mjg0MgAZIqSt60feCMdd/7XrR94IKENJUS41NzExLklRX0xBU1RTQUxFUFJJQ0UuMTIvMDUvMjAyNC5VU0QBAAAAsV4NAAIAAAAKMTksNTI3NzE2NgAZIqSt60feCMdd/7XrR94IKENJUS41NzExLklRX0xBU1RTQUxFUFJJQ0UuMTEvMDUvMjAyNC5VU0QBAAAAsV4NAAIAAAAKMTksNTI3NzE2NgAZIqSt60feCNeE/7XrR94IKENJUS41NzExLklRX0xBU1RTQUxFUFJJQ0UuMTAvMDUvMjAyNC5VU0QBAAAAsV4NAAIAAAAKMTksNTI3NzE2NgAZIqSt60feCNeE/7XrR94IKENJUS41NzExLklRX0xBU1RTQUxFUFJJQ0UuMTUvMDUvMjAyNC5VU0QBAAAAsV4NAAIAAAAMMjAsMDkyNjE0MzgxABkipK3rR94I14T/tetH3ggoQ0lRLjU3MTEuSVFfTEFTVFNBTEVQUklDRS4xNi8wNS8yMDI0LlVTRAEAAACxXg0AAgAAAAsxOSw0NjM3NTAwNwAZIqSt60feCNeE/7XrR94IKENJUS41NzExLklRX0xBU1RTQUxFUFJJQ0UuMTcvMDUvMjAyNC5VU0QBAAAAsV4NAAIAAAALMTksNTU3ODg4NjQAGSKkretH3gjXhP+1</t>
  </si>
  <si>
    <t>60feCChDSVEuNTcxMS5JUV9MQVNUU0FMRVBSSUNFLjE4LzA1LzIwMjQuVVNEAQAAALFeDQACAAAACzE5LDU1Nzg4ODY0ABkipK3rR94I56v/tetH3ggoQ0lRLjU3MTEuSVFfTEFTVFNBTEVQUklDRS4wNy8wNS8yMDI0LlVTRAEAAACxXg0AAgAAAAwxOSw2OTkxMDY5ODMAGSKkretH3gjnq/+160feCChDSVEuNTcxMS5JUV9MQVNUU0FMRVBSSUNFLjIxLzA1LzIwMjQuVVNEAQAAALFeDQACAAAADDIwLDczOTUyNTk5NgAZIqSt60feCOer/7XrR94IJ0NJUS5JTUQuSVFfTEFTVFNBTEVQUklDRS4xMy8wNS8yMDI0LlVTRAEAAACDa0QAAgAAAA0xLDM0NzY5MTA4NzQ0ABkipK3rR94Iu97/tetH3ggnQ0lRLklNRC5JUV9MQVNUU0FMRVBSSUNFLjEyLzA1LzIwMjQuVVNEAQAAAINrRAACAAAADTEsMzQ2OTc5MjAwODgAGSKkretH3gjnq/+160feCCdDSVEuSU1ELklRX0xBU1RTQUxFUFJJQ0UuMTEvMDUvMjAyNC5VU0QBAAAAg2tEAAIAAAANMSwzNDY5NzkyMDA4OAAZIqSt60feCLve/7XrR94IJ0NJUS5JTUQuSVFfTEFTVFNBTEVQUklDRS4xMC8wNS8yMDI0LlVTRAEAAACDa0QAAgAAAA0xLDM0Njk3OTIwMDg4ABkipK3rR94Iu97/tetH3ggnQ0lRLklNRC5JUV9MQVNUU0FMRVBSSUNFLjE1LzA1LzIwMjQuVVNEAQAAAINrRAACAAAADDEsNDAzNDYxODcxNwAZIqSt60feCLve/7XrR94IJ0NJUS5JTUQuSVFfTEFT</t>
  </si>
  <si>
    <t>VFNBTEVQUklDRS4xNi8wNS8yMDI0LlVTRAEAAACDa0QAAgAAAAwxLDQwMjI0MzU5MDMAGSKkretH3gjnq/+160feCCdDSVEuSU1ELklRX0xBU1RTQUxFUFJJQ0UuMTcvMDUvMjAyNC5VU0QBAAAAg2tEAAIAAAANMSw0NDM4NTAyNjc2OAAZIqSt60feCOer/7XrR94IJ0NJUS5JTUQuSVFfTEFTVFNBTEVQUklDRS4xOC8wNS8yMDI0LlVTRAEAAACDa0QAAgAAAA0xLDQ0Mzg1MDI2NzY4ABkipK3rR94Iu97/tetH3ggnQ0lRLklNRC5JUV9MQVNUU0FMRVBSSUNFLjA3LzA1LzIwMjQuVVNEAQAAAINrRAACAAAACzEsMzIyNDg4OTI0ABkipK3rR94I56v/tetH3ggnQ0lRLklNRC5JUV9MQVNUU0FMRVBSSUNFLjIxLzA1LzIwMjQuVVNEAQAAAINrRAACAAAADTEsNTE0MDM5ODg1MjEAGSKkretH3gjnq/+160feCChDSVEuRVFVSS5JUV9MQVNUU0FMRVBSSUNFLjEzLzA1LzIwMjQuVVNEAQAAAO+rcyACAAAADDQsNDI1MjU2MzQxNQAZIqSt60feCB0GALbrR94IKENJUS5FUVVJLklRX0xBU1RTQUxFUFJJQ0UuMTIvMDUvMjAyNC5VU0QBAAAA76tzIAIAAAANNCw0MjY0OTQzNDc2NAAZIqSt60feCB0GALbrR94IKENJUS5FUVVJLklRX0xBU1RTQUxFUFJJQ0UuMTEvMDUvMjAyNC5VU0QBAAAA76tzIAIAAAANNCw0MjY0OTQzNDc2NAAZIqSt60feCLve/7XrR94IKENJUS5FUVVJLklRX0xBU1RTQUxFUFJJQ0UuMTAvMDUv</t>
  </si>
  <si>
    <t>MjAyNC5VU0QBAAAA76tzIAIAAAANNCw0MjY0OTQzNDc2NAAZIqSt60feCB0GALbrR94IKENJUS5FUVVJLklRX0xBU1RTQUxFUFJJQ0UuMTUvMDUvMjAyNC5VU0QBAAAA76tzIAIAAAANNCw0MDE2OTU0NjczNQAZIqSt60feCB0GALbrR94IKENJUS5FUVVJLklRX0xBU1RTQUxFUFJJQ0UuMTYvMDUvMjAyNC5VU0QBAAAA76tzIAIAAAANNCwzOTEzMDQzNDg4OAAZIqSt60feCB0GALbrR94IKENJUS5FUVVJLklRX0xBU1RTQUxFUFJJQ0UuMTcvMDUvMjAyNC5VU0QBAAAA76tzIAIAAAANNCw0MzU3NDY5MDE0NAAZIqSt60feCB0GALbrR94IKENJUS5FUVVJLklRX0xBU1RTQUxFUFJJQ0UuMTgvMDUvMjAyNC5VU0QBAAAA76tzIAIAAAANNCw0MzU3NDY5MDE0NAAZIqSt60feCB0GALbrR94IKENJUS5FUVVJLklRX0xBU1RTQUxFUFJJQ0UuMDcvMDUvMjAyNC5VU0QBAAAA76tzIAIAAAANNCw1MDU3NjY5NDk4NgAZIqSt60feCB0GALbrR94IKENJUS5FUVVJLklRX0xBU1RTQUxFUFJJQ0UuMjEvMDUvMjAyNC5VU0QBAAAA76tzIAIAAAAMNCwyMjM2Njk5MjM3ABkipK3rR94IdS0AtutH3ggnQ0lRLkRPVi5JUV9MQVNUU0FMRVBSSUNFLjEzLzA1LzIwMjQuVVNEAQAAADWrAgACAAAABjE4NCwyNgAZIqSt60feCHUtALbrR94IJ0NJUS5ET1YuSVFfTEFTVFNBTEVQUklDRS4xMi8wNS8yMDI0LlVTRAEAAAA1qwIAAgAA</t>
  </si>
  <si>
    <t>AAYxODUsNTUAGSKkretH3gh1LQC260feCCdDSVEuRE9WLklRX0xBU1RTQUxFUFJJQ0UuMTEvMDUvMjAyNC5VU0QBAAAANasCAAIAAAAGMTg1LDU1ABkipK3rR94IdS0AtutH3ggnQ0lRLkRPVi5JUV9MQVNUU0FMRVBSSUNFLjEwLzA1LzIwMjQuVVNEAQAAADWrAgACAAAABjE4NSw1NQAZIqSt60feCHUtALbrR94IJ0NJUS5ET1YuSVFfTEFTVFNBTEVQUklDRS4xNS8wNS8yMDI0LlVTRAEAAAA1qwIAAgAAAAYxODUsMTcAGSKkretH3gh1LQC260feCCdDSVEuRE9WLklRX0xBU1RTQUxFUFJJQ0UuMTYvMDUvMjAyNC5VU0QBAAAANasCAAIAAAAGMTg0LDE0AJ5JpK3rR94IdS0AtutH3ggnQ0lRLkRPVi5JUV9MQVNUU0FMRVBSSUNFLjE3LzA1LzIwMjQuVVNEAQAAADWrAgACAAAABjE4NCwwOQCeSaSt60feCHUtALbrR94IJ0NJUS5ET1YuSVFfTEFTVFNBTEVQUklDRS4xOC8wNS8yMDI0LlVTRAEAAAA1qwIAAgAAAAYxODQsMDkAnkmkretH3ggAWAC260feCCdDSVEuRE9WLklRX0xBU1RTQUxFUFJJQ0UuMDcvMDUvMjAyNC5VU0QBAAAANasCAAIAAAAGMTgxLDgzAJ5JpK3rR94IAFgAtutH3ggnQ0lRLkRPVi5JUV9MQVNUU0FMRVBSSUNFLjIxLzA1LzIwMjQuVVNEAQAAADWrAgACAAAABjE4NiwwNgCeSaSt60feCABYALbrR94IKENJUS5DUlRYLklRX0xBU1RTQUxFUFJJQ0UuMTIvMDUvMjAyNC5VU0QBAAAAoviN</t>
  </si>
  <si>
    <t>AQIAAAAOMCwxODAyMDQ5ODMxMzYAnkmkretH3ggAWAC260feCChDSVEuQ1JUWC5JUV9MQVNUU0FMRVBSSUNFLjExLzA1LzIwMjQuVVNEAQAAAKL4jQECAAAADjAsMTgwMjA0OTgzMTM2AJ5JpK3rR94I7H8AtutH3ggoQ0lRLkNSVFguSVFfTEFTVFNBTEVQUklDRS4xMC8wNS8yMDI0LlVTRAEAAACi+I0BAgAAAA4wLDE4MDIwNDk4MzEzNgCeSaSt60feCOx/ALbrR94IKENJUS5DUlRYLklRX0xBU1RTQUxFUFJJQ0UuMDkvMDUvMjAyNC5VU0QBAAAAoviNAQIAAAAOMCwxODAyMDA0NzMwNTYAnkmkretH3gjsfwC260feCChDSVEuQ1JUWC5JUV9MQVNUU0FMRVBSSUNFLjE0LzA1LzIwMjQuVVNEAQAAAKL4jQECAAAADjAsMTgxMTg5MDUzMjE2AJ5JpK3rR94IAFgAtutH3ggoQ0lRLkNSVFguSVFfTEFTVFNBTEVQUklDRS4xNS8wNS8yMDI0LlVTRAEAAACi+I0BAgAAAA4wLDE4MjQyODU4MDQ0OACeSaSt60feCOx/ALbrR94IKENJUS5DUlRYLklRX0xBU1RTQUxFUFJJQ0UuMTYvMDUvMjAyNC5VU0QBAAAAoviNAQIAAAALMCwxODI0NjA5NDIAnkmkretH3gjsfwC260feCChDSVEuQ1JUWC5JUV9MQVNUU0FMRVBSSUNFLjE3LzA1LzIwMjQuVVNEAQAAAKL4jQECAAAADjAsMTgyOTY2MzQxODI0AJ5JpK3rR94IAFgAtutH3ggoQ0lRLkNSVFguSVFfTEFTVFNBTEVQUklDRS4wNi8wNS8yMDI0LlVTRAEAAACi+I0BAgAA</t>
  </si>
  <si>
    <t>AA4wLDE4MTAyNzMzMDEyOACeSaSt60feCOx/ALbrR94IKENJUS5DUlRYLklRX0xBU1RTQUxFUFJJQ0UuMjAvMDUvMjAyNC5VU0QBAAAAoviNAQIAAAAOMCwxODI5NTAwNjk4MjQAnkmkretH3ggAWAC260feCCdDSVEuRlJQLklRX0xBU1RTQUxFUFJJQ0UuMTIvMDUvMjAyNC5VU0QBAAAAlP3UJgIAAAANMSw1NzA1MzY0ODQ5NwCeSaSt60feCEanALbrR94IJ0NJUS5GUlAuSVFfTEFTVFNBTEVQUklDRS4xMS8wNS8yMDI0LlVTRAEAAACU/dQmAgAAAA0xLDU3MDUzNjQ4NDk3AJ5JpK3rR94IRqcAtutH3ggnQ0lRLkZSUC5JUV9MQVNUU0FMRVBSSUNFLjEwLzA1LzIwMjQuVVNEAQAAAJT91CYCAAAADTEsNTcwNTM2NDg0OTcAnkmkretH3gjsfwC260feCCdDSVEuRlJQLklRX0xBU1RTQUxFUFJJQ0UuMDkvMDUvMjAyNC5VU0QBAAAAlP3UJgIAAAANMSw1NDU0NjkzMzQ4OQCeSaSt60feCEanALbrR94IJ0NJUS5GUlAuSVFfTEFTVFNBTEVQUklDRS4xNC8wNS8yMDI0LlVTRAEAAACU/dQmAgAAAA0xLDYwNDI3ODA3NTM1AJ5JpK3rR94IRqcAtutH3ggnQ0lRLkZSUC5JUV9MQVNUU0FMRVBSSUNFLjE1LzA1LzIwMjQuVVNEAQAAAJT91CYCAAAADTEsNjIxNTg3MzgxNzYAnkmkretH3gjRzgC260feCCdDSVEuRlJQLklRX0xBU1RTQUxFUFJJQ0UuMTYvMDUvMjAyNC5VU0QBAAAAlP3UJgIAAAAKMSw2MjE4NzUwNACe</t>
  </si>
  <si>
    <t>SaSt60feCEanALbrR94IJ0NJUS5GUlAuSVFfTEFTVFNBTEVQUklDRS4xNy8wNS8yMDI0LlVTRAEAAACU/dQmAgAAAA0xLDgyMzMxMDQyMDI2AJ5JpK3rR94IRqcAtutH3ggnQ0lRLkZSUC5JUV9MQVNUU0FMRVBSSUNFLjA2LzA1LzIwMjQuVVNEAQAAAJT91CYCAAAADDEsNTA4NTYxMDg0NACeSaSt60feCEanALbrR94IJ0NJUS5GUlAuSVFfTEFTVFNBTEVQUklDRS4yMC8wNS8yMDI0LlVTRAEAAACU/dQmAgAAAA0xLDgzNTg1MzEzMTIyAJ5JpK3rR94I0c4AtutH3ggoQ0lRLjc0NTUuSVFfTEFTVFNBTEVQUklDRS4xMi8wNS8yMDI0LlVTRAEAAABsYAkAAgAAAAoyLDU1OTY0NDg1AJ5JpK3rR94I0c4AtutH3ggoQ0lRLjc0NTUuSVFfTEFTVFNBTEVQUklDRS4xMS8wNS8yMDI0LlVTRAEAAABsYAkAAgAAAAoyLDU1OTY0NDg1AJ5JpK3rR94I0c4AtutH3ggoQ0lRLjc0NTUuSVFfTEFTVFNBTEVQUklDRS4xMC8wNS8yMDI0LlVTRAEAAABsYAkAAgAAAAoyLDU1OTY0NDg1AJ5JpK3rR94I0c4AtutH3ggoQ0lRLjc0NTUuSVFfTEFTVFNBTEVQUklDRS4wOS8wNS8yMDI0LlVTRAEAAABsYAkAAgAAAAsyLDU2MzkyMTMzMgCeSaSt60feCNHOALbrR94IKENJUS43NDU1LklRX0xBU1RTQUxFUFJJQ0UuMTQvMDUvMjAyNC5VU0QBAAAAbGAJAAIAAAALMiwzODQ1OTAxMTkAnkmkretH3ggt9gC260feCChDSVEuNzQ1NS5J</t>
  </si>
  <si>
    <t>UV9MQVNUU0FMRVBSSUNFLjE1LzA1LzIwMjQuVVNEAQAAAGxgCQACAAAACzIsMjY2OTU4NDIxAJ5JpK3rR94I0c4AtutH3ggoQ0lRLjc0NTUuSVFfTEFTVFNBTEVQUklDRS4xNi8wNS8yMDI0LlVTRAEAAABsYAkAAgAAAAoyLDI5Mjg4Mzg2AJ5JpK3rR94ILfYAtutH3ggoQ0lRLjc0NTUuSVFfTEFTVFNBTEVQUklDRS4xNy8wNS8yMDI0LlVTRAEAAABsYAkAAgAAAAsyLDMwMzE5ODcyOACeSaSt60feCC32ALbrR94IKENJUS43NDU1LklRX0xBU1RTQUxFUFJJQ0UuMDYvMDUvMjAyNC5VU0QBAAAAbGAJAAIAAAAKMiw2MzY4MjU4NwCeSaSt60feCC32ALbrR94IKENJUS43NDU1LklRX0xBU1RTQUxFUFJJQ0UuMjAvMDUvMjAyNC5VU0QBAAAAbGAJAAIAAAALMiwzMDAzNTMxNzEAnkmkretH3ggt9gC260feCCZDSVEuSUcuSVFfTEFTVFNBTEVQUklDRS4xMi8wNS8yMDI0LlVTRAEAAAA7Vw0AAgAAAA01LDcyOTY3MTUxNTY4AJ5JpK3rR94ILfYAtutH3ggmQ0lRLklHLklRX0xBU1RTQUxFUFJJQ0UuMTEvMDUvMjAyNC5VU0QBAAAAO1cNAAIAAAANNSw3Mjk2NzE1MTU2OACeSaSt60feCIkdAbbrR94IJkNJUS5JRy5JUV9MQVNUU0FMRVBSSUNFLjEwLzA1LzIwMjQuVVNEAQAAADtXDQACAAAADTUsNzI5NjcxNTE1NjgAnkmkretH3giJHQG260feCCZDSVEuSUcuSVFfTEFTVFNBTEVQUklDRS4wOS8wNS8yMDI0LlVT</t>
  </si>
  <si>
    <t>RAEAAAA7Vw0AAgAAAAs1LDY3ODI2NzQyNwCeSaSt60feCIkdAbbrR94IJkNJUS5JRy5JUV9MQVNUU0FMRVBSSUNFLjE0LzA1LzIwMjQuVVNEAQAAADtXDQACAAAADTUsNzI4MDM5ODA5NTEAnkmkretH3ggt9gC260feCCZDSVEuSUcuSVFfTEFTVFNBTEVQUklDRS4xNS8wNS8yMDI0LlVTRAEAAAA7Vw0AAgAAAA41LDg2MzQ5MzA5Nzg2NQCeSaSt60feCIkdAbbrR94IJkNJUS5JRy5JUV9MQVNUU0FMRVBSSUNFLjE2LzA1LzIwMjQuVVNEAQAAADtXDQACAAAADDUsODY5NTY1MjE4OACeSaSt60feCIkdAbbrR94IJkNJUS5JRy5JUV9MQVNUU0FMRVBSSUNFLjE3LzA1LzIwMjQuVVNEAQAAADtXDQACAAAADTUsODg3MTQ5MzgwMjIAnkmkretH3ggt9gC260feCCZDSVEuSUcuSVFfTEFTVFNBTEVQUklDRS4wNi8wNS8yMDI0LlVTRAEAAAA7Vw0AAgAAAAs1LDY5OTgxNjgyOQCeSaSt60feCIkdAbbrR94IJkNJUS5JRy5JUV9MQVNUU0FMRVBSSUNFLjIwLzA1LzIwMjQuVVNEAQAAADtXDQACAAAADTUsNDc0MDk1Nzk0NzIAnkmkretH3ggt9gC260feCChDSVEuWlogQi5JUV9MQVNUU0FMRVBSSUNFLjExLzA1LzIwMjQuVVNEAQAAACIcwgYCAAAACzcsMzM2MDU5ODE5AJ5JpK3rR94I50QBtutH3ggoQ0lRLlpaIEIuSVFfTEFTVFNBTEVQUklDRS4xMC8wNS8yMDI0LlVTRAEAAAAiHMIGAgAAAAs3LDMzNjA1OTgxOQCe</t>
  </si>
  <si>
    <t>SaSt60feCOdEAbbrR94IKENJUS5aWiBCLklRX0xBU1RTQUxFUFJJQ0UuMDkvMDUvMjAyNC5VU0QBAAAAIhzCBgIAAAAMNyw0ODI3NDI3MzI4AJ5JpK3rR94IiR0BtutH3ggoQ0lRLlpaIEIuSVFfTEFTVFNBTEVQUklDRS4wOC8wNS8yMDI0LlVTRAEAAAAiHMIGAgAAAAw3LDQ1NjM4OTc0NDMAnkmkretH3ghEbAG260feCChDSVEuWlogQi5JUV9MQVNUU0FMRVBSSUNFLjEzLzA1LzIwMjQuVVNEAQAAACIcwgYCAAAADDcsNjk5NTkyMzY0NQCeSaSt60feCERsAbbrR94IKENJUS5aWiBCLklRX0xBU1RTQUxFUFJJQ0UuMTQvMDUvMjAyNC5VU0QBAAAAIhzCBgIAAAALNyw1Nzg4NDU0MDgAnkmkretH3ghEbAG260feCChDSVEuWlogQi5JUV9MQVNUU0FMRVBSSUNFLjE1LzA1LzIwMjQuVVNEAQAAACIcwgYCAAAACjcsNzMxODAxOTEAnkmkretH3gjnRAG260feCChDSVEuWlogQi5JUV9MQVNUU0FMRVBSSUNFLjE2LzA1LzIwMjQuVVNEAQAAACIcwgYCAAAACzcsNzU1NjgyOTI5AJ5JpK3rR94I50QBtutH3ggoQ0lRLlpaIEIuSVFfTEFTVFNBTEVQUklDRS4wNS8wNS8yMDI0LlVTRAEAAAAiHMIGAgAAAAw2LDc4NjAwMDMxMTcAnkmkretH3gjnRAG260feCChDSVEuWlogQi5JUV9MQVNUU0FMRVBSSUNFLjE5LzA1LzIwMjQuVVNEAQAAACIcwgYCAAAADDcsNjc2ODA0NjQ0OACeSaSt60feCERsAbbrR94IJ0NJUS5D</t>
  </si>
  <si>
    <t>R1kuSVFfTEFTVFNBTEVQUklDRS4wOS8wNS8yMDI0LlVTRAEAAAADbw0AAgAAAA4zOSw1NDg2ODMxOTU1NgCeSaSt60feCERsAbbrR94IJ0NJUS5DR1kuSVFfTEFTVFNBTEVQUklDRS4wOC8wNS8yMDI0LlVTRAEAAAADbw0AAgAAAA00MCw0MDY5MTEwNTU3AJ5JpK3rR94IRGwBtutH3ggnQ0lRLkNHWS5JUV9MQVNUU0FMRVBSSUNFLjA3LzA1LzIwMjQuVVNEAQAAAANvDQACAAAADTQwLDgwNzY4NTU1NzYAnkmkretH3ghEbAG260feCCdDSVEuQ0dZLklRX0xBU1RTQUxFUFJJQ0UuMDYvMDUvMjAyNC5VU0QBAAAAA28NAAIAAAAOMzksNzA4NjI3NzE4NTYAnkmkretH3gifkwG260feCCdDSVEuQ0dZLklRX0xBU1RTQUxFUFJJQ0UuMTEvMDUvMjAyNC5VU0QBAAAAA28NAAIAAAAONDAsODc5MjE0MjAzMTUAnkmkretH3ghEbAG260feCCdDSVEuQ0dZLklRX0xBU1RTQUxFUFJJQ0UuMTIvMDUvMjAyNC5VU0QBAAAAA28NAAIAAAAONDAsODc5MjE0MjAzMTUAnkmkretH3gifkwG260feCCdDSVEuQ0dZLklRX0xBU1RTQUxFUFJJQ0UuMTMvMDUvMjAyNC5VU0QBAAAAA28NAAIAAAAONDAsOTE0NDcyNzk1NzQAnkmkretH3gifkwG260feCCdDSVEuQ0dZLklRX0xBU1RTQUxFUFJJQ0UuMTQvMDUvMjAyNC5VU0QBAAAAA28NAAIAAAAONDEsMzQxNTY3OTQyNjIAnkmkretH3gifkwG260feCCdDSVEuQ0dZLklRX0xBU1RT</t>
  </si>
  <si>
    <t>QUxFUFJJQ0UuMDMvMDUvMjAyNC5VU0QBAAAAA28NAAIAAAAOMzksMTg1ODgwODMwNzQAnkmkretH3gifkwG260feCCdDSVEuQ0dZLklRX0xBU1RTQUxFUFJJQ0UuMTcvMDUvMjAyNC5VU0QBAAAAA28NAAIAAAAONDIsNjM2NTQyMDM2NzIAnkmkretH3gifkwG260feCChDSVEuTUVLTy5JUV9MQVNUU0FMRVBSSUNFLjA5LzA1LzIwMjQuVVNEAQAAAKXFVgACAAAADTEwLDkzNDE5MjMzMjgAnkmkretH3gj8ugG260feCChDSVEuTUVLTy5JUV9MQVNUU0FMRVBSSUNFLjA4LzA1LzIwMjQuVVNEAQAAAKXFVgACAAAADTEwLDg5NTY4MzkwNjgAnkmkretH3gj8ugG260feCChDSVEuTUVLTy5JUV9MQVNUU0FMRVBSSUNFLjA3LzA1LzIwMjQuVVNEAQAAAKXFVgACAAAADTEwLDkzMDY3OTg2NjIAnkmkretH3gj8ugG260feCChDSVEuTUVLTy5JUV9MQVNUU0FMRVBSSUNFLjA2LzA1LzIwMjQuVVNEAQAAAKXFVgACAAAACzEwLDc5MTgxOTcyAJ5JpK3rR94I/LoBtutH3ggoQ0lRLk1FS08uSVFfTEFTVFNBTEVQUklDRS4xMS8wNS8yMDI0LlVTRAEAAAClxVYAAgAAAA0xMSwxMjg2NjQzMjkyAJ5JpK3rR94I/LoBtutH3ggoQ0lRLk1FS08uSVFfTEFTVFNBTEVQUklDRS4xMi8wNS8yMDI0LlVTRAEAAAClxVYAAgAAAA0xMSwxMjg2NjQzMjkyAJ5JpK3rR94I/LoBtutH3ggoQ0lRLk1FS08uSVFfTEFTVFNBTEVQUklDRS4x</t>
  </si>
  <si>
    <t>My8wNS8yMDI0LlVTRAEAAAClxVYAAgAAAA0xMSwwODM3MjQ1Nzc0AJ5JpK3rR94I/LoBtutH3ggoQ0lRLk1FS08uSVFfTEFTVFNBTEVQUklDRS4xNC8wNS8yMDI0LlVTRAEAAAClxVYAAgAAAA0xMSwzMTI4MTMxNDU2AJ5JpK3rR94In5MBtutH3ggoQ0lRLk1FS08uSVFfTEFTVFNBTEVQUklDRS4wMy8wNS8yMDI0LlVTRAEAAAClxVYAAgAAAA0xMCw3MjA1ODQzOTQyAJ5JpK3rR94I/LoBtutH3ggoQ0lRLk1FS08uSVFfTEFTVFNBTEVQUklDRS4xNy8wNS8yMDI0LlVTRAEAAAClxVYAAgAAAAwxMSwxMTM2MjIyOTYAnkmkretH3gifkwG260feCChDSVEuU1BIUi5JUV9MQVNUU0FMRVBSSUNFLjA5LzA1LzIwMjQuVVNEAQAAAJJ9GiICAAAABTQxLDI2AJ5JpK3rR94IXOIBtutH3ggoQ0lRLlNQSFIuSVFfTEFTVFNBTEVQUklDRS4wOC8wNS8yMDI0LlVTRAEAAACSfRoiAgAAAAUzOSw4MgCeSaSt60feCFziAbbrR94IKENJUS5TUEhSLklRX0xBU1RTQUxFUFJJQ0UuMDcvMDUvMjAyNC5VU0QBAAAAkn0aIgIAAAAFNDAsNjgAnkmkretH3gj8ugG260feCChDSVEuU1BIUi5JUV9MQVNUU0FMRVBSSUNFLjA2LzA1LzIwMjQuVVNEAQAAAJJ9GiICAAAABTQwLDc0AJ5JpK3rR94IugkCtutH3ggoQ0lRLlNQSFIuSVFfTEFTVFNBTEVQUklDRS4xMS8wNS8yMDI0LlVTRAEAAACSfRoiAgAAAAUzOSwyNgCeSaSt60feCLoJ</t>
  </si>
  <si>
    <t>ArbrR94IKENJUS5TUEhSLklRX0xBU1RTQUxFUFJJQ0UuMTIvMDUvMjAyNC5VU0QBAAAAkn0aIgIAAAAFMzksMjYAnkmkretH3gi6CQK260feCChDSVEuU1BIUi5JUV9MQVNUU0FMRVBSSUNFLjEzLzA1LzIwMjQuVVNEAQAAAJJ9GiICAAAABTM4LDU2AJ5JpK3rR94IXOIBtutH3ggoQ0lRLlNQSFIuSVFfTEFTVFNBTEVQUklDRS4xNC8wNS8yMDI0LlVTRAEAAACSfRoiAgAAAAUzOCwwMQCeSaSt60feCFziAbbrR94IKENJUS5TUEhSLklRX0xBU1RTQUxFUFJJQ0UuMDMvMDUvMjAyNC5VU0QBAAAAkn0aIgIAAAAFNDAsNTEAnkmkretH3ghc4gG260feCChDSVEuU1BIUi5JUV9MQVNUU0FMRVBSSUNFLjE3LzA1LzIwMjQuVVNEAQAAAJJ9GiICAAAABTM2LDA0AJ5JpK3rR94IugkCtutH3ggnQ0lRLkZDVC5JUV9MQVNUU0FMRVBSSUNFLjA4LzA1LzIwMjQuVVNEAQAAACDamQACAAAABTEwLDQxAJ5JpK3rR94IugkCtutH3ggnQ0lRLkZDVC5JUV9MQVNUU0FMRVBSSUNFLjA3LzA1LzIwMjQuVVNEAQAAACDamQACAAAABTEwLDQyAJ5JpK3rR94IRTgCtutH3ggnQ0lRLkZDVC5JUV9MQVNUU0FMRVBSSUNFLjA2LzA1LzIwMjQuVVNEAQAAACDamQACAAAABTEwLDMzAJ5JpK3rR94IRTgCtutH3ggnQ0lRLkZDVC5JUV9MQVNUU0FMRVBSSUNFLjA1LzA1LzIwMjQuVVNEAQAAACDamQACAAAABTEwLDI5AJ5JpK3rR94IRTgC</t>
  </si>
  <si>
    <t>tutH3ggnQ0lRLkZDVC5JUV9MQVNUU0FMRVBSSUNFLjEwLzA1LzIwMjQuVVNEAQAAACDamQACAAAABTEwLDQ0AJ5JpK3rR94IRTgCtutH3ggnQ0lRLkZDVC5JUV9MQVNUU0FMRVBSSUNFLjExLzA1LzIwMjQuVVNEAQAAACDamQACAAAABTEwLDQ0AJ5JpK3rR94IRTgCtutH3ggnQ0lRLkZDVC5JUV9MQVNUU0FMRVBSSUNFLjEyLzA1LzIwMjQuVVNEAQAAACDamQACAAAABTEwLDQ0AJ5JpK3rR94IugkCtutH3ggnQ0lRLkZDVC5JUV9MQVNUU0FMRVBSSUNFLjEzLzA1LzIwMjQuVVNEAQAAACDamQACAAAABjEwLDQzNQCeSaSt60feCEU4ArbrR94IJ0NJUS5GQ1QuSVFfTEFTVFNBTEVQUklDRS4wMi8wNS8yMDI0LlVTRAEAAAAg2pkAAgAAAAUxMCwzMQCeSaSt60feCEU4ArbrR94IJ0NJUS5GQ1QuSVFfTEFTVFNBTEVQUklDRS4xNi8wNS8yMDI0LlVTRAEAAAAg2pkAAgAAAAUxMCw1MgCeSaSt60feCJlfArbrR94IJ0NJUS5UQUwuSVFfTEFTVFNBTEVQUklDRS4wNy8wNS8yMDI0LlVTRAEAAABBTcoGAgAAAAQxMiw4AJ5JpK3rR94ImV8CtutH3ggnQ0lRLlRBTC5JUV9MQVNUU0FMRVBSSUNFLjA2LzA1LzIwMjQuVVNEAQAAAEFNygYCAAAABTEzLDE0AJ5JpK3rR94ImV8CtutH3ggnQ0lRLlRBTC5JUV9MQVNUU0FMRVBSSUNFLjA1LzA1LzIwMjQuVVNEAQAAAEFNygYCAAAABTEzLDE4AJ5JpK3rR94ImV8CtutH3ggn</t>
  </si>
  <si>
    <t>Q0lRLlRBTC5JUV9MQVNUU0FMRVBSSUNFLjA0LzA1LzIwMjQuVVNEAQAAAEFNygYCAAAABTEzLDE4AJ5JpK3rR94ImV8CtutH3ggnQ0lRLlRBTC5JUV9MQVNUU0FMRVBSSUNFLjA5LzA1LzIwMjQuVVNEAQAAAEFNygYCAAAABTEzLDc5AEhypK3rR94ImV8CtutH3ggnQ0lRLlRBTC5JUV9MQVNUU0FMRVBSSUNFLjEwLzA1LzIwMjQuVVNEAQAAAEFNygYCAAAABTEzLDQyAEhypK3rR94ImV8CtutH3ggnQ0lRLlRBTC5JUV9MQVNUU0FMRVBSSUNFLjExLzA1LzIwMjQuVVNEAQAAAEFNygYCAAAABTEzLDQyAEhypK3rR94ImV8CtutH3ggnQ0lRLlRBTC5JUV9MQVNUU0FMRVBSSUNFLjEyLzA1LzIwMjQuVVNEAQAAAEFNygYCAAAABTEzLDQyAEhypK3rR94ImV8CtutH3ggnQ0lRLlRBTC5JUV9MQVNUU0FMRVBSSUNFLjAxLzA1LzIwMjQuVVNEAQAAAEFNygYCAAAABTExLDg4AEhypK3rR94I94YCtutH3ggnQ0lRLlRBTC5JUV9MQVNUU0FMRVBSSUNFLjE1LzA1LzIwMjQuVVNEAQAAAEFNygYCAAAABTEzLDEyAEhypK3rR94ImV8CtutH3ggpQ0lRLklORlJBLklRX0xBU1RTQUxFUFJJQ0UuMDcvMDUvMjAyNC5VU0QBAAAAweYbIAIAAAAMMyw1MDQ4NDU3NDM5AEhypK3rR94IUq4CtutH3ggpQ0lRLklORlJBLklRX0xBU1RTQUxFUFJJQ0UuMDYvMDUvMjAyNC5VU0QBAAAAweYbIAIAAAAKMyw1MDc4MDQxOABIcqSt60fe</t>
  </si>
  <si>
    <t>CFKuArbrR94IKUNJUS5JTkZSQS5JUV9MQVNUU0FMRVBSSUNFLjA1LzA1LzIwMjQuVVNEAQAAAMHmGyACAAAADDMsNTA4NzIzMjE3MQBIcqSt60feCPeGArbrR94IKUNJUS5JTkZSQS5JUV9MQVNUU0FMRVBSSUNFLjA0LzA1LzIwMjQuVVNEAQAAAMHmGyACAAAADDMsNTA4NzIzMjE3MQBIcqSt60feCFKuArbrR94IKUNJUS5JTkZSQS5JUV9MQVNUU0FMRVBSSUNFLjA5LzA1LzIwMjQuVVNEAQAAAMHmGyACAAAADDMsNDg4MjY1MDYyNABIcqSt60feCFKuArbrR94IKUNJUS5JTkZSQS5JUV9MQVNUU0FMRVBSSUNFLjEwLzA1LzIwMjQuVVNEAQAAAMHmGyACAAAADDMsNDk3MzE2NTY3OABIcqSt60feCFKuArbrR94IKUNJUS5JTkZSQS5JUV9MQVNUU0FMRVBSSUNFLjExLzA1LzIwMjQuVVNEAQAAAMHmGyACAAAADDMsNDk3MzE2NTY3OABIcqSt60feCPeGArbrR94IKUNJUS5JTkZSQS5JUV9MQVNUU0FMRVBSSUNFLjEyLzA1LzIwMjQuVVNEAQAAAMHmGyACAAAADDMsNDk3MzE2NTY3OABIcqSt60feCPeGArbrR94IKUNJUS5JTkZSQS5JUV9MQVNUU0FMRVBSSUNFLjAxLzA1LzIwMjQuVVNEAQAAAMHmGyACAAAADDMsNDU0MjU2NjM0NABIcqSt60feCPeGArbrR94IKUNJUS5JTkZSQS5JUV9MQVNUU0FMRVBSSUNFLjE1LzA1LzIwMjQuVVNEAQAAAMHmGyACAAAACzMsNTQ3NjQyNzY1AEhypK3rR94Ir9UCtutH3ggo</t>
  </si>
  <si>
    <t>Q0lRLkFEVlQuSVFfTEFTVFNBTEVQUklDRS4wNi8wNS8yMDI0LlVTRAEAAAAPLAoAAgAAAAUxRS0wNgBIcqSt60feCK/VArbrR94IKENJUS5BRFZULklRX0xBU1RTQUxFUFJJQ0UuMDUvMDUvMjAyNC5VU0QBAAAADywKAAIAAAAFMUUtMDYASHKkretH3giv1QK260feCChDSVEuQURWVC5JUV9MQVNUU0FMRVBSSUNFLjA0LzA1LzIwMjQuVVNEAQAAAA8sCgACAAAABTFFLTA2AEhypK3rR94Ir9UCtutH3ggoQ0lRLkFEVlQuSVFfTEFTVFNBTEVQUklDRS4wMy8wNS8yMDI0LlVTRAEAAAAPLAoAAgAAAAUxRS0wNgBIcqSt60feCK/VArbrR94IKENJUS5BRFZULklRX0xBU1RTQUxFUFJJQ0UuMDgvMDUvMjAyNC5VU0QBAAAADywKAAIAAAAFMUUtMDYASHKkretH3giv1QK260feCChDSVEuQURWVC5JUV9MQVNUU0FMRVBSSUNFLjA5LzA1LzIwMjQuVVNEAQAAAA8sCgACAAAABTFFLTA2AEhypK3rR94IUq4CtutH3ggoQ0lRLkFEVlQuSVFfTEFTVFNBTEVQUklDRS4xMC8wNS8yMDI0LlVTRAEAAAAPLAoAAgAAAAUxRS0wNgBIcqSt60feCK/VArbrR94IKENJUS5BRFZULklRX0xBU1RTQUxFUFJJQ0UuMTEvMDUvMjAyNC5VU0QBAAAADywKAAIAAAAFMUUtMDYASHKkretH3ggL/QK260feCChDSVEuQURWVC5JUV9MQVNUU0FMRVBSSUNFLjMwLzA0LzIwMjQuVVNEAQAAAA8sCgACAAAABTFFLTA2AEhypK3rR94IC/0CtutH</t>
  </si>
  <si>
    <t>3ggoQ0lRLkFEVlQuSVFfTEFTVFNBTEVQUklDRS4xNC8wNS8yMDI0LlVTRAEAAAAPLAoAAgAAAAUxRS0wNgBIcqSt60feCAv9ArbrR94IKENJUS5BQkRYLklRX0xBU1RTQUxFUFJJQ0UuMDYvMDUvMjAyNC5VU0QBAAAA9rafBwIAAAAPMCwxMjI1NzA1ODgxMDc1AEhypK3rR94IC/0CtutH3ggoQ0lRLkFCRFguSVFfTEFTVFNBTEVQUklDRS4wNS8wNS8yMDI0LlVTRAEAAAD2tp8HAgAAAA4wLDEyMjM2OTA2NTA2NQBIcqSt60feCAv9ArbrR94IKENJUS5BQkRYLklRX0xBU1RTQUxFUFJJQ0UuMDQvMDUvMjAyNC5VU0QBAAAA9rafBwIAAAAOMCwxMjIzNjkwNjUwNjUASHKkretH3ggL/QK260feCChDSVEuQUJEWC5JUV9MQVNUU0FMRVBSSUNFLjAzLzA1LzIwMjQuVVNEAQAAAPa2nwcCAAAADjAsMTIyMzY5MDY1MDY1AEhypK3rR94IaSQDtutH3ggoQ0lRLkFCRFguSVFfTEFTVFNBTEVQUklDRS4wOC8wNS8yMDI0LlVTRAEAAAD2tp8HAgAAAAswLDEyNDkyOTcyNwBIcqSt60feCGkkA7brR94IKENJUS5BQkRYLklRX0xBU1RTQUxFUFJJQ0UuMDkvMDUvMjAyNC5VU0QBAAAA9rafBwIAAAAMMCwxMjUxMzkyMTc0AEhypK3rR94IC/0CtutH3ggoQ0lRLkFCRFguSVFfTEFTVFNBTEVQUklDRS4xMC8wNS8yMDI0LlVTRAEAAAD2tp8HAgAAAA4wLDEyMjAxMzc5MDY2NQBIcqSt60feCAv9ArbrR94IKENJUS5BQkRYLklR</t>
  </si>
  <si>
    <t>X0xBU1RTQUxFUFJJQ0UuMTEvMDUvMjAyNC5VU0QBAAAA9rafBwIAAAAOMCwxMjIwMTM3OTA2NjUASHKkretH3ghpJAO260feCChDSVEuQUJEWC5JUV9MQVNUU0FMRVBSSUNFLjMwLzA0LzIwMjQuVVNEAQAAAPa2nwcCAAAADDAsMTI1MjQ1Nzk0OQBIcqSt60feCAv9ArbrR94IKENJUS5BQkRYLklRX0xBU1RTQUxFUFJJQ0UuMTQvMDUvMjAyNC5VU0QBAAAA9rafBwIAAAAOMCwxMjI2ODAwODgxMTUASHKkretH3ggL/QK260feCClDSVEuTUFOVEEuSVFfTEFTVFNBTEVQUklDRS4wNi8wNS8yMDI0LlVTRAEAAADIJSwqAgAAAAw0LDkwMTQxMTQ4NDkASHKkretH3gjGSwO260feCClDSVEuTUFOVEEuSVFfTEFTVFNBTEVQUklDRS4wNS8wNS8yMDI0LlVTRAEAAADIJSwqAgAAAA40LDgyMjc5NDM1NTg3NABIcqSt60feCMZLA7brR94IKUNJUS5NQU5UQS5JUV9MQVNUU0FMRVBSSUNFLjA0LzA1LzIwMjQuVVNEAQAAAMglLCoCAAAADjQsODIyNzk0MzU1ODc0AEhypK3rR94IaSQDtutH3ggpQ0lRLk1BTlRBLklRX0xBU1RTQUxFUFJJQ0UuMDMvMDUvMjAyNC5VU0QBAAAAyCUsKgIAAAAONCw4MjI3OTQzNTU4NzQASHKkretH3gjGSwO260feCClDSVEuTUFOVEEuSVFfTEFTVFNBTEVQUklDRS4wOC8wNS8yMDI0LlVTRAEAAADIJSwqAgAAAA40LDY4NzgwMjI1NTQxMgBIcqSt60feCMZLA7brR94IKUNJUS5NQU5UQS5J</t>
  </si>
  <si>
    <t>UV9MQVNUU0FMRVBSSUNFLjA5LzA1LzIwMjQuVVNEAQAAAMglLCoCAAAADDQsNjk5OTI0NTc2MgBIcqSt60feCMZLA7brR94IKUNJUS5NQU5UQS5JUV9MQVNUU0FMRVBSSUNFLjEwLzA1LzIwMjQuVVNEAQAAAMglLCoCAAAADTQsODMwMzcxNTY5MTQASHKkretH3ghpJAO260feCClDSVEuTUFOVEEuSVFfTEFTVFNBTEVQUklDRS4xMS8wNS8yMDI0LlVTRAEAAADIJSwqAgAAAA00LDgzMDM3MTU2OTE0AEhypK3rR94IaSQDtutH3ggpQ0lRLk1BTlRBLklRX0xBU1RTQUxFUFJJQ0UuMzAvMDQvMjAyNC5VU0QBAAAAyCUsKgIAAAAONCw2NTM1NTAwNDA4MzIASHKkretH3ghpJAO260feCClDSVEuTUFOVEEuSVFfTEFTVFNBTEVQUklDRS4xNC8wNS8yMDI0LlVTRAEAAADIJSwqAgAAAA40LDc0MDM3MjEzMzE5NgBIcqSt60feCCFzA7brR94IKENJUS5CU1FSLklRX0xBU1RTQUxFUFJJQ0UuMDYvMDUvMjAyNC5VU0QBAAAAtQv2IwIAAAAKMjIsNjI2ODcyMQBIcqSt60feCCFzA7brR94IKENJUS5CU1FSLklRX0xBU1RTQUxFUFJJQ0UuMDUvMDUvMjAyNC5VU0QBAAAAtQv2IwIAAAAMMjIsNjIxOTk3MjAyAEhypK3rR94IIXMDtutH3ggoQ0lRLkJTUVIuSVFfTEFTVFNBTEVQUklDRS4wNC8wNS8yMDI0LlVTRAEAAAC1C/YjAgAAAAwyMiw2MjE5OTcyMDIASHKkretH3gghcwO260feCChDSVEuQlNRUi5JUV9MQVNUU0FM</t>
  </si>
  <si>
    <t>RVBSSUNFLjAzLzA1LzIwMjQuVVNEAQAAALUL9iMCAAAADDIyLDYyMTk5NzIwMgBIcqSt60feCCFzA7brR94IKENJUS5CU1FSLklRX0xBU1RTQUxFUFJJQ0UuMDgvMDUvMjAyNC5VU0QBAAAAtQv2IwIAAAAMMjIsNTY4NTExNTQ2AEhypK3rR94IIXMDtutH3ggoQ0lRLkJTUVIuSVFfTEFTVFNBTEVQUklDRS4wOS8wNS8yMDI0LlVTRAEAAAC1C/YjAgAAAAoyMiw2MjY4NzIxAEhypK3rR94IxksDtutH3ggoQ0lRLkJTUVIuSVFfTEFTVFNBTEVQUklDRS4xMC8wNS8yMDI0LlVTRAEAAAC1C/YjAgAAAAwyMiw2MTcxMjQ0MDQASHKkretH3gghcwO260feCChDSVEuQlNRUi5JUV9MQVNUU0FMRVBSSUNFLjExLzA1LzIwMjQuVVNEAQAAALUL9iMCAAAADDIyLDYxNzEyNDQwNABIcqSt60feCH2aA7brR94IKENJUS5CU1FSLklRX0xBU1RTQUxFUFJJQ0UuMzAvMDQvMjAyNC5VU0QBAAAAtQv2IwIAAAAMMjIsNDU1MDg5ODExAEhypK3rR94IfZoDtutH3ggoQ0lRLkJTUVIuSVFfTEFTVFNBTEVQUklDRS4xNC8wNS8yMDI0LlVTRAEAAAC1C/YjAgAAAAwyMyw3OTkyMjExMTYASHKkretH3gh9mgO260feCCpDSVEuNjg4MTY3LklRX0xBU1RTQUxFUFJJQ0UuMDYvMDUvMjAyNC5VU0QBAAAAJdxSEwIAAAAOMTAsMjU5MzI3NjEyMTYASHKkretH3gh9mgO260feCCpDSVEuNjg4MTY3LklRX0xBU1RTQUxFUFJJQ0UuMDUvMDUv</t>
  </si>
  <si>
    <t>MjAyNC5VU0QBAAAAJdxSEwIAAAANOSw3NjM3MTQyMTk5OABIcqSt60feCNjBA7brR94IKkNJUS42ODgxNjcuSVFfTEFTVFNBTEVQUklDRS4wNC8wNS8yMDI0LlVTRAEAAAAl3FITAgAAAA05LDc2MzcxNDIxOTk4AEhypK3rR94I2MEDtutH3ggqQ0lRLjY4ODE2Ny5JUV9MQVNUU0FMRVBSSUNFLjAzLzA1LzIwMjQuVVNEAQAAACXcUhMCAAAADTksNzYzNzE0MjE5OTgASHKkretH3gjYwQO260feCCpDSVEuNjg4MTY3LklRX0xBU1RTQUxFUFJJQ0UuMDgvMDUvMjAyNC5VU0QBAAAAJdxSEwIAAAANMTAsMDg5Mzk0NDM1OQBIcqSt60feCH2aA7brR94IKkNJUS42ODgxNjcuSVFfTEFTVFNBTEVQUklDRS4wOS8wNS8yMDI0LlVTRAEAAAAl3FITAgAAAA4xMCw0NTA3OTk3OTk0NABIcqSt60feCH2aA7brR94IKkNJUS42ODgxNjcuSVFfTEFTVFNBTEVQUklDRS4xMC8wNS8yMDI0LlVTRAEAAAAl3FITAgAAAAw5LDgxMjQ2OTc0NDMASHKkretH3gjYwQO260feCCpDSVEuNjg4MTY3LklRX0xBU1RTQUxFUFJJQ0UuMTEvMDUvMjAyNC5VU0QBAAAAJdxSEwIAAAAMOSw4MTI0Njk3NDQzAEhypK3rR94IfZoDtutH3ggqQ0lRLjY4ODE2Ny5JUV9MQVNUU0FMRVBSSUNFLjMwLzA0LzIwMjQuVVNEAQAAACXcUhMCAAAADTksNzYxOTYwNjUwNzYASHKkretH3gjYwQO260feCCpDSVEuNjg4MTY3LklRX0xBU1RTQUxFUFJJQ0Uu</t>
  </si>
  <si>
    <t>MTQvMDUvMjAyNC5VU0QBAAAAJdxSEwIAAAAMOSwwMDEwMzY5ODI3AEhypK3rR94IfZoDtutH3ggnQ0lRLlBPUy5JUV9MQVNUU0FMRVBSSUNFLjA2LzA1LzIwMjQuVVNEAQAAAM/FfQECAAAADTAsMTc1OTk4NzkzMTgASHKkretH3gjpNwS260feCCdDSVEuUE9TLklRX0xBU1RTQUxFUFJJQ0UuMDUvMDUvMjAyNC5VU0QBAAAAz8V9AQIAAAANMCwxNzU3MDk0MjY3NgBIcqSt60feCEJfBLbrR94IJ0NJUS5QT1MuSVFfTEFTVFNBTEVQUklDRS4wNC8wNS8yMDI0LlVTRAEAAADPxX0BAgAAAA0wLDE3NTcwOTQyNjc2AEhypK3rR94I6TcEtutH3ggnQ0lRLlBPUy5JUV9MQVNUU0FMRVBSSUNFLjAzLzA1LzIwMjQuVVNEAQAAAM/FfQECAAAADTAsMTc1NzA5NDI2NzYASHKkretH3ghCXwS260feCCdDSVEuUE9TLklRX0xBU1RTQUxFUFJJQ0UuMDgvMDUvMjAyNC5VU0QBAAAAz8V9AQIAAAAOMCwxNzE3NzgzNzQ2MjUASHKkretH3ghCXwS260feCCdDSVEuUE9TLklRX0xBU1RTQUxFUFJJQ0UuMDkvMDUvMjAyNC5VU0QBAAAAz8V9AQIAAAAOMCwxNzgzMjMzODQ3OTUASHKkretH3ghCXwS260feCCdDSVEuUE9TLklRX0xBU1RTQUxFUFJJQ0UuMTAvMDUvMjAyNC5VU0QBAAAAz8V9AQIAAAANMCwxODE0NTY0MDY2MwBIcqSt60feCEJfBLbrR94IJ0NJUS5QT1MuSVFfTEFTVFNBTEVQUklDRS4xMS8wNS8yMDI0LlVTRAEA</t>
  </si>
  <si>
    <t>AADPxX0BAgAAAA0wLDE4MTQ1NjQwNjYzAEhypK3rR94IQl8EtutH3ggnQ0lRLlBPUy5JUV9MQVNUU0FMRVBSSUNFLjMwLzA0LzIwMjQuVVNEAQAAAM/FfQECAAAADzAsMTg0NzM3NTQ3NDc3NQBIcqSt60feCOk3BLbrR94IJ0NJUS5QT1MuSVFfTEFTVFNBTEVQUklDRS4xNC8wNS8yMDI0LlVTRAEAAADPxX0BAgAAAA4wLDE5MTg4NDI0MDM4NQBIcqSt60feCOk3BLbrR94IJ0NJUS5TM0QuSVFfTEFTVFNBTEVQUklDRS4wNi8wNS8yMDI0LlVTRAEAAAAcFpgqAgAAAAszLDQ5MTAwMzEyNABIcqSt60feCJAQBLbrR94IJ0NJUS5TM0QuSVFfTEFTVFNBTEVQUklDRS4wNS8wNS8yMDI0LlVTRAEAAAAcFpgqAgAAAA0zLDUxMTc5NTc1NjEyAEhypK3rR94IkBAEtutH3ggnQ0lRLlMzRC5JUV9MQVNUU0FMRVBSSUNFLjA0LzA1LzIwMjQuVVNEAQAAABwWmCoCAAAADTMsNTExNzk1NzU2MTIASHKkretH3giQEAS260feCCdDSVEuUzNELklRX0xBU1RTQUxFUFJJQ0UuMDMvMDUvMjAyNC5VU0QBAAAAHBaYKgIAAAANMyw1MTE3OTU3NTYxMgBIcqSt60feCJAQBLbrR94IJ0NJUS5TM0QuSVFfTEFTVFNBTEVQUklDRS4wOC8wNS8yMDI0LlVTRAEAAAAcFpgqAgAAAA0zLDU0MTEwNjkzMDY3AEhypK3rR94IkBAEtutH3ggnQ0lRLlMzRC5JUV9MQVNUU0FMRVBSSUNFLjA5LzA1LzIwMjQuVVNEAQAAABwWmCoCAAAADDMsNTgy</t>
  </si>
  <si>
    <t>NTg4MDgyNQBIcqSt60feCJAQBLbrR94IJ0NJUS5TM0QuSVFfTEFTVFNBTEVQUklDRS4xMC8wNS8yMDI0LlVTRAEAAAAcFpgqAgAAAAwzLDUyNzE5NDQwMTEASHKkretH3giQEAS260feCCdDSVEuUzNELklRX0xBU1RTQUxFUFJJQ0UuMTEvMDUvMjAyNC5VU0QBAAAAHBaYKgIAAAAMMyw1MjcxOTQ0MDExAEhypK3rR94I6TcEtutH3ggnQ0lRLlMzRC5JUV9MQVNUU0FMRVBSSUNFLjMwLzA0LzIwMjQuVVNEAQAAABwWmCoCAAAADjMsMjAyNTIzNTIzMDQ1AEhypK3rR94I6TcEtutH3ggnQ0lRLlMzRC5JUV9MQVNUU0FMRVBSSUNFLjE0LzA1LzIwMjQuVVNEAQAAABwWmCoCAAAADTMsNTIxMjAyOTQyMzkASHKkretH3gjpNwS260feCCdDSVEuRk9NLklRX0xBU1RTQUxFUFJJQ0UuMDUvMDUvMjAyNC5VU0QBAAAAVXUvAAIAAAANMywwNDc0NjU5MjgwOQBIcqSt60feCDiGBLbrR94IJ0NJUS5GT00uSVFfTEFTVFNBTEVQUklDRS4wNC8wNS8yMDI0LlVTRAEAAABVdS8AAgAAAA0zLDA0NzQ2NTkyODA5AMuZpK3rR94IOIYEtutH3ggnQ0lRLkZPTS5JUV9MQVNUU0FMRVBSSUNFLjAzLzA1LzIwMjQuVVNEAQAAAFV1LwACAAAADTMsMDQ3NDY1OTI4MDkAy5mkretH3ghCXwS260feCCdDSVEuRk9NLklRX0xBU1RTQUxFUFJJQ0UuMDIvMDUvMjAyNC5VU0QBAAAAVXUvAAIAAAAMMywwMjg0MDEyOTU4AMuZpK3rR94IR60E</t>
  </si>
  <si>
    <t>tutH3ggnQ0lRLkZPTS5JUV9MQVNUU0FMRVBSSUNFLjA3LzA1LzIwMjQuVVNEAQAAAFV1LwACAAAADTMsMDgwNjUxNzU0MDgAy5mkretH3ghHrQS260feCCdDSVEuRk9NLklRX0xBU1RTQUxFUFJJQ0UuMDgvMDUvMjAyNC5VU0QBAAAAVXUvAAIAAAANMywwMDk1Njc5NDY5OADLmaSt60feCEetBLbrR94IJ0NJUS5GT00uSVFfTEFTVFNBTEVQUklDRS4wOS8wNS8yMDI0LlVTRAEAAABVdS8AAgAAAA0zLDEzNDk1NjU5NDc3AMuZpK3rR94IOIYEtutH3ggnQ0lRLkZPTS5JUV9MQVNUU0FMRVBSSUNFLjEwLzA1LzIwMjQuVVNEAQAAAFV1LwACAAAADTMsMTE4MDkyMjU2MTQAy5mkretH3gg4hgS260feCCdDSVEuRk9NLklRX0xBU1RTQUxFUFJJQ0UuMjkvMDQvMjAyNC5VU0QBAAAAVXUvAAIAAAANMywxOTM5OTg3OTk1MgDLmaSt60feCDiGBLbrR94IJ0NJUS5GT00uSVFfTEFTVFNBTEVQUklDRS4xMy8wNS8yMDI0LlVTRAEAAABVdS8AAgAAAAwzLDA2OTY4MTc3NDYAy5mkretH3ghHrQS260feCCdDSVEuR0NQLklRX0xBU1RTQUxFUFJJQ0UuMDUvMDUvMjAyNC5VU0QBAAAAZz1gBgIAAAAOMCw5NTEzNDEwMzkxNzIAy5mkretH3ghHrQS260feCCdDSVEuR0NQLklRX0xBU1RTQUxFUFJJQ0UuMDQvMDUvMjAyNC5VU0QBAAAAZz1gBgIAAAAOMCw5NTEzNDEwMzkxNzIAy5mkretH3ghZ1AS260feCCdDSVEuR0NQLklR</t>
  </si>
  <si>
    <t>X0xBU1RTQUxFUFJJQ0UuMDMvMDUvMjAyNC5VU0QBAAAAZz1gBgIAAAAOMCw5NTEzNDEwMzkxNzIAy5mkretH3ghZ1AS260feCCdDSVEuR0NQLklRX0xBU1RTQUxFUFJJQ0UuMDIvMDUvMjAyNC5VU0QBAAAAZz1gBgIAAAAOMCw5MzM0MTE2MzgxMzMAy5mkretH3ghZ1AS260feCCdDSVEuR0NQLklRX0xBU1RTQUxFUFJJQ0UuMDcvMDUvMjAyNC5VU0QBAAAAZz1gBgIAAAALMCw5NDA2ODY1NzYAy5mkretH3ghZ1AS260feCCdDSVEuR0NQLklRX0xBU1RTQUxFUFJJQ0UuMDgvMDUvMjAyNC5VU0QBAAAAZz1gBgIAAAAMMCw5MzY5NzI5NTI1AMuZpK3rR94IR60EtutH3ggnQ0lRLkdDUC5JUV9MQVNUU0FMRVBSSUNFLjA5LzA1LzIwMjQuVVNEAQAAAGc9YAYCAAAADDAsOTM4NTQ0MTMwNQDLmaSt60feCFnUBLbrR94IJ0NJUS5HQ1AuSVFfTEFTVFNBTEVQUklDRS4xMC8wNS8yMDI0LlVTRAEAAABnPWAGAgAAAA4wLDk1NjA4NzU0OTQxNgDLmaSt60feCFnUBLbrR94IJ0NJUS5HQ1AuSVFfTEFTVFNBTEVQUklDRS4yOS8wNC8yMDI0LlVTRAEAAABnPWAGAgAAAA4wLDk2MTM4MTU3Nzg0NADLmaSt60feCFnUBLbrR94IJ0NJUS5HQ1AuSVFfTEFTVFNBTEVQUklDRS4xMy8wNS8yMDI0LlVTRAEAAABnPWAGAgAAAA4wLDk1ODk5MTgwMzczNgDLmaSt60feCFnUBLbrR94ILUNJUS5TVU5QSEFSTUEuSVFfTEFTVFNBTEVQ</t>
  </si>
  <si>
    <t>UklDRS4wMy8wNS8yMDI0LlVTRAEAAACwJwIAAgAAAA0xOCwxMjE4NDY4MDM1AMuZpK3rR94IWdQEtutH3ggtQ0lRLlNVTlBIQVJNQS5JUV9MQVNUU0FMRVBSSUNFLjAyLzA1LzIwMjQuVVNEAQAAALAnAgACAAAADDE4LDIwMDY4MzgyMwDLmaSt60feCGb7BLbrR94ILUNJUS5TVU5QSEFSTUEuSVFfTEFTVFNBTEVQUklDRS4wMS8wNS8yMDI0LlVTRAEAAACwJwIAAgAAAA0xNyw5OTU2NjU3MDk4AMuZpK3rR94IZvsEtutH3ggtQ0lRLlNVTlBIQVJNQS5JUV9MQVNUU0FMRVBSSUNFLjMwLzA0LzIwMjQuVVNEAQAAALAnAgACAAAADTE3LDk5NTkwMzA0MTYAy5mkretH3ghm+wS260feCC1DSVEuU1VOUEhBUk1BLklRX0xBU1RTQUxFUFJJQ0UuMDUvMDUvMjAyNC5VU0QBAAAAsCcCAAIAAAANMTgsMTIxODQ2ODAzNQDLmaSt60feCGb7BLbrR94ILUNJUS5TVU5QSEFSTUEuSVFfTEFTVFNBTEVQUklDRS4wNi8wNS8yMDI0LlVTRAEAAACwJwIAAgAAAA4xOCwzMTYyODg2Nzc3NQDLmaSt60feCGb7BLbrR94ILUNJUS5TVU5QSEFSTUEuSVFfTEFTVFNBTEVQUklDRS4wNy8wNS8yMDI0LlVTRAEAAACwJwIAAgAAAA0xOCwxNTg5MzAwMjM0AMuZpK3rR94IZvsEtutH3ggtQ0lRLlNVTlBIQVJNQS5JUV9MQVNUU0FMRVBSSUNFLjA4LzA1LzIwMjQuVVNEAQAAALAnAgACAAAADDE4LDIzMTczMzcwNADLmaSt60feCGb7BLbr</t>
  </si>
  <si>
    <t>R94ILUNJUS5TVU5QSEFSTUEuSVFfTEFTVFNBTEVQUklDRS4yNy8wNC8yMDI0LlVTRAEAAACwJwIAAgAAAA0xOCwwNjQ2MjUyNDIyAMuZpK3rR94IZvsEtutH3ggtQ0lRLlNVTlBIQVJNQS5JUV9MQVNUU0FMRVBSSUNFLjExLzA1LzIwMjQuVVNEAQAAALAnAgACAAAADjE4LDAzNDg2OTM3MzE1AMuZpK3rR94IZvsEtutH3ggqQ0lRLlRHQU1FUy5JUV9MQVNUU0FMRVBSSUNFLjAyLzA1LzIwMjQuVVNEAQAAAFwQ7SgCAAAADDAsOTUzODY4NjE4NQDLmaSt60feCHkiBbbrR94IKkNJUS5UR0FNRVMuSVFfTEFTVFNBTEVQUklDRS4wMS8wNS8yMDI0LlVTRAEAAABcEO0oAgAAAAwwLDk3MzgzMjU0OTIAy5mkretH3gh5IgW260feCCpDSVEuVEdBTUVTLklRX0xBU1RTQUxFUFJJQ0UuMzAvMDQvMjAyNC5VU0QBAAAAXBDtKAIAAAAMMCw5Mzg5Mzg4NzEzAMuZpK3rR94IeSIFtutH3ggqQ0lRLlRHQU1FUy5JUV9MQVNUU0FMRVBSSUNFLjI5LzA0LzIwMjQuVVNEAQAAAFwQ7SgCAAAADDAsOTcwMDY1OTIyNQDLmaSt60feCIdJBbbrR94IKkNJUS5UR0FNRVMuSVFfTEFTVFNBTEVQUklDRS4wNC8wNS8yMDI0LlVTRAEAAABcEO0oAgAAAAsxLDAxMDg2MDk3NwDLmaSt60feCIdJBbbrR94IKkNJUS5UR0FNRVMuSVFfTEFTVFNBTEVQUklDRS4wNS8wNS8yMDI0LlVTRAEAAABcEO0oAgAAAAsxLDAxMDg2MDk3NwDLmaSt60fe</t>
  </si>
  <si>
    <t>CIdJBbbrR94IKkNJUS5UR0FNRVMuSVFfTEFTVFNBTEVQUklDRS4wNi8wNS8yMDI0LlVTRAEAAABcEO0oAgAAAAswLDk3NTExNzg3OQDLmaSt60feCHkiBbbrR94IKkNJUS5UR0FNRVMuSVFfTEFTVFNBTEVQUklDRS4wNy8wNS8yMDI0LlVTRAEAAABcEO0oAgAAAAwwLDk3NTE3NzA0OTUAy5mkretH3gh5IgW260feCCpDSVEuVEdBTUVTLklRX0xBU1RTQUxFUFJJQ0UuMjYvMDQvMjAyNC5VU0QBAAAAXBDtKAIAAAAMMCw5MTY0MjYyMjcyAMuZpK3rR94IeSIFtutH3ggqQ0lRLlRHQU1FUy5JUV9MQVNUU0FMRVBSSUNFLjEwLzA1LzIwMjQuVVNEAQAAAFwQ7SgCAAAACzEsMDEwNDI0Njk1AMuZpK3rR94ImXAFtutH3ggnQ0lRLktBUi5JUV9MQVNUU0FMRVBSSUNFLjAyLzA1LzIwMjQuVVNEAQAAACsYqAACAAAADTEsMjM2MzQ0NjA1NjUAy5mkretH3giZcAW260feCCdDSVEuS0FSLklRX0xBU1RTQUxFUFJJQ0UuMDEvMDUvMjAyNC5VU0QBAAAAKxioAAIAAAANMSwyMjEwOTYzODkyOADLmaSt60feCJlwBbbrR94IJ0NJUS5LQVIuSVFfTEFTVFNBTEVQUklDRS4zMC8wNC8yMDI0LlVTRAEAAAArGKgAAgAAAA0xLDI2MzA2OTAzMTAxAMuZpK3rR94Ih0kFtutH3ggnQ0lRLktBUi5JUV9MQVNUU0FMRVBSSUNFLjI5LzA0LzIwMjQuVVNEAQAAACsYqAACAAAADjEsMjQ5NTkwMDI4NzU1AMuZpK3rR94ImXAFtutH3ggn</t>
  </si>
  <si>
    <t>Q0lRLktBUi5JUV9MQVNUU0FMRVBSSUNFLjA0LzA1LzIwMjQuVVNEAQAAACsYqAACAAAADTEsMjYzMDYwNDQwOTkAy5mkretH3giZcAW260feCCdDSVEuS0FSLklRX0xBU1RTQUxFUFJJQ0UuMDUvMDUvMjAyNC5VU0QBAAAAKxioAAIAAAANMSwyNjMwNjA0NDA5OQDLmaSt60feCJlwBbbrR94IJ0NJUS5LQVIuSVFfTEFTVFNBTEVQUklDRS4wNi8wNS8yMDI0LlVTRAEAAAArGKgAAgAAAAsxLDI1Nzg2MTYzNgDLmaSt60feCJlwBbbrR94IJ0NJUS5LQVIuSVFfTEFTVFNBTEVQUklDRS4wNy8wNS8yMDI0LlVTRAEAAAArGKgAAgAAAA0xLDI1MzA1ODI1NTQ5AMuZpK3rR94ImXAFtutH3ggnQ0lRLktBUi5JUV9MQVNUU0FMRVBSSUNFLjI2LzA0LzIwMjQuVVNEAQAAACsYqAACAAAADTEsMjY1MTYyMzg0NDYAy5mkretH3giolwW260feCCdDSVEuS0FSLklRX0xBU1RTQUxFUFJJQ0UuMTAvMDUvMjAyNC5VU0QBAAAAKxioAAIAAAANMSwzMDA3NTkzMjYzNADLmaSt60feCKiXBbbrR94IKENJUS5WSVRSLklRX0xBU1RTQUxFUFJJQ0UuMDEvMDUvMjAyNC5VU0QBAAAAlgwMAAIAAAANMTUsMTU2ODA0MTc2OADLmaSt60feCLe+BbbrR94IKENJUS5WSVRSLklRX0xBU1RTQUxFUFJJQ0UuMzAvMDQvMjAyNC5VU0QBAAAAlgwMAAIAAAANMTUsMTQwNjQ0OTcyMQDLmaSt60feCKiXBbbrR94IKENJUS5WSVRSLklRX0xBU1RT</t>
  </si>
  <si>
    <t>QUxFUFJJQ0UuMjkvMDQvMjAyNC5VU0QBAAAAlgwMAAIAAAANMTUsMzQ1MTU2MjM1NQDLmaSt60feCKiXBbbrR94IKENJUS5WSVRSLklRX0xBU1RTQUxFUFJJQ0UuMjgvMDQvMjAyNC5VU0QBAAAAlgwMAAIAAAANMTQsODkzOTk1NDg1MwDLmaSt60feCKiXBbbrR94IKENJUS5WSVRSLklRX0xBU1RTQUxFUFJJQ0UuMDMvMDUvMjAyNC5VU0QBAAAAlgwMAAIAAAANMTYsMjE5NzQ0MjY0OADLmaSt60feCLe+BbbrR94IKENJUS5WSVRSLklRX0xBU1RTQUxFUFJJQ0UuMDQvMDUvMjAyNC5VU0QBAAAAlgwMAAIAAAANMTYsMjE5NzQ0MjY0OADLmaSt60feCKiXBbbrR94IKENJUS5WSVRSLklRX0xBU1RTQUxFUFJJQ0UuMDUvMDUvMjAyNC5VU0QBAAAAlgwMAAIAAAANMTYsMjE5NzQ0MjY0OADLmaSt60feCKiXBbbrR94IKENJUS5WSVRSLklRX0xBU1RTQUxFUFJJQ0UuMDYvMDUvMjAyNC5VU0QBAAAAlgwMAAIAAAALMTYsNDY1MzkyMTgAy5mkretH3giolwW260feCChDSVEuVklUUi5JUV9MQVNUU0FMRVBSSUNFLjI1LzA0LzIwMjQuVVNEAQAAAJYMDAACAAAADTE0LDQ1MTU4MjU3ODQAy5mkretH3giolwW260feCChDSVEuVklUUi5JUV9MQVNUU0FMRVBSSUNFLjA5LzA1LzIwMjQuVVNEAQAAAJYMDAACAAAADTE2LDQwMTI4ODQ5OTIAy5mkretH3giolwW260feCChDSVEuSU5UQS5JUV9MQVNUU0FMRVBSSUNFLjAx</t>
  </si>
  <si>
    <t>LzA1LzIwMjQuVVNEAQAAAMczKwICAAAABTMxLDE1AMuZpK3rR94Ix+UFtutH3ggoQ0lRLklOVEEuSVFfTEFTVFNBTEVQUklDRS4zMC8wNC8yMDI0LlVTRAEAAADHMysCAgAAAAUzMCw5MgDLmaSt60feCMflBbbrR94IKENJUS5JTlRBLklRX0xBU1RTQUxFUFJJQ0UuMjkvMDQvMjAyNC5VU0QBAAAAxzMrAgIAAAAFMzEsODcAy5mkretH3gi3vgW260feCChDSVEuSU5UQS5JUV9MQVNUU0FMRVBSSUNFLjI4LzA0LzIwMjQuVVNEAQAAAMczKwICAAAABTMxLDg4AMuZpK3rR94Ix+UFtutH3ggoQ0lRLklOVEEuSVFfTEFTVFNBTEVQUklDRS4wMy8wNS8yMDI0LlVTRAEAAADHMysCAgAAAAIzMQDLmaSt60feCMflBbbrR94IKENJUS5JTlRBLklRX0xBU1RTQUxFUFJJQ0UuMDQvMDUvMjAyNC5VU0QBAAAAxzMrAgIAAAACMzEAy5mkretH3gjH5QW260feCChDSVEuSU5UQS5JUV9MQVNUU0FMRVBSSUNFLjA1LzA1LzIwMjQuVVNEAQAAAMczKwICAAAAAjMxAMuZpK3rR94It74FtutH3ggoQ0lRLklOVEEuSVFfTEFTVFNBTEVQUklDRS4wNi8wNS8yMDI0LlVTRAEAAADHMysCAgAAAAUzMiwyMwDLmaSt60feCLe+BbbrR94IKENJUS5JTlRBLklRX0xBU1RTQUxFUFJJQ0UuMjUvMDQvMjAyNC5VU0QBAAAAxzMrAgIAAAAFMzEsNDUAy5mkretH3gi3vgW260feCChDSVEuSU5UQS5JUV9MQVNUU0FMRVBSSUNFLjA5LzA1LzIw</t>
  </si>
  <si>
    <t>MjQuVVNEAQAAAMczKwICAAAABTM2LDk1AMuZpK3rR94I1wwGtutH3ggpQ0lRLlNNQ1JULklRX0xBU1RTQUxFUFJJQ0UuMDEvMDUvMjAyNC5VU0QBAAAADgoKIgIAAAALMiw0MzkzMDY0NDEAy5mkretH3gjXDAa260feCClDSVEuU01DUlQuSVFfTEFTVFNBTEVQUklDRS4zMC8wNC8yMDI0LlVTRAEAAAAOCgoiAgAAAAsyLDQzODcxNTk3OADLmaSt60feCNcMBrbrR94IKUNJUS5TTUNSVC5JUV9MQVNUU0FMRVBSSUNFLjI5LzA0LzIwMjQuVVNEAQAAAA4KCiICAAAACzIsNDU1ODc4MzM5AMuZpK3rR94I1wwGtutH3ggpQ0lRLlNNQ1JULklRX0xBU1RTQUxFUFJJQ0UuMjgvMDQvMjAyNC5VU0QBAAAADgoKIgIAAAALMiw0MjY2OTIxNjIAy5mkretH3gjXDAa260feCClDSVEuU01DUlQuSVFfTEFTVFNBTEVQUklDRS4wMy8wNS8yMDI0LlVTRAEAAAAOCgoiAgAAAAwyLDU3MzQ0NDYzNjEAy5mkretH3gjXDAa260feCClDSVEuU01DUlQuSVFfTEFTVFNBTEVQUklDRS4wNC8wNS8yMDI0LlVTRAEAAAAOCgoiAgAAAAwyLDU3MzQ0NDYzNjEAy5mkretH3gjH5QW260feCClDSVEuU01DUlQuSVFfTEFTVFNBTEVQUklDRS4wNS8wNS8yMDI0LlVTRAEAAAAOCgoiAgAAAAwyLDU3MzQ0NDYzNjEAy5mkretH3gjXDAa260feCClDSVEuU01DUlQuSVFfTEFTVFNBTEVQUklDRS4wNi8wNS8yMDI0LlVTRAEAAAAOCgoiAgAAAAwy</t>
  </si>
  <si>
    <t>LDYxMjMzMjYxNTkAy5mkretH3gjnMwa260feCClDSVEuU01DUlQuSVFfTEFTVFNBTEVQUklDRS4yNS8wNC8yMDI0LlVTRAEAAAAOCgoiAgAAAAsyLDQxMTgxNjI1MQDLmaSt60feCOczBrbrR94IKUNJUS5TTUNSVC5JUV9MQVNUU0FMRVBSSUNFLjA5LzA1LzIwMjQuVVNEAQAAAA4KCiICAAAACzIsNTczNjc4NDM2AMuZpK3rR94I5zMGtutH3ggnQ0lRLkVHQi5JUV9MQVNUU0FMRVBSSUNFLjAxLzA1LzIwMjQuVVNEAQAAAAf8fiICAAAADDEsMDM1OTkyNzM3NQDLmaSt60feCOczBrbrR94IJ0NJUS5FR0IuSVFfTEFTVFNBTEVQUklDRS4zMC8wNC8yMDI0LlVTRAEAAAAH/H4iAgAAAA0xLDAzNzIxMTI5MTI3AMuZpK3rR94I5zMGtutH3ggnQ0lRLkVHQi5JUV9MQVNUU0FMRVBSSUNFLjI5LzA0LzIwMjQuVVNEAQAAAAf8fiICAAAADTEsMDgyMTgxNTA2MzgAy5mkretH3gjnMwa260feCCdDSVEuRUdCLklRX0xBU1RTQUxFUFJJQ0UuMjgvMDQvMjAyNC5VU0QBAAAAB/x+IgIAAAANMSwwNjIyMzk3Nzc2NwDLmaSt60feCPdaBrbrR94IJ0NJUS5FR0IuSVFfTEFTVFNBTEVQUklDRS4wMy8wNS8yMDI0LlVTRAEAAAAH/H4iAgAAAA0xLDA3MTg1MTc3MjE5AMuZpK3rR94I91oGtutH3ggnQ0lRLkVHQi5JUV9MQVNUU0FMRVBSSUNFLjA0LzA1LzIwMjQuVVNEAQAAAAf8fiICAAAADTEsMDcxODUxNzcyMTkAy5mkretH</t>
  </si>
  <si>
    <t>3gjnMwa260feCCdDSVEuRUdCLklRX0xBU1RTQUxFUFJJQ0UuMDUvMDUvMjAyNC5VU0QBAAAAB/x+IgIAAAANMSwwNzE4NTE3NzIxOQDLmaSt60feCPdaBrbrR94IJ0NJUS5FR0IuSVFfTEFTVFNBTEVQUklDRS4wNi8wNS8yMDI0LlVTRAEAAAAH/H4iAgAAAAsxLDEwOTc5NDIwMwDLmaSt60feCPdaBrbrR94IJ0NJUS5FR0IuSVFfTEFTVFNBTEVQUklDRS4yNS8wNC8yMDI0LlVTRAEAAAAH/H4iAgAAAA0xLDE2NzY0ODYzNDExAMuZpK3rR94I5zMGtutH3ggnQ0lRLkVHQi5JUV9MQVNUU0FMRVBSSUNFLjA5LzA1LzIwMjQuVVNEAQAAAAf8fiICAAAACzEsMTYzNjY3NzA4AMuZpK3rR94I5zMGtutH3ggpQ0lRLkFMQkZSLklRX0xBU1RTQUxFUFJJQ0UuMDEvMDUvMjAyNC5VU0QBAAAAInsCAAIAAAAKMTY2LDYxMzI2NQDLmaSt60feCAaCBrbrR94IKUNJUS5BTEJGUi5JUV9MQVNUU0FMRVBSSUNFLjMwLzA0LzIwMjQuVVNEAQAAACJ7AgACAAAADTE2Niw4MDkyMzg1OTYAy5mkretH3ggGgga260feCClDSVEuQUxCRlIuSVFfTEFTVFNBTEVQUklDRS4yOS8wNC8yMDI0LlVTRAEAAAAiewIAAgAAAAwxNjYsMDc3MzU5ODkAy5mkretH3gj3Wga260feCClDSVEuQUxCRlIuSVFfTEFTVFNBTEVQUklDRS4yOC8wNC8yMDI0LlVTRAEAAAAiewIAAgAAAA0xNzIsNDEzNzkzMDU5AMuZpK3rR94IBoIGtutH3ggpQ0lRLkFM</t>
  </si>
  <si>
    <t>QkZSLklRX0xBU1RTQUxFUFJJQ0UuMDMvMDUvMjAyNC5VU0QBAAAAInsCAAIAAAANMTc5LDg5ODczOTY1NADLmaSt60feCAaCBrbrR94IKUNJUS5BTEJGUi5JUV9MQVNUU0FMRVBSSUNFLjA0LzA1LzIwMjQuVVNEAQAAACJ7AgACAAAADTE3OSw4OTg3Mzk2NTQAy5mkretH3ggGgga260feCClDSVEuQUxCRlIuSVFfTEFTVFNBTEVQUklDRS4wNS8wNS8yMDI0LlVTRAEAAAAiewIAAgAAAA0xNzksODk4NzM5NjU0AMuZpK3rR94I91oGtutH3ggpQ0lRLkFMQkZSLklRX0xBU1RTQUxFUFJJQ0UuMDYvMDUvMjAyNC5VU0QBAAAAInsCAAIAAAALMTgxLDAxNDk3NjgAy5mkretH3ggGgga260feCClDSVEuQUxCRlIuSVFfTEFTVFNBTEVQUklDRS4yNS8wNC8yMDI0LlVTRAEAAAAiewIAAgAAAA0xNzUsNjgyOTEzNzU2AMuZpK3rR94IBoIGtutH3ggpQ0lRLkFMQkZSLklRX0xBU1RTQUxFUFJJQ0UuMDkvMDUvMjAyNC5VU0QBAAAAInsCAAIAAAALMTgyLDA5MjQ0NjkAy5mkretH3ggWqQa260feCClDSVEuVk9TLklRX0VCSVREQS4yMDAwLjAxLzAxLzIwMjQuLi5VU0QuSAEAAADBaw0AAgAAAAoxNTcsNjIxMzExAQgAAAAFAAAAATEBAAAACy0xOTU0MDA2NTc1AwAAAAMxNjACAAAABDQwNTEEAAAAATAHAAAACDEvMS8yMDI0CAAAAAoxMi8zMS8yMDIzCQAAAAEwy5mkretH3ggHGPu160feCDBDSVEuVk9TLklRX0VCSVRE</t>
  </si>
  <si>
    <t>QV9NQVJHSU4uMjAwMC4wMS8wMS8yMDI0Li4uVVNELkgBAAAAwWsNAAIAAAAHMTEsNzQzMwEIAAAABQAAAAExAQAAAAstMTk1NDAwNjU3NQMAAAACNTACAAAABDQwNDcEAAAAATAHAAAACDEvMS8yMDI0CAAAAAoxMi8zMS8yMDIzCQAAAAEwy5mkretH3ggaP/u160feCC9DSVEuVk9TLklRX1RPVEFMX0FTU0VUUy4yMDAwLjAxLzAxLzIwMjQuLi5VU0QuSAEAAADBaw0AAgAAAAsxNTM5LDQwNTMyNwEIAAAABQAAAAExAQAAAAstMTk1NDAwNjU3NQMAAAADMTYwAgAAAAQxMDA3BAAAAAEwBwAAAAgxLzEvMjAyNAgAAAAKMTIvMzEvMjAyMwkAAAABMEjBpK3rR94IGj/7tetH3ggtQ0lRLlZPUy5JUV9DQVNIX0VRVUlWLjIwMDAuMDEvMDEvMjAyNC4uLlVTRC5IAQAAAMFrDQACAAAACjEwOSw4NzA2NzUBCAAAAAUAAAABMQEAAAALLTE5NTQwMDY1NzUDAAAAAzE2MAIAAAAEMTA5NgQAAAABMAcAAAAIMS8xLzIwMjQIAAAACjEyLzMxLzIwMjMJAAAAATBIwaSt60feCBo/+7XrR94IK0NJUS5WT1MuSVFfTkVUX0RFQlQuMjAwMC4wMS8wMS8yMDI0Li4uVVNELkgBAAAAwWsNAAIAAAAKMjQyLDYyMTg2NAEIAAAABQAAAAExAQAAAAstMTk1NDAwNjU3NQMAAAADMTYwAgAAAAQ0MzY0BAAAAAEwBwAAAAgxLzEvMjAyNAgAAAAKMTIvMzEvMjAyMwkAAAABMEjBpK3rR94IGj/7tetH3ggqQ0lRLkFDQUcuSVFfRUJJVERBLjIw</t>
  </si>
  <si>
    <t>MDAuMDEvMDEvMjAyNC4uLlVTRC5IAQAAAG0lwiYCAAAACTM5LDY3ODM0NgEIAAAABQAAAAExAQAAAAstMTk1MjY5NTg3NQMAAAADMTYwAgAAAAQ0MDUxBAAAAAEwBwAAAAgxLzEvMjAyNAgAAAAKMTIvMzEvMjAyMwkAAAABMEjBpK3rR94IKGb7tetH3ggxQ0lRLkFDQUcuSVFfRUJJVERBX01BUkdJTi4yMDAwLjAxLzAxLzIwMjQuLi5VU0QuSAEAAABtJcImAgAAAAY5LDg0NjUBCAAAAAUAAAABMQEAAAALLTE5NTI2OTU4NzUDAAAAAjUwAgAAAAQ0MDQ3BAAAAAEwBwAAAAgxLzEvMjAyNAgAAAAKMTIvMzEvMjAyMwkAAAABMEjBpK3rR94IKGb7tetH3ggwQ0lRLkFDQUcuSVFfVE9UQUxfQVNTRVRTLjIwMDAuMDEvMDEvMjAyNC4uLlVTRC5IAQAAAG0lwiYCAAAACjM1NSw1NzQyMjMBCAAAAAUAAAABMQEAAAALLTE5NTI2OTU4NzUDAAAAAzE2MAIAAAAEMTAwNwQAAAABMAcAAAAIMS8xLzIwMjQIAAAACjEyLzMxLzIwMjMJAAAAATBIwaSt60feCChm+7XrR94ILkNJUS5BQ0FHLklRX0NBU0hfRVFVSVYuMjAwMC4wMS8wMS8yMDI0Li4uVVNELkgBAAAAbSXCJgIAAAAJMjYsMzM0Njk3AQgAAAAFAAAAATEBAAAACy0xOTUyNjk1ODc1AwAAAAMxNjACAAAABDEwOTYEAAAAATAHAAAACDEvMS8yMDI0CAAAAAoxMi8zMS8yMDIzCQAAAAEwSMGkretH3ggoZvu160feCCxDSVEuQUNBRy5JUV9ORVRfREVCVC4yMDAwLjAx</t>
  </si>
  <si>
    <t>LzAxLzIwMjQuLi5VU0QuSAEAAABtJcImAgAAAAoxMDUsMDU5MTM2AQgAAAAFAAAAATEBAAAACy0xOTUyNjk1ODc1AwAAAAMxNjACAAAABDQzNjQEAAAAATAHAAAACDEvMS8yMDI0CAAAAAoxMi8zMS8yMDIzCQAAAAEwSMGkretH3gg3jfu160feCCpDSVEuQkVLQi5JUV9FQklUREEuMjAwMC4wMS8wMS8yMDI0Li4uVVNELkgBAAAAka8LAAIAAAAKNTg1LDA3NjgyMQEIAAAABQAAAAExAQAAAAstMTk1MzEyNjgzOAMAAAADMTYwAgAAAAQ0MDUxBAAAAAEwBwAAAAgxLzEvMjAyNAgAAAAKMTIvMzEvMjAyMwkAAAABMEjBpK3rR94IN437tetH3ggxQ0lRLkJFS0IuSVFfRUJJVERBX01BUkdJTi4yMDAwLjAxLzAxLzIwMjQuLi5VU0QuSAEAAACRrwsAAgAAAAcxMiwyMzA0AQgAAAAFAAAAATEBAAAACy0xOTUzMTI2ODM4AwAAAAI1MAIAAAAENDA0NwQAAAABMAcAAAAIMS8xLzIwMjQIAAAACjEyLzMxLzIwMjMJAAAAATBIwaSt60feCDeN+7XrR94IMENJUS5CRUtCLklRX1RPVEFMX0FTU0VUUy4yMDAwLjAxLzAxLzIwMjQuLi5VU0QuSAEAAACRrwsAAgAAAAs0NTExLDEzNTE4MgEIAAAABQAAAAExAQAAAAstMTk1MzEyNjgzOAMAAAADMTYwAgAAAAQxMDA3BAAAAAEwBwAAAAgxLzEvMjAyNAgAAAAKMTIvMzEvMjAyMwkAAAABMEjBpK3rR94IR7T7tetH3gguQ0lRLkJFS0IuSVFfQ0FTSF9FUVVJVi4yMDAwLjAxLzAx</t>
  </si>
  <si>
    <t>LzIwMjQuLi5VU0QuSAEAAACRrwsAAgAAAAo2OTgsMjI4MTQyAQgAAAAFAAAAATEBAAAACy0xOTUzMTI2ODM4AwAAAAMxNjACAAAABDEwOTYEAAAAATAHAAAACDEvMS8yMDI0CAAAAAoxMi8zMS8yMDIzCQAAAAEwSMGkretH3ghHtPu160feCCxDSVEuQkVLQi5JUV9ORVRfREVCVC4yMDAwLjAxLzAxLzIwMjQuLi5VU0QuSAEAAACRrwsAAgAAAAoyOTIsOTk4Nzg0AQgAAAAFAAAAATEBAAAACy0xOTUzMTI2ODM4AwAAAAMxNjACAAAABDQzNjQEAAAAATAHAAAACDEvMS8yMDI0CAAAAAoxMi8zMS8yMDIzCQAAAAEwSMGkretH3ghHtPu160feCClDSVEuVkVJLklRX0VCSVREQS4yMDAwLjAxLzAxLzIwMjQuLi5VU0QuSAEAAAAkXw0AAgAAAAoxOTQsMTc1NTIyAQgAAAAFAAAAATEBAAAACy0xOTU0NDk1NTc0AwAAAAMxNjACAAAABDQwNTEEAAAAATAHAAAACDEvMS8yMDI0CAAAAAoxMi8zMS8yMDIzCQAAAAEwSMGkretH3ghHtPu160feCDBDSVEuVkVJLklRX0VCSVREQV9NQVJHSU4uMjAwMC4wMS8wMS8yMDI0Li4uVVNELkgBAAAAJF8NAAIAAAAGNCw1NjM1AQgAAAAFAAAAATEBAAAACy0xOTU0NDk1NTc0AwAAAAMxMTcCAAAABDQwNDcEAAAAATAHAAAACDEvMS8yMDI0CAAAAAoxMi8zMS8yMDIzCQAAAAEwSMGkretH3ghX2/u160feCC9DSVEuVkVJLklRX1RPVEFMX0FTU0VUUy4yMDAwLjAxLzAxLzIwMjQuLi5V</t>
  </si>
  <si>
    <t>U0QuSAEAAAAkXw0AAgAAAAsxNzk2LDAwMDMxMQEIAAAABQAAAAExAQAAAAstMTk1NDQ5NTU3NAMAAAADMTYwAgAAAAQxMDA3BAAAAAEwBwAAAAgxLzEvMjAyNAgAAAAKMTIvMzEvMjAyMwkAAAABMEjBpK3rR94IaAL8tetH3ggtQ0lRLlZFSS5JUV9DQVNIX0VRVUlWLjIwMDAuMDEvMDEvMjAyNC4uLlVTRC5IAQAAACRfDQACAAAACjIwMyw0NDU0NTYBCAAAAAUAAAABMQEAAAALLTE5NTQ0OTU1NzQDAAAAAzE2MAIAAAAEMTA5NgQAAAABMAcAAAAIMS8xLzIwMjQIAAAACjEyLzMxLzIwMjMJAAAAATBIwaSt60feCFfb+7XrR94IK0NJUS5WRUkuSVFfTkVUX0RFQlQuMjAwMC4wMS8wMS8yMDI0Li4uVVNELkgBAAAAJF8NAAIAAAALLTE2Niw3NjAxODcBCAAAAAUAAAABMQEAAAALLTE5NTQ0OTU1NzQDAAAAAzE2MAIAAAAENDM2NAQAAAABMAcAAAAIMS8xLzIwMjQIAAAACjEyLzMxLzIwMjMJAAAAATBIwaSt60feCFfb+7XrR94IKkNJUS5BUkJOLklRX0VCSVREQS4yMDAwLjAxLzAxLzIwMjQuLi5VU0QuSAEAAACfZQ0AAgAAAAk2Nyw2NzY4ODgBCAAAAAUAAAABMQEAAAALLTE5NTcxODcxODIDAAAAAzE2MAIAAAAENDA1MQQAAAABMAcAAAAIMS8xLzIwMjQIAAAACjEyLzMxLzIwMjMJAAAAATBIwaSt60feCHgp/LXrR94IMUNJUS5BUkJOLklRX0VCSVREQV9NQVJHSU4uMjAwMC4wMS8wMS8yMDI0Li4uVVNELkgB</t>
  </si>
  <si>
    <t>AAAAn2UNAAIAAAAHMTEsMTY2MgEIAAAABQAAAAExAQAAAAstMTk1NzE4NzE4MgMAAAACMjkCAAAABDQwNDcEAAAAATAHAAAACDEvMS8yMDI0CAAAAAoxMi8zMS8yMDIzCQAAAAEwSMGkretH3gh4Kfy160feCDBDSVEuQVJCTi5JUV9UT1RBTF9BU1NFVFMuMjAwMC4wMS8wMS8yMDI0Li4uVVNELkgBAAAAn2UNAAIAAAALMTc2MCw2NTYwMTEBCAAAAAUAAAABMQEAAAALLTE5NTcxODcxODIDAAAAAzE2MAIAAAAEMTAwNwQAAAABMAcAAAAIMS8xLzIwMjQIAAAACjEyLzMxLzIwMjMJAAAAATBIwaSt60feCIlQ/LXrR94ILkNJUS5BUkJOLklRX0NBU0hfRVFVSVYuMjAwMC4wMS8wMS8yMDI0Li4uVVNELkgBAAAAn2UNAAIAAAAJMjAsMzc4NTk1AQgAAAAFAAAAATEBAAAACy0xOTU3MTg3MTgyAwAAAAMxNjACAAAABDEwOTYEAAAAATAHAAAACDEvMS8yMDI0CAAAAAoxMi8zMS8yMDIzCQAAAAEwSMGkretH3giJUPy160feCCxDSVEuQVJCTi5JUV9ORVRfREVCVC4yMDAwLjAxLzAxLzIwMjQuLi5VU0QuSAEAAACfZQ0AAgAAAAoyMzgsMDE1MTA2AQgAAAAFAAAAATEBAAAACy0xOTU3MTg3MTgyAwAAAAMxNjACAAAABDQzNjQEAAAAATAHAAAACDEvMS8yMDI0CAAAAAoxMi8zMS8yMDIzCQAAAAEwSMGkretH3giJUPy160feCCtDSVEuQ1ZLTUQuSVFfRUJJVERBLjIwMDAuMDEvMDEvMjAyNC4uLlVTRC5IAQAAAIguHyYC</t>
  </si>
  <si>
    <t>AAAACTMyLDI0ODQ3NQEIAAAABQAAAAExAQAAAAstMTk1NjI5MDUzNQMAAAADMTYwAgAAAAQ0MDUxBAAAAAEwBwAAAAgxLzEvMjAyNAgAAAAKMTIvMzEvMjAyMwkAAAABMEjBpK3rR94IiVD8tetH3ggyQ0lRLkNWS01ELklRX0VCSVREQV9NQVJHSU4uMjAwMC4wMS8wMS8yMDI0Li4uVVNELkgBAAAAiC4fJgIAAAAHMzcsMTMzMQEIAAAABQAAAAExAQAAAAstMTk1NjI5MDUzNQMAAAADMTg5AgAAAAQ0MDQ3BAAAAAEwBwAAAAgxLzEvMjAyNAgAAAAKMTIvMzEvMjAyMwkAAAABMEjBpK3rR94IqJ78tetH3ggxQ0lRLkNWS01ELklRX1RPVEFMX0FTU0VUUy4yMDAwLjAxLzAxLzIwMjQuLi5VU0QuSAEAAACILh8mAgAAAAoyMzMsMTg2NTI5AQgAAAAFAAAAATEBAAAACy0xOTU2MjkwNTM1AwAAAAMxNjACAAAABDEwMDcEAAAAATAHAAAACDEvMS8yMDI0CAAAAAoxMi8zMS8yMDIzCQAAAAEwSMGkretH3gionvy160feCC9DSVEuQ1ZLTUQuSVFfQ0FTSF9FUVVJVi4yMDAwLjAxLzAxLzIwMjQuLi5VU0QuSAEAAACILh8mAgAAAAkzOCwwNjg5ODIBCAAAAAUAAAABMQEAAAALLTE5NTYyOTA1MzUDAAAAAzE2MAIAAAAEMTA5NgQAAAABMAcAAAAIMS8xLzIwMjQIAAAACjEyLzMxLzIwMjMJAAAAATBIwaSt60feCJl3/LXrR94ILUNJUS5DVktNRC5JUV9ORVRfREVCVC4yMDAwLjAxLzAxLzIwMjQuLi5VU0QuSAEAAACILh8m</t>
  </si>
  <si>
    <t>AgAAAAotMjgsNTQzMjU1AQgAAAAFAAAAATEBAAAACy0xOTU2MjkwNTM1AwAAAAMxNjACAAAABDQzNjQEAAAAATAHAAAACDEvMS8yMDI0CAAAAAoxMi8zMS8yMDIzCQAAAAEwSMGkretH3giZd/y160feCCpDSVEuWFNOWC5JUV9FQklUREEuMjAwMC4wMS8wMS8yMDI0Li4uVVNELkgBAAAA8ZUwAAMAAAAAAEjBpK3rR94IqJ78tetH3ggxQ0lRLlhTTlguSVFfRUJJVERBX01BUkdJTi4yMDAwLjAxLzAxLzIwMjQuLi5VU0QuSAEAAADxlTAAAwAAAAAASMGkretH3gionvy160feCDBDSVEuWFNOWC5JUV9UT1RBTF9BU1NFVFMuMjAwMC4wMS8wMS8yMDI0Li4uVVNELkgBAAAA8ZUwAAIAAAAIMCwwMTczMzgBCAAAAAUAAAABMQEAAAALLTIwMDgzODMwOTYDAAAAAzE2MAIAAAAEMTAwNwQAAAABMAcAAAAIMS8xLzIwMjQIAAAACjEyLzMxLzIwMjMJAAAAATBIwaSt60feCLjF/LXrR94ILkNJUS5YU05YLklRX0NBU0hfRVFVSVYuMjAwMC4wMS8wMS8yMDI0Li4uVVNELkgBAAAA8ZUwAAIAAAAIMCwwMDE1MDUBCAAAAAUAAAABMQEAAAALLTIwMDgzODMwOTYDAAAAAzE2MAIAAAAEMTA5NgQAAAABMAcAAAAIMS8xLzIwMjQIAAAACjEyLzMxLzIwMjMJAAAAATBIwaSt60feCLjF/LXrR94ILENJUS5YU05YLklRX05FVF9ERUJULjIwMDAuMDEvMDEvMjAyNC4uLlVTRC5IAQAAAPGVMAACAAAACDIsMzY3MDM5AQgAAAAFAAAA</t>
  </si>
  <si>
    <t>ATEBAAAACy0yMDA4MzgzMDk2AwAAAAMxNjACAAAABDQzNjQEAAAAATAHAAAACDEvMS8yMDI0CAAAAAoxMi8zMS8yMDIzCQAAAAEwSMGkretH3gi4xfy160feCCpDSVEuVE1JTi5JUV9FQklUREEuMjAwMC4wMS8wMS8yMDI0Li4uVVNELkgBAAAA5MMNKAMAAAAAAEjBpK3rR94IuMX8tetH3ggxQ0lRLlRNSU4uSVFfRUJJVERBX01BUkdJTi4yMDAwLjAxLzAxLzIwMjQuLi5VU0QuSAEAAADkww0oAwAAAAAASMGkretH3gi4xfy160feCDBDSVEuVE1JTi5JUV9UT1RBTF9BU1NFVFMuMjAwMC4wMS8wMS8yMDI0Li4uVVNELkgBAAAA5MMNKAMAAAAAAEjBpK3rR94Iyez8tetH3gguQ0lRLlRNSU4uSVFfQ0FTSF9FUVVJVi4yMDAwLjAxLzAxLzIwMjQuLi5VU0QuSAEAAADkww0oAwAAAAAASMGkretH3gjJ7Py160feCCxDSVEuVE1JTi5JUV9ORVRfREVCVC4yMDAwLjAxLzAxLzIwMjQuLi5VU0QuSAEAAADkww0oAwAAAAAASMGkretH3gjJ7Py160feCCtDSVEuQkVUQ08uSVFfRUJJVERBLjIwMDAuMDEvMDEvMjAyNC4uLlVTRC5IAQAAAGnSyg4CAAAACjExOSw4Mjg2NzIBCAAAAAUAAAABMQEAAAALLTE5NTIyMTk1OTUDAAAAAzE2MAIAAAAENDA1MQQAAAABMAcAAAAIMS8xLzIwMjQIAAAACjEyLzMxLzIwMjMJAAAAATBIwaSt60feCMns/LXrR94IMkNJUS5CRVRDTy5JUV9FQklUREFfTUFSR0lOLjIwMDAuMDEvMDEv</t>
  </si>
  <si>
    <t>MjAyNC4uLlVTRC5IAQAAAGnSyg4CAAAABzMzLDE4NDQBCAAAAAUAAAABMQEAAAALLTE5NTIyMTk1OTUDAAAAAjUwAgAAAAQ0MDQ3BAAAAAEwBwAAAAgxLzEvMjAyNAgAAAAKMTIvMzEvMjAyMwkAAAABMEjBpK3rR94I6zr9tetH3ggxQ0lRLkJFVENPLklRX1RPVEFMX0FTU0VUUy4yMDAwLjAxLzAxLzIwMjQuLi5VU0QuSAEAAABp0soOAgAAAAsxMDM2LDY1NTI0NQEIAAAABQAAAAExAQAAAAstMTk1MjIxOTU5NQMAAAADMTYwAgAAAAQxMDA3BAAAAAEwBwAAAAgxLzEvMjAyNAgAAAAKMTIvMzEvMjAyMwkAAAABMEjBpK3rR94I6zr9tetH3ggvQ0lRLkJFVENPLklRX0NBU0hfRVFVSVYuMjAwMC4wMS8wMS8yMDI0Li4uVVNELkgBAAAAadLKDgIAAAAJNDgsMTM5NzE1AQgAAAAFAAAAATEBAAAACy0xOTUyMjE5NTk1AwAAAAMxNjACAAAABDEwOTYEAAAAATAHAAAACDEvMS8yMDI0CAAAAAoxMi8zMS8yMDIzCQAAAAEwSMGkretH3gjZE/2160feCC1DSVEuQkVUQ08uSVFfTkVUX0RFQlQuMjAwMC4wMS8wMS8yMDI0Li4uVVNELkgBAAAAadLKDgIAAAAKMzYzLDMzNTkxMgEIAAAABQAAAAExAQAAAAstMTk1MjIxOTU5NQMAAAADMTYwAgAAAAQ0MzY0BAAAAAEwBwAAAAgxLzEvMjAyNAgAAAAKMTIvMzEvMjAyMwkAAAABMEjBpK3rR94I2RP9tetH3ggpQ0lRLkFUQy5JUV9FQklUREEuMjAwMC4wMS8wMS8yMDI0Li4u</t>
  </si>
  <si>
    <t>VVNELkgBAAAA3iUAaQIAAAAJLTAsNzQ3Njk1AQgAAAAFAAAAATEBAAAACy0xOTM5Mjg1MzE5AwAAAAMxNjACAAAABDQwNTEEAAAAATAHAAAACDEvMS8yMDI0CAAAAAoxMi8zMS8yMDIzCQAAAAEwSMGkretH3gj6Yf2160feCDBDSVEuQVRDLklRX0VCSVREQV9NQVJHSU4uMjAwMC4wMS8wMS8yMDI0Li4uVVNELkgBAAAA3iUAaQIAAAAHLTIsNDM5NgEIAAAABQAAAAExAQAAAAstMTkzOTI4NTMxOQMAAAACNTUCAAAABDQwNDcEAAAAATAHAAAACDEvMS8yMDI0CAAAAAoxMi8zMS8yMDIzCQAAAAEwSMGkretH3gj6Yf2160feCC9DSVEuQVRDLklRX1RPVEFMX0FTU0VUUy4yMDAwLjAxLzAxLzIwMjQuLi5VU0QuSAEAAADeJQBpAgAAAAkzMSw3MDUwNDkBCAAAAAUAAAABMQEAAAALLTE5MzkyODUzMTkDAAAAAzE2MAIAAAAEMTAwNwQAAAABMAcAAAAIMS8xLzIwMjQIAAAACjEyLzMxLzIwMjMJAAAAATBIwaSt60feCPph/bXrR94ILUNJUS5BVEMuSVFfQ0FTSF9FUVVJVi4yMDAwLjAxLzAxLzIwMjQuLi5VU0QuSAEAAADeJQBpAgAAAAkxNiw1NDQ4MTEBCAAAAAUAAAABMQEAAAALLTE5MzkyODUzMTkDAAAAAzE2MAIAAAAEMTA5NgQAAAABMAcAAAAIMS8xLzIwMjQIAAAACjEyLzMxLzIwMjMJAAAAATBIwaSt60feCPph/bXrR94IK0NJUS5BVEMuSVFfTkVUX0RFQlQuMjAwMC4wMS8wMS8yMDI0Li4uVVNELkgBAAAA</t>
  </si>
  <si>
    <t>3iUAaQIAAAAKLTEzLDg5MTU3OAEIAAAABQAAAAExAQAAAAstMTkzOTI4NTMxOQMAAAADMTYwAgAAAAQ0MzY0BAAAAAEwBwAAAAgxLzEvMjAyNAgAAAAKMTIvMzEvMjAyMwkAAAABMEjBpK3rR94ICYn9tetH3ggpQ0lRLk5UVy5JUV9FQklUREEuMjAwMC4wMS8wMS8yMDI0Li4uVVNELkgBAAAANH0AAAIAAAAEMTMyNQEIAAAABQAAAAExAQAAAAstMTk2NjQ1Nzk1MQMAAAADMTYwAgAAAAQ0MDUxBAAAAAEwBwAAAAgxLzEvMjAyNAgAAAAKMTAvMjcvMjAyMwkAAAABMEjBpK3rR94ICYn9tetH3ggwQ0lRLk5UVy5JUV9FQklUREFfTUFSR0lOLjIwMDAuMDEvMDEvMjAyNC4uLlVTRC5IAQAAADR9AAACAAAABzIxLDcxNzcBCAAAAAUAAAABMQEAAAALLTE5NjY0NTc5NTEDAAAAAzE2MAIAAAAENDA0NwQAAAABMAcAAAAIMS8xLzIwMjQIAAAACjEwLzI3LzIwMjMJAAAAATBIwaSt60feCAmJ/bXrR94IL0NJUS5OVFcuSVFfVE9UQUxfQVNTRVRTLjIwMDAuMDEvMDEvMjAyNC4uLlVTRC5IAQAAADR9AAACAAAABDkwNzMBCAAAAAUAAAABMQEAAAALLTE5NjY0NTc5NTEDAAAAAzE2MAIAAAAEMTAwNwQAAAABMAcAAAAIMS8xLzIwMjQIAAAACjEwLzI3LzIwMjMJAAAAATBIwaSt60feCAmJ/bXrR94ILUNJUS5OVFcuSVFfQ0FTSF9FUVVJVi4yMDAwLjAxLzAxLzIwMjQuLi5VU0QuSAEAAAA0fQAAAgAAAAQxOTM0AQgAAAAF</t>
  </si>
  <si>
    <t>AAAAATEBAAAACy0xOTY2NDU3OTUxAwAAAAMxNjACAAAABDEwOTYEAAAAATAHAAAACDEvMS8yMDI0CAAAAAoxMC8yNy8yMDIzCQAAAAEwSMGkretH3ggJif2160feCCtDSVEuTlRXLklRX05FVF9ERUJULjIwMDAuMDEvMDEvMjAyNC4uLlVTRC5IAQAAADR9AAACAAAAAjM2AQgAAAAFAAAAATEBAAAACy0xOTY2NDU3OTUxAwAAAAMxNjACAAAABDQzNjQEAAAAATAHAAAACDEvMS8yMDI0CAAAAAoxMC8yNy8yMDIzCQAAAAEwSMGkretH3ggZsP2160feCClDSVEuQUJMLklRX0VCSVREQS4yMDAwLjAxLzAxLzIwMjQuLi5VU0QuSAEAAADIzN4PAgAAAAYxOSwzNzkBCAAAAAUAAAABMQEAAAALLTE5NDY5NTg0ODUDAAAAAzE2MAIAAAAENDA1MQQAAAABMAcAAAAIMS8xLzIwMjQIAAAACjEyLzMxLzIwMjMJAAAAATDh6KSt60feCDr+/bXrR94IMENJUS5BQkwuSVFfRUJJVERBX01BUkdJTi4yMDAwLjAxLzAxLzIwMjQuLi5VU0QuSAEAAADIzN4PAgAAAAY3LDcxMzUBCAAAAAUAAAABMQEAAAALLTE5NDY5NTg0ODUDAAAAAzE2MAIAAAAENDA0NwQAAAABMAcAAAAIMS8xLzIwMjQIAAAACjEyLzMxLzIwMjMJAAAAATDh6KSt60feCDr+/bXrR94IL0NJUS5BQkwuSVFfVE9UQUxfQVNTRVRTLjIwMDAuMDEvMDEvMjAyNC4uLlVTRC5IAQAAAMjM3g8CAAAABzE4MCw1MTUBCAAAAAUAAAABMQEAAAALLTE5NDY5NTg0ODUDAAAA</t>
  </si>
  <si>
    <t>AzE2MAIAAAAEMTAwNwQAAAABMAcAAAAIMS8xLzIwMjQIAAAACjEyLzMxLzIwMjMJAAAAATDh6KSt60feCDr+/bXrR94ILUNJUS5BQkwuSVFfQ0FTSF9FUVVJVi4yMDAwLjAxLzAxLzIwMjQuLi5VU0QuSAEAAADIzN4PAgAAAAYyOCwxNTcBCAAAAAUAAAABMQEAAAALLTE5NDY5NTg0ODUDAAAAAzE2MAIAAAAEMTA5NgQAAAABMAcAAAAIMS8xLzIwMjQIAAAACjEyLzMxLzIwMjMJAAAAATDh6KSt60feCDr+/bXrR94IK0NJUS5BQkwuSVFfTkVUX0RFQlQuMjAwMC4wMS8wMS8yMDI0Li4uVVNELkgBAAAAyMzeDwIAAAAGLTgsNTkyAQgAAAAFAAAAATEBAAAACy0xOTQ2OTU4NDg1AwAAAAMxNjACAAAABDQzNjQEAAAAATAHAAAACDEvMS8yMDI0CAAAAAoxMi8zMS8yMDIzCQAAAAEw4eikretH3ghIJf6160feCChDSVEuTUcuSVFfRUJJVERBLjIwMDAuMDEvMDEvMjAyNC4uLlVTRC5IAQAAAOxpRQACAAAABTU2LDQzAQgAAAAFAAAAATEBAAAACy0xOTU2MzA2OTk5AwAAAAMxNjACAAAABDQwNTEEAAAAATAHAAAACDEvMS8yMDI0CAAAAAoxMi8zMS8yMDIzCQAAAAEw4eikretH3giQwf6160feCC9DSVEuTUcuSVFfRUJJVERBX01BUkdJTi4yMDAwLjAxLzAxLzIwMjQuLi5VU0QuSAEAAADsaUUAAgAAAAY3LDk5ODgBCAAAAAUAAAABMQEAAAALLTE5NTYzMDY5OTkDAAAAAzE2MAIAAAAENDA0NwQAAAABMAcAAAAIMS8x</t>
  </si>
  <si>
    <t>LzIwMjQIAAAACjEyLzMxLzIwMjMJAAAAATDh6KSt60feCKgP/7XrR94ILkNJUS5NRy5JUV9UT1RBTF9BU1NFVFMuMjAwMC4wMS8wMS8yMDI0Li4uVVNELkgBAAAA7GlFAAIAAAAHNTM0LDc3NgEIAAAABQAAAAExAQAAAAstMTk1NjMwNjk5OQMAAAADMTYwAgAAAAQxMDA3BAAAAAEwBwAAAAgxLzEvMjAyNAgAAAAKMTIvMzEvMjAyMwkAAAABMOHopK3rR94IqA//tetH3ggsQ0lRLk1HLklRX0NBU0hfRVFVSVYuMjAwMC4wMS8wMS8yMDI0Li4uVVNELkgBAAAA7GlFAAIAAAAGMTcsNjQ2AQgAAAAFAAAAATEBAAAACy0xOTU2MzA2OTk5AwAAAAMxNjACAAAABDEwOTYEAAAAATAHAAAACDEvMS8yMDI0CAAAAAoxMi8zMS8yMDIzCQAAAAEw4eikretH3gia6P6160feCCpDSVEuTUcuSVFfTkVUX0RFQlQuMjAwMC4wMS8wMS8yMDI0Li4uVVNELkgBAAAA7GlFAAIAAAAHMjI4LDA3OAEIAAAABQAAAAExAQAAAAstMTk1NjMwNjk5OQMAAAADMTYwAgAAAAQ0MzY0BAAAAAEwBwAAAAgxLzEvMjAyNAgAAAAKMTIvMzEvMjAyMwkAAAABMOHopK3rR94Imuj+tetH3ggqQ0lRLk5PUkQuSVFfRUJJVERBLjIwMDAuMDEvMDEvMjAyNC4uLlVTRC5IAQAAAMS3+WwDAAAAAADh6KSt60feCLg2/7XrR94IMUNJUS5OT1JELklRX0VCSVREQV9NQVJHSU4uMjAwMC4wMS8wMS8yMDI0Li4uVVNELkgBAAAAxLf5bAMAAAAAAOHopK3rR94I</t>
  </si>
  <si>
    <t>uDb/tetH3ggwQ0lRLk5PUkQuSVFfVE9UQUxfQVNTRVRTLjIwMDAuMDEvMDEvMjAyNC4uLlVTRC5IAQAAAMS3+WwCAAAACDEsNzk3NTYyAQgAAAAFAAAAATEBAAAACy0xOTUyOTMwNTQ5AwAAAAMxNjACAAAABDEwMDcEAAAAATAHAAAACDEvMS8yMDI0CAAAAAoxMi8zMS8yMDIzCQAAAAEw4eikretH3gi4Nv+160feCC5DSVEuTk9SRC5JUV9DQVNIX0VRVUlWLjIwMDAuMDEvMDEvMjAyNC4uLlVTRC5IAQAAAMS3+WwCAAAACDAsMDM4Nzg4AQgAAAAFAAAAATEBAAAACy0xOTUyOTMwNTQ5AwAAAAMxNjACAAAABDEwOTYEAAAAATAHAAAACDEvMS8yMDI0CAAAAAoxMi8zMS8yMDIzCQAAAAEw4eikretH3gi4Nv+160feCCxDSVEuTk9SRC5JUV9ORVRfREVCVC4yMDAwLjAxLzAxLzIwMjQuLi5VU0QuSAEAAADEt/lsAgAAAAktMCwwMTMyNjcBCAAAAAUAAAABMQEAAAALLTE5NTI5MzA1NDkDAAAAAzE2MAIAAAAENDM2NAQAAAABMAcAAAAIMS8xLzIwMjQIAAAACjEyLzMxLzIwMjMJAAAAATDh6KSt60feCLg2/7XrR94IKkNJUS41NzExLklRX0VCSVREQS4yMDAwLjAxLzAxLzIwMjQuLi5VU0QuSAEAAACxXg0AAgAAAAo0MDQsOTkzODcyAQgAAAAFAAAAATEBAAAACy0yMDEwNzExNDI2AwAAAAMxNjACAAAABDQwNTEEAAAAATAHAAAACDEvMS8yMDI0CAAAAAoxMi8zMS8yMDIzCQAAAAEw4eikretH3gjHXf+160feCDFD</t>
  </si>
  <si>
    <t>SVEuNTcxMS5JUV9FQklUREFfTUFSR0lOLjIwMDAuMDEvMDEvMjAyNC4uLlVTRC5IAQAAALFeDQACAAAABjMsODk5NgEIAAAABQAAAAExAQAAAAstMjAxMDcxMTQyNgMAAAACNzkCAAAABDQwNDcEAAAAATAHAAAACDEvMS8yMDI0CAAAAAoxMi8zMS8yMDIzCQAAAAEw4eikretH3gjHXf+160feCDBDSVEuNTcxMS5JUV9UT1RBTF9BU1NFVFMuMjAwMC4wMS8wMS8yMDI0Li4uVVNELkgBAAAAsV4NAAIAAAAMMTQ0MTEsNTI4Mzk1AQgAAAAFAAAAATEBAAAACy0yMDEwNzExNDI2AwAAAAMxNjACAAAABDEwMDcEAAAAATAHAAAACDEvMS8yMDI0CAAAAAoxMi8zMS8yMDIzCQAAAAEw4eikretH3gjHXf+160feCC5DSVEuNTcxMS5JUV9DQVNIX0VRVUlWLjIwMDAuMDEvMDEvMjAyNC4uLlVTRC5IAQAAALFeDQACAAAACjgxNywzNjkxNjYBCAAAAAUAAAABMQEAAAALLTIwMTA3MTE0MjYDAAAAAzE2MAIAAAAEMTA5NgQAAAABMAcAAAAIMS8xLzIwMjQIAAAACjEyLzMxLzIwMjMJAAAAATDh6KSt60feCMdd/7XrR94ILENJUS41NzExLklRX05FVF9ERUJULjIwMDAuMDEvMDEvMjAyNC4uLlVTRC5IAQAAALFeDQACAAAACzM0NTQsNzgxOTExAQgAAAAFAAAAATEBAAAACy0yMDEwNzExNDI2AwAAAAMxNjACAAAABDQzNjQEAAAAATAHAAAACDEvMS8yMDI0CAAAAAoxMi8zMS8yMDIzCQAAAAEw4eikretH3gjHXf+160feCCpD</t>
  </si>
  <si>
    <t>SVEuRVFVSS5JUV9FQklUREEuMjAwMC4wMS8wMS8yMDI0Li4uVVNELkgBAAAA76tzIAMAAAACTkEA4eikretH3gi73v+160feCDFDSVEuRVFVSS5JUV9FQklUREFfTUFSR0lOLjIwMDAuMDEvMDEvMjAyNC4uLlVTRC5IAQAAAO+rcyADAAAAAk5BAOHopK3rR94Iu97/tetH3ggwQ0lRLkVRVUkuSVFfVE9UQUxfQVNTRVRTLjIwMDAuMDEvMDEvMjAyNC4uLlVTRC5IAQAAAO+rcyACAAAACjQxOSw3MTY5NjgBCAAAAAUAAAABMQEAAAALLTE5NTE1ODY3OTUDAAAAAzE2MAIAAAAEMTAwNwQAAAABMAcAAAAIMS8xLzIwMjQIAAAACjEyLzMxLzIwMjMJAAAAATDh6KSt60feCLve/7XrR94ILkNJUS5FUVVJLklRX0NBU0hfRVFVSVYuMjAwMC4wMS8wMS8yMDI0Li4uVVNELkgBAAAA76tzIAIAAAAKMTQ0LDIyNjIxNgEIAAAABQAAAAExAQAAAAstMTk1MTU4Njc5NQMAAAADMTYwAgAAAAQxMDk2BAAAAAEwBwAAAAgxLzEvMjAyNAgAAAAKMTIvMzEvMjAyMwkAAAABMOHopK3rR94Iu97/tetH3ggsQ0lRLkVRVUkuSVFfTkVUX0RFQlQuMjAwMC4wMS8wMS8yMDI0Li4uVVNELkgBAAAA76tzIAIAAAAKLTQ1LDM2NTQyMgEIAAAABQAAAAExAQAAAAstMTk1MTU4Njc5NQMAAAADMTYwAgAAAAQ0MzY0BAAAAAEwBwAAAAgxLzEvMjAyNAgAAAAKMTIvMzEvMjAyMwkAAAABMOHopK3rR94IHQYAtutH3ggpQ0lRLkRPVi5JUV9FQklU</t>
  </si>
  <si>
    <t>REEuMjAwMC4wMS8wMS8yMDI0Li4uVVNELkgBAAAANasCAAIAAAAIMTU3NiwxNTcBCAAAAAUAAAABMQEAAAALLTE5NTk1MDc2MzYDAAAAAzE2MAIAAAAENDA1MQQAAAABMAcAAAAIMS8xLzIwMjQIAAAACjEyLzMxLzIwMjMJAAAAATDh6KSt60feCB0GALbrR94IMENJUS5ET1YuSVFfRUJJVERBX01BUkdJTi4yMDAwLjAxLzAxLzIwMjQuLi5VU0QuSAEAAAA1qwIAAgAAAAcyMCw1MTA5AQgAAAAFAAAAATEBAAAACy0xOTU5NTA3NjM2AwAAAAMxNjACAAAABDQwNDcEAAAAATAHAAAACDEvMS8yMDI0CAAAAAoxMi8zMS8yMDIzCQAAAAEw4eikretH3ggdBgC260feCC9DSVEuRE9WLklRX1RPVEFMX0FTU0VUUy4yMDAwLjAxLzAxLzIwMjQuLi5VU0QuSAEAAAA1qwIAAgAAAAkxMTM0OCw1MTMBCAAAAAUAAAABMQEAAAALLTE5NTk1MDc2MzYDAAAAAzE2MAIAAAAEMTAwNwQAAAABMAcAAAAIMS8xLzIwMjQIAAAACjEyLzMxLzIwMjMJAAAAATDh6KSt60feCHUtALbrR94ILUNJUS5ET1YuSVFfQ0FTSF9FUVVJVi4yMDAwLjAxLzAxLzIwMjQuLi5VU0QuSAEAAAA1qwIAAgAAAAczOTgsNTYxAQgAAAAFAAAAATEBAAAACy0xOTU5NTA3NjM2AwAAAAMxNjACAAAABDEwOTYEAAAAATAHAAAACDEvMS8yMDI0CAAAAAoxMi8zMS8yMDIzCQAAAAEw4eikretH3gh1LQC260feCCtDSVEuRE9WLklRX05FVF9ERUJULjIwMDAuMDEv</t>
  </si>
  <si>
    <t>MDEvMjAyNC4uLlVTRC5IAQAAADWrAgACAAAACDMyODksMjM2AQgAAAAFAAAAATEBAAAACy0xOTU5NTA3NjM2AwAAAAMxNjACAAAABDQzNjQEAAAAATAHAAAACDEvMS8yMDI0CAAAAAoxMi8zMS8yMDIzCQAAAAEw4eikretH3gh1LQC260feCCpDSVEuQ1JUWC5JUV9FQklUREEuMjAwMC4wMS8wMS8yMDI0Li4uVVNELkgBAAAAoviNAQIAAAAJLTAsMTk2MTU4AQgAAAAFAAAAATEBAAAACy0xOTM4MjQ2NTU2AwAAAAMxNjACAAAABDQwNTEEAAAAATAHAAAACDEvMS8yMDI0CAAAAAoxMi8zMS8yMDIzCQAAAAEw4eikretH3gh1LQC260feCDFDSVEuQ1JUWC5JUV9FQklUREFfTUFSR0lOLjIwMDAuMDEvMDEvMjAyNC4uLlVTRC5IAQAAAKL4jQEDAAAAAk5NAQgAAAAFAAAAATEBAAAACy0xOTM4MjQ2NTU2AwAAAAI1NQIAAAAENDA0NwQAAAABMAcAAAAIMS8xLzIwMjQIAAAACjEyLzMxLzIwMjMJAAAAATDh6KSt60feCABYALbrR94IMENJUS5DUlRYLklRX1RPVEFMX0FTU0VUUy4yMDAwLjAxLzAxLzIwMjQuLi5VU0QuSAEAAACi+I0BAgAAAAgwLDE2MTc2NwEIAAAABQAAAAExAQAAAAstMTkzODI0NjU1NgMAAAADMTYwAgAAAAQxMDA3BAAAAAEwBwAAAAgxLzEvMjAyNAgAAAAKMTIvMzEvMjAyMwkAAAABMOHopK3rR94IAFgAtutH3gguQ0lRLkNSVFguSVFfQ0FTSF9FUVVJVi4yMDAwLjAxLzAxLzIwMjQuLi5VU0Qu</t>
  </si>
  <si>
    <t>SAEAAACi+I0BAgAAAAgwLDAwMTI3NAEIAAAABQAAAAExAQAAAAstMTkzODI0NjU1NgMAAAADMTYwAgAAAAQxMDk2BAAAAAEwBwAAAAgxLzEvMjAyNAgAAAAKMTIvMzEvMjAyMwkAAAABMOHopK3rR94IAFgAtutH3ggsQ0lRLkNSVFguSVFfTkVUX0RFQlQuMjAwMC4wMS8wMS8yMDI0Li4uVVNELkgBAAAAoviNAQIAAAAIMCw4ODY1MzQBCAAAAAUAAAABMQEAAAALLTE5MzgyNDY1NTYDAAAAAzE2MAIAAAAENDM2NAQAAAABMAcAAAAIMS8xLzIwMjQIAAAACjEyLzMxLzIwMjMJAAAAATDh6KSt60feCABYALbrR94IKUNJUS5GUlAuSVFfRUJJVERBLjIwMDAuMDEvMDEvMjAyNC4uLlVTRC5IAQAAAJT91CYCAAAACDI4LDAxNjY0AQgAAAAFAAAAATEBAAAACy0xOTY0MTg4Mzk2AwAAAAMxNjACAAAABDQwNTEEAAAAATAHAAAACDEvMS8yMDI0CAAAAAoxMC8zMS8yMDIzCQAAAAEw4eikretH3gjsfwC260feCDBDSVEuRlJQLklRX0VCSVREQV9NQVJHSU4uMjAwMC4wMS8wMS8yMDI0Li4uVVNELkgBAAAAlP3UJgIAAAAHMjAsMzg4MwEIAAAABQAAAAExAQAAAAstMTk2NDE4ODM5NgMAAAACNTUCAAAABDQwNDcEAAAAATAHAAAACDEvMS8yMDI0CAAAAAoxMC8zMS8yMDIzCQAAAAEw4eikretH3gjsfwC260feCC9DSVEuRlJQLklRX1RPVEFMX0FTU0VUUy4yMDAwLjAxLzAxLzIwMjQuLi5VU0QuSAEAAACU/dQmAgAAAAox</t>
  </si>
  <si>
    <t>MzIsNTYzNTgzAQgAAAAFAAAAATEBAAAACy0xOTY0MTg4Mzk2AwAAAAMxNjACAAAABDEwMDcEAAAAATAHAAAACDEvMS8yMDI0CAAAAAoxMC8zMS8yMDIzCQAAAAEw4eikretH3gjsfwC260feCC1DSVEuRlJQLklRX0NBU0hfRVFVSVYuMjAwMC4wMS8wMS8yMDI0Li4uVVNELkgBAAAAlP3UJgIAAAAJMTksMDQxNjEzAQgAAAAFAAAAATEBAAAACy0xOTY0MTg4Mzk2AwAAAAMxNjACAAAABDEwOTYEAAAAATAHAAAACDEvMS8yMDI0CAAAAAoxMC8zMS8yMDIzCQAAAAEw4eikretH3ghGpwC260feCCtDSVEuRlJQLklRX05FVF9ERUJULjIwMDAuMDEvMDEvMjAyNC4uLlVTRC5IAQAAAJT91CYCAAAACS02LDc5MTkxMwEIAAAABQAAAAExAQAAAAstMTk2NDE4ODM5NgMAAAADMTYwAgAAAAQ0MzY0BAAAAAEwBwAAAAgxLzEvMjAyNAgAAAAKMTAvMzEvMjAyMwkAAAABMOHopK3rR94IRqcAtutH3ggqQ0lRLjc0NTUuSVFfRUJJVERBLjIwMDAuMDEvMDEvMjAyNC4uLlVTRC5IAQAAAGxgCQACAAAACTIwLDgxNTg5MgEIAAAABQAAAAExAQAAAAstMjAwOTk4MDg1NgMAAAADMTYwAgAAAAQ0MDUxBAAAAAEwBwAAAAgxLzEvMjAyNAgAAAAKMTIvMzEvMjAyMwkAAAABMOHopK3rR94IRqcAtutH3ggxQ0lRLjc0NTUuSVFfRUJJVERBX01BUkdJTi4yMDAwLjAxLzAxLzIwMjQuLi5VU0QuSAEAAABsYAkAAgAAAAY1LDk1MjMBCAAA</t>
  </si>
  <si>
    <t>AAUAAAABMQEAAAALLTIwMDk5ODA4NTYDAAAAAjc5AgAAAAQ0MDQ3BAAAAAEwBwAAAAgxLzEvMjAyNAgAAAAKMTIvMzEvMjAyMwkAAAABMOHopK3rR94IRqcAtutH3ggwQ0lRLjc0NTUuSVFfVE9UQUxfQVNTRVRTLjIwMDAuMDEvMDEvMjAyNC4uLlVTRC5IAQAAAGxgCQACAAAACjI4Miw4NjM0NDgBCAAAAAUAAAABMQEAAAALLTIwMDk5ODA4NTYDAAAAAzE2MAIAAAAEMTAwNwQAAAABMAcAAAAIMS8xLzIwMjQIAAAACjEyLzMxLzIwMjMJAAAAATDh6KSt60feCNHOALbrR94ILkNJUS43NDU1LklRX0NBU0hfRVFVSVYuMjAwMC4wMS8wMS8yMDI0Li4uVVNELkgBAAAAbGAJAAIAAAAIOTcsNTIyNzMBCAAAAAUAAAABMQEAAAALLTIwMDk5ODA4NTYDAAAAAzE2MAIAAAAEMTA5NgQAAAABMAcAAAAIMS8xLzIwMjQIAAAACjEyLzMxLzIwMjMJAAAAATDh6KSt60feCNHOALbrR94ILENJUS43NDU1LklRX05FVF9ERUJULjIwMDAuMDEvMDEvMjAyNC4uLlVTRC5IAQAAAGxgCQACAAAACi04NCw3NzQ2MTUBCAAAAAUAAAABMQEAAAALLTIwMDk5ODA4NTYDAAAAAzE2MAIAAAAENDM2NAQAAAABMAcAAAAIMS8xLzIwMjQIAAAACjEyLzMxLzIwMjMJAAAAATDh6KSt60feCNHOALbrR94IKENJUS5JRy5JUV9FQklUREEuMjAwMC4wMS8wMS8yMDI0Li4uVVNELkgBAAAAO1cNAAIAAAALMTI5OSwzMjQ2MzgBCAAAAAUAAAABMQEA</t>
  </si>
  <si>
    <t>AAALLTE5NTU5Njk0OTADAAAAAzE2MAIAAAAENDA1MQQAAAABMAcAAAAIMS8xLzIwMjQIAAAACjEyLzMxLzIwMjMJAAAAATDh6KSt60feCNHOALbrR94IL0NJUS5JRy5JUV9FQklUREFfTUFSR0lOLjIwMDAuMDEvMDEvMjAyNC4uLlVTRC5IAQAAADtXDQACAAAABjQ1LDEwNQEIAAAABQAAAAExAQAAAAstMTk1NTk2OTQ5MAMAAAACNTACAAAABDQwNDcEAAAAATAHAAAACDEvMS8yMDI0CAAAAAoxMi8zMS8yMDIzCQAAAAEw4eikretH3giJHQG260feCC5DSVEuSUcuSVFfVE9UQUxfQVNTRVRTLjIwMDAuMDEvMDEvMjAyNC4uLlVTRC5IAQAAADtXDQACAAAADDEyMzEzLDA4NDk5NwEIAAAABQAAAAExAQAAAAstMTk1NTk2OTQ5MAMAAAADMTYwAgAAAAQxMDA3BAAAAAEwBwAAAAgxLzEvMjAyNAgAAAAKMTIvMzEvMjAyMwkAAAABMOHopK3rR94IiR0BtutH3ggsQ0lRLklHLklRX0NBU0hfRVFVSVYuMjAwMC4wMS8wMS8yMDI0Li4uVVNELkgBAAAAO1cNAAIAAAAKMjc2LDI5Mzc5OQEIAAAABQAAAAExAQAAAAstMTk1NTk2OTQ5MAMAAAADMTYwAgAAAAQxMDk2BAAAAAEwBwAAAAgxLzEvMjAyNAgAAAAKMTIvMzEvMjAyMwkAAAABMOHopK3rR94ILfYAtutH3ggqQ0lRLklHLklRX05FVF9ERUJULjIwMDAuMDEvMDEvMjAyNC4uLlVTRC5IAQAAADtXDQACAAAACzczNTQsMDAxMzI0AQgAAAAFAAAAATEBAAAACy0xOTU1</t>
  </si>
  <si>
    <t>OTY5NDkwAwAAAAMxNjACAAAABDQzNjQEAAAAATAHAAAACDEvMS8yMDI0CAAAAAoxMi8zMS8yMDIzCQAAAAEw4eikretH3ggt9gC260feCCpDSVEuWlogQi5JUV9FQklUREEuMjAwMC4wMS8wMS8yMDI0Li4uVVNELkgBAAAAIhzCBgIAAAAJMjAsOTk3ODg0AQgAAAAFAAAAATEBAAAACy0xOTQ0MDI4OTIxAwAAAAMxNjACAAAABDQwNTEEAAAAATAHAAAACDEvMS8yMDI0CAAAAAoxMi8zMS8yMDIzCQAAAAEwT2YtrutH3giJHQG260feCDFDSVEuWlogQi5JUV9FQklUREFfTUFSR0lOLjIwMDAuMDEvMDEvMjAyNC4uLlVTRC5IAQAAACIcwgYCAAAABzEyLDAyODcBCAAAAAUAAAABMQEAAAALLTE5NDQwMjg5MjEDAAAAAzEzNwIAAAAENDA0NwQAAAABMAcAAAAIMS8xLzIwMjQIAAAACjEyLzMxLzIwMjMJAAAAATBPZi2u60feCIkdAbbrR94IMENJUS5aWiBCLklRX1RPVEFMX0FTU0VUUy4yMDAwLjAxLzAxLzIwMjQuLi5VU0QuSAEAAAAiHMIGAgAAAAk4Myw3Mzg4NjkBCAAAAAUAAAABMQEAAAALLTE5NDQwMjg5MjEDAAAAAzE2MAIAAAAEMTAwNwQAAAABMAcAAAAIMS8xLzIwMjQIAAAACjEyLzMxLzIwMjMJAAAAATBPZi2u60feCOdEAbbrR94ILkNJUS5aWiBCLklRX0NBU0hfRVFVSVYuMjAwMC4wMS8wMS8yMDI0Li4uVVNELkgBAAAAIhzCBgIAAAAIMzEsOTQyNTUBCAAAAAUAAAABMQEAAAALLTE5NDQwMjg5MjED</t>
  </si>
  <si>
    <t>AAAAAzE2MAIAAAAEMTA5NgQAAAABMAcAAAAIMS8xLzIwMjQIAAAACjEyLzMxLzIwMjMJAAAAATBPZi2u60feCOdEAbbrR94ILENJUS5aWiBCLklRX05FVF9ERUJULjIwMDAuMDEvMDEvMjAyNC4uLlVTRC5IAQAAACIcwgYCAAAACi0yNiw1ODY5MDYBCAAAAAUAAAABMQEAAAALLTE5NDQwMjg5MjEDAAAAAzE2MAIAAAAENDM2NAQAAAABMAcAAAAIMS8xLzIwMjQIAAAACjEyLzMxLzIwMjMJAAAAATBPZi2u60feCOdEAbbrR94IKUNJUS5DR1kuSVFfRUJJVERBLjIwMDAuMDEvMDEvMjAyNC4uLlVTRC5IAQAAAANvDQACAAAACTUwLDY4NzE3MgEIAAAABQAAAAExAQAAAAstMTk2MDAyMDc0NQMAAAADMTYwAgAAAAQ0MDUxBAAAAAEwBwAAAAgxLzEvMjAyNAgAAAAKMTIvMzEvMjAyMwkAAAABMOHopK3rR94I50QBtutH3ggwQ0lRLkNHWS5JUV9FQklUREFfTUFSR0lOLjIwMDAuMDEvMDEvMjAyNC4uLlVTRC5IAQAAAANvDQACAAAABjksNjk4MgEIAAAABQAAAAExAQAAAAstMTk2MDAyMDc0NQMAAAACMjcCAAAABDQwNDcEAAAAATAHAAAACDEvMS8yMDI0CAAAAAoxMi8zMS8yMDIzCQAAAAEw4eikretH3gjnRAG260feCC9DSVEuQ0dZLklRX1RPVEFMX0FTU0VUUy4yMDAwLjAxLzAxLzIwMjQuLi5VU0QuSAEAAAADbw0AAgAAAAo1MzIsNTMyMjAxAQgAAAAFAAAAATEBAAAACy0xOTYwMDIwNzQ1AwAAAAMxNjACAAAA</t>
  </si>
  <si>
    <t>BDEwMDcEAAAAATAHAAAACDEvMS8yMDI0CAAAAAoxMi8zMS8yMDIzCQAAAAEw4eikretH3ghEbAG260feCC1DSVEuQ0dZLklRX0NBU0hfRVFVSVYuMjAwMC4wMS8wMS8yMDI0Li4uVVNELkgBAAAAA28NAAIAAAAJMzksNTc3MzIzAQgAAAAFAAAAATEBAAAACy0xOTYwMDIwNzQ1AwAAAAMxNjACAAAABDEwOTYEAAAAATAHAAAACDEvMS8yMDI0CAAAAAoxMi8zMS8yMDIzCQAAAAEw4eikretH3ghEbAG260feCCtDSVEuQ0dZLklRX05FVF9ERUJULjIwMDAuMDEvMDEvMjAyNC4uLlVTRC5IAQAAAANvDQACAAAACTYwLDczNjE2NAEIAAAABQAAAAExAQAAAAstMTk2MDAyMDc0NQMAAAADMTYwAgAAAAQ0MzY0BAAAAAEwBwAAAAgxLzEvMjAyNAgAAAAKMTIvMzEvMjAyMwkAAAABMOHopK3rR94IRGwBtutH3ggqQ0lRLk1FS08uSVFfRUJJVERBLjIwMDAuMDEvMDEvMjAyNC4uLlVTRC5IAQAAAKXFVgACAAAACjEyMCwyMTg2MDIBCAAAAAUAAAABMQEAAAALLTE5NTM1OTUyNjUDAAAAAzE2MAIAAAAENDA1MQQAAAABMAcAAAAIMS8xLzIwMjQIAAAACjEyLzMxLzIwMjMJAAAAATDh6KSt60feCERsAbbrR94IMUNJUS5NRUtPLklRX0VCSVREQV9NQVJHSU4uMjAwMC4wMS8wMS8yMDI0Li4uVVNELkgBAAAApcVWAAIAAAAGNiw5OTczAQgAAAAFAAAAATEBAAAACy0xOTUzNTk1MjY1AwAAAAMxMzcCAAAABDQwNDcEAAAAATAH</t>
  </si>
  <si>
    <t>AAAACDEvMS8yMDI0CAAAAAoxMi8zMS8yMDIzCQAAAAEw4eikretH3gj8ugG260feCDBDSVEuTUVLTy5JUV9UT1RBTF9BU1NFVFMuMjAwMC4wMS8wMS8yMDI0Li4uVVNELkgBAAAApcVWAAIAAAALMTU5NCw5NTk3NzYBCAAAAAUAAAABMQEAAAALLTE5NTM1OTUyNjUDAAAAAzE2MAIAAAAEMTAwNwQAAAABMAcAAAAIMS8xLzIwMjQIAAAACjEyLzMxLzIwMjMJAAAAATDh6KSt60feCPy6AbbrR94ILkNJUS5NRUtPLklRX0NBU0hfRVFVSVYuMjAwMC4wMS8wMS8yMDI0Li4uVVNELkgBAAAApcVWAAIAAAAJNjEsOTQ4ODc0AQgAAAAFAAAAATEBAAAACy0xOTUzNTk1MjY1AwAAAAMxNjACAAAABDEwOTYEAAAAATAHAAAACDEvMS8yMDI0CAAAAAoxMi8zMS8yMDIzCQAAAAEw4eikretH3gifkwG260feCCxDSVEuTUVLTy5JUV9ORVRfREVCVC4yMDAwLjAxLzAxLzIwMjQuLi5VU0QuSAEAAAClxVYAAgAAAAo0OTYsMTg3NjExAQgAAAAFAAAAATEBAAAACy0xOTUzNTk1MjY1AwAAAAMxNjACAAAABDQzNjQEAAAAATAHAAAACDEvMS8yMDI0CAAAAAoxMi8zMS8yMDIzCQAAAAEw4eikretH3gifkwG260feCCpDSVEuU1BIUi5JUV9FQklUREEuMjAwMC4wMS8wMS8yMDI0Li4uVVNELkgBAAAAkn0aIgIAAAAHLTgyLDMxMQEIAAAABQAAAAExAQAAAAstMjAxMTY3MDg2MgMAAAADMTYwAgAAAAQ0MDUxBAAAAAEwBwAAAAgxLzEv</t>
  </si>
  <si>
    <t>MjAyNAgAAAAKMTIvMzEvMjAyMwkAAAABMOHopK3rR94I/LoBtutH3ggxQ0lRLlNQSFIuSVFfRUJJVERBX01BUkdJTi4yMDAwLjAxLzAxLzIwMjQuLi5VU0QuSAEAAACSfRoiAgAAAAgtMTEsMzc5NQEIAAAABQAAAAExAQAAAAstMjAxMTY3MDg2MgMAAAADMTYwAgAAAAQ0MDQ3BAAAAAEwBwAAAAgxLzEvMjAyNAgAAAAKMTIvMzEvMjAyMwkAAAABMOHopK3rR94IXOIBtutH3ggwQ0lRLlNQSFIuSVFfVE9UQUxfQVNTRVRTLjIwMDAuMDEvMDEvMjAyNC4uLlVTRC5IAQAAAJJ9GiICAAAACDQ4ODMsMjg0AQgAAAAFAAAAATEBAAAACy0yMDExNjcwODYyAwAAAAMxNjACAAAABDEwMDcEAAAAATAHAAAACDEvMS8yMDI0CAAAAAoxMi8zMS8yMDIzCQAAAAEwKBOlretH3ghc4gG260feCC5DSVEuU1BIUi5JUV9DQVNIX0VRVUlWLjIwMDAuMDEvMDEvMjAyNC4uLlVTRC5IAQAAAJJ9GiICAAAABzYxNCw1NDkBCAAAAAUAAAABMQEAAAALLTIwMTE2NzA4NjIDAAAAAzE2MAIAAAAEMTA5NgQAAAABMAcAAAAIMS8xLzIwMjQIAAAACjEyLzMxLzIwMjMJAAAAATAoE6Wt60feCFziAbbrR94ILENJUS5TUEhSLklRX05FVF9ERUJULjIwMDAuMDEvMDEvMjAyNC4uLlVTRC5IAQAAAJJ9GiICAAAABzkyMCw5OTcBCAAAAAUAAAABMQEAAAALLTIwMTE2NzA4NjIDAAAAAzE2MAIAAAAENDM2NAQAAAABMAcAAAAIMS8xLzIwMjQIAAAA</t>
  </si>
  <si>
    <t>CjEyLzMxLzIwMjMJAAAAATAoE6Wt60feCFziAbbrR94IKUNJUS5GQ1QuSVFfRUJJVERBLjIwMDAuMDEvMDEvMjAyNC4uLlVTRC5IAQAAACDamQADAAAAAAAoE6Wt60feCFziAbbrR94IMENJUS5GQ1QuSVFfRUJJVERBX01BUkdJTi4yMDAwLjAxLzAxLzIwMjQuLi5VU0QuSAEAAAAg2pkAAwAAAAAAKBOlretH3gi6CQK260feCC9DSVEuRkNULklRX1RPVEFMX0FTU0VUUy4yMDAwLjAxLzAxLzIwMjQuLi5VU0QuSAEAAAAg2pkAAgAAAAozNjYsNjQwOTgxAQgAAAAFAAAAATEBAAAACy0yMDExNzEwMDIzAwAAAAMxNjACAAAABDEwMDcEAAAAATAHAAAACDEvMS8yMDI0CAAAAAoxMS8zMC8yMDIzCQAAAAEwKBOlretH3gi6CQK260feCC1DSVEuRkNULklRX0NBU0hfRVFVSVYuMjAwMC4wMS8wMS8yMDI0Li4uVVNELkgBAAAAINqZAAIAAAAHNSw4MDE2MQEIAAAABQAAAAExAQAAAAstMjAxMTcxMDAyMwMAAAADMTYwAgAAAAQxMDk2BAAAAAEwBwAAAAgxLzEvMjAyNAgAAAAKMTEvMzAvMjAyMwkAAAABMCgTpa3rR94IugkCtutH3ggrQ0lRLkZDVC5JUV9ORVRfREVCVC4yMDAwLjAxLzAxLzIwMjQuLi5VU0QuSAEAAAAg2pkAAgAAAAg2MiwxOTgzOQEIAAAABQAAAAExAQAAAAstMjAxMTcxMDAyMwMAAAADMTYwAgAAAAQ0MzY0BAAAAAEwBwAAAAgxLzEvMjAyNAgAAAAKMTEvMzAvMjAyMwkAAAABMCgTpa3rR94IugkC</t>
  </si>
  <si>
    <t>tutH3ggpQ0lRLlRBTC5JUV9FQklUREEuMjAwMC4wMS8wMS8yMDI0Li4uVVNELkgBAAAAQU3KBgIAAAAKLTE3Myw3NDYyNQEIAAAABQAAAAExAQAAAAstMTk2MjA5MjU4OQMAAAADMTYwAgAAAAQ0MDUxBAAAAAEwBwAAAAgxLzEvMjAyNAgAAAAKMTEvMzAvMjAyMwkAAAABMCgTpa3rR94IRTgCtutH3ggwQ0lRLlRBTC5JUV9FQklUREFfTUFSR0lOLjIwMDAuMDEvMDEvMjAyNC4uLlVTRC5IAQAAAEFNygYCAAAACC0xMywwNjQ5AQgAAAAFAAAAATEBAAAACy0xOTYyMDkyNTg5AwAAAAMxNjACAAAABDQwNDcEAAAAATAHAAAACDEvMS8yMDI0CAAAAAoxMS8zMC8yMDIzCQAAAAEwKBOlretH3giZXwK260feCC9DSVEuVEFMLklRX1RPVEFMX0FTU0VUUy4yMDAwLjAxLzAxLzIwMjQuLi5VU0QuSAEAAABBTcoGAgAAAAg0OTEzLDMyMwEIAAAABQAAAAExAQAAAAstMTk2MjA5MjU4OQMAAAADMTYwAgAAAAQxMDA3BAAAAAEwBwAAAAgxLzEvMjAyNAgAAAAKMTEvMzAvMjAyMwkAAAABMCgTpa3rR94ImV8CtutH3ggtQ0lRLlRBTC5JUV9DQVNIX0VRVUlWLjIwMDAuMDEvMDEvMjAyNC4uLlVTRC5IAQAAAEFNygYCAAAACDIxOTMsMzg3AQgAAAAFAAAAATEBAAAACy0xOTYyMDkyNTg5AwAAAAMxNjACAAAABDEwOTYEAAAAATAHAAAACDEvMS8yMDI0CAAAAAoxMS8zMC8yMDIzCQAAAAEwKBOlretH3ghFOAK260feCCtDSVEu</t>
  </si>
  <si>
    <t>VEFMLklRX05FVF9ERUJULjIwMDAuMDEvMDEvMjAyNC4uLlVTRC5IAQAAAEFNygYCAAAACS0yOTUzLDEzNAEIAAAABQAAAAExAQAAAAstMTk2MjA5MjU4OQMAAAADMTYwAgAAAAQ0MzY0BAAAAAEwBwAAAAgxLzEvMjAyNAgAAAAKMTEvMzAvMjAyMwkAAAABMCgTpa3rR94IRTgCtutH3ggrQ0lRLklORlJBLklRX0VCSVREQS4yMDAwLjAxLzAxLzIwMjQuLi5VU0QuSAEAAADB5hsgAgAAAAg5LDc1NzY5MwEIAAAABQAAAAExAQAAAAstMTk0NjIxMzc1OAMAAAADMTYwAgAAAAQ0MDUxBAAAAAEwBwAAAAgxLzEvMjAyNAgAAAAKMTIvMzEvMjAyMwkAAAABMCgTpa3rR94I94YCtutH3ggyQ0lRLklORlJBLklRX0VCSVREQV9NQVJHSU4uMjAwMC4wMS8wMS8yMDI0Li4uVVNELkgBAAAAweYbIAIAAAAHMTMsNTY2MwEIAAAABQAAAAExAQAAAAstMTk0NjIxMzc1OAMAAAADMTM3AgAAAAQ0MDQ3BAAAAAEwBwAAAAgxLzEvMjAyNAgAAAAKMTIvMzEvMjAyMwkAAAABMCgTpa3rR94I94YCtutH3ggxQ0lRLklORlJBLklRX1RPVEFMX0FTU0VUUy4yMDAwLjAxLzAxLzIwMjQuLi5VU0QuSAEAAADB5hsgAgAAAAk3NCw0OTkxMzkBCAAAAAUAAAABMQEAAAALLTE5NDYyMTM3NTgDAAAAAzE2MAIAAAAEMTAwNwQAAAABMAcAAAAIMS8xLzIwMjQIAAAACjEyLzMxLzIwMjMJAAAAATAoE6Wt60feCPeGArbrR94IL0NJUS5JTkZSQS5J</t>
  </si>
  <si>
    <t>UV9DQVNIX0VRVUlWLjIwMDAuMDEvMDEvMjAyNC4uLlVTRC5IAQAAAMHmGyACAAAACDYsMDIyOTYyAQgAAAAFAAAAATEBAAAACy0xOTQ2MjEzNzU4AwAAAAMxNjACAAAABDEwOTYEAAAAATAHAAAACDEvMS8yMDI0CAAAAAoxMi8zMS8yMDIzCQAAAAEwKBOlretH3gj3hgK260feCC1DSVEuSU5GUkEuSVFfTkVUX0RFQlQuMjAwMC4wMS8wMS8yMDI0Li4uVVNELkgBAAAAweYbIAIAAAAJMTAsMDE3MzIyAQgAAAAFAAAAATEBAAAACy0xOTQ2MjEzNzU4AwAAAAMxNjACAAAABDQzNjQEAAAAATAHAAAACDEvMS8yMDI0CAAAAAoxMi8zMS8yMDIzCQAAAAEwKBOlretH3gj3hgK260feCCpDSVEuQURWVC5JUV9FQklUREEuMjAwMC4wMS8wMS8yMDI0Li4uVVNELkgBAAAADywKAAMAAAAAACgTpa3rR94IUq4CtutH3ggxQ0lRLkFEVlQuSVFfRUJJVERBX01BUkdJTi4yMDAwLjAxLzAxLzIwMjQuLi5VU0QuSAEAAAAPLAoAAwAAAAAAKBOlretH3ghSrgK260feCDBDSVEuQURWVC5JUV9UT1RBTF9BU1NFVFMuMjAwMC4wMS8wMS8yMDI0Li4uVVNELkgBAAAADywKAAMAAAAAACgTpa3rR94IUq4CtutH3gguQ0lRLkFEVlQuSVFfQ0FTSF9FUVVJVi4yMDAwLjAxLzAxLzIwMjQuLi5VU0QuSAEAAAAPLAoAAwAAAAAAKBOlretH3ghSrgK260feCCxDSVEuQURWVC5JUV9ORVRfREVCVC4yMDAwLjAxLzAxLzIwMjQuLi5VU0QuSAEA</t>
  </si>
  <si>
    <t>AAAPLAoAAwAAAAAAKBOlretH3ghSrgK260feCCpDSVEuQUJEWC5JUV9FQklUREEuMjAwMC4wMS8wMS8yMDI0Li4uVVNELkgBAAAA9rafBwIAAAAJLTIsNDk2NTYxAQgAAAAFAAAAATEBAAAACy0xOTU0NzM0NjM0AwAAAAMxNjACAAAABDQwNTEEAAAAATAHAAAACDEvMS8yMDI0CAAAAAoxMi8zMS8yMDIzCQAAAAEwKBOlretH3giv1QK260feCDFDSVEuQUJEWC5JUV9FQklUREFfTUFSR0lOLjIwMDAuMDEvMDEvMjAyNC4uLlVTRC5IAQAAAPa2nwcCAAAACC0zNiw2NzY2AQgAAAAFAAAAATEBAAAACy0xOTU0NzM0NjM0AwAAAAI1NQIAAAAENDA0NwQAAAABMAcAAAAIMS8xLzIwMjQIAAAACjEyLzMxLzIwMjMJAAAAATAoE6Wt60feCAv9ArbrR94IMENJUS5BQkRYLklRX1RPVEFMX0FTU0VUUy4yMDAwLjAxLzAxLzIwMjQuLi5VU0QuSAEAAAD2tp8HAgAAAAg2LDE0MjA0OQEIAAAABQAAAAExAQAAAAstMTk1NDczNDYzNAMAAAADMTYwAgAAAAQxMDA3BAAAAAEwBwAAAAgxLzEvMjAyNAgAAAAKMTIvMzEvMjAyMwkAAAABMCgTpa3rR94IC/0CtutH3gguQ0lRLkFCRFguSVFfQ0FTSF9FUVVJVi4yMDAwLjAxLzAxLzIwMjQuLi5VU0QuSAEAAAD2tp8HAgAAAAgyLDU0NDk2NAEIAAAABQAAAAExAQAAAAstMTk1NDczNDYzNAMAAAADMTYwAgAAAAQxMDk2BAAAAAEwBwAAAAgxLzEvMjAyNAgAAAAKMTIvMzEvMjAyMwkA</t>
  </si>
  <si>
    <t>AAABMCgTpa3rR94Ir9UCtutH3ggsQ0lRLkFCRFguSVFfTkVUX0RFQlQuMjAwMC4wMS8wMS8yMDI0Li4uVVNELkgBAAAA9rafBwIAAAAJLTEsMjYxMDE4AQgAAAAFAAAAATEBAAAACy0xOTU0NzM0NjM0AwAAAAMxNjACAAAABDQzNjQEAAAAATAHAAAACDEvMS8yMDI0CAAAAAoxMi8zMS8yMDIzCQAAAAEwKBOlretH3giv1QK260feCCtDSVEuTUFOVEEuSVFfRUJJVERBLjIwMDAuMDEvMDEvMjAyNC4uLlVTRC5IAQAAAMglLCoCAAAACjM0OCw3MzQzODcBCAAAAAUAAAABMQEAAAALLTE5NTIyNDY4ODkDAAAAAzE2MAIAAAAENDA1MQQAAAABMAcAAAAIMS8xLzIwMjQIAAAACjEyLzMxLzIwMjMJAAAAATAoE6Wt60feCGkkA7brR94IMkNJUS5NQU5UQS5JUV9FQklUREFfTUFSR0lOLjIwMDAuMDEvMDEvMjAyNC4uLlVTRC5IAQAAAMglLCoCAAAABzUwLDExOTEBCAAAAAUAAAABMQEAAAALLTE5NTIyNDY4ODkDAAAAAjUwAgAAAAQ0MDQ3BAAAAAEwBwAAAAgxLzEvMjAyNAgAAAAKMTIvMzEvMjAyMwkAAAABMCgTpa3rR94IaSQDtutH3ggxQ0lRLk1BTlRBLklRX1RPVEFMX0FTU0VUUy4yMDAwLjAxLzAxLzIwMjQuLi5VU0QuSAEAAADIJSwqAgAAAAwxODA2NCwxMDk2NDQBCAAAAAUAAAABMQEAAAALLTE5NTIyNDY4ODkDAAAAAzE2MAIAAAAEMTAwNwQAAAABMAcAAAAIMS8xLzIwMjQIAAAACjEyLzMxLzIwMjMJAAAA</t>
  </si>
  <si>
    <t>ATAoE6Wt60feCGkkA7brR94IL0NJUS5NQU5UQS5JUV9DQVNIX0VRVUlWLjIwMDAuMDEvMDEvMjAyNC4uLlVTRC5IAQAAAMglLCoCAAAACTgxNiwxODIxNgEIAAAABQAAAAExAQAAAAstMTk1MjI0Njg4OQMAAAADMTYwAgAAAAQxMDk2BAAAAAEwBwAAAAgxLzEvMjAyNAgAAAAKMTIvMzEvMjAyMwkAAAABMCgTpa3rR94IaSQDtutH3ggtQ0lRLk1BTlRBLklRX05FVF9ERUJULjIwMDAuMDEvMDEvMjAyNC4uLlVTRC5IAQAAAMglLCoCAAAACi00MDIsNjc0OTIBCAAAAAUAAAABMQEAAAALLTE5NTIyNDY4ODkDAAAAAzE2MAIAAAAENDM2NAQAAAABMAcAAAAIMS8xLzIwMjQIAAAACjEyLzMxLzIwMjMJAAAAATAoE6Wt60feCMZLA7brR94IKkNJUS5CU1FSLklRX0VCSVREQS4yMDAwLjAxLzAxLzIwMjQuLi5VU0QuSAEAAAC1C/YjAgAAAAgyOCw3MTIyOAEIAAAABQAAAAExAQAAAAstMTk0ODI0MDQ1MQMAAAADMTYwAgAAAAQ0MDUxBAAAAAEwBwAAAAgxLzEvMjAyNAgAAAAKMTIvMzEvMjAyMwkAAAABMCgTpa3rR94IxksDtutH3ggxQ0lRLkJTUVIuSVFfRUJJVERBX01BUkdJTi4yMDAwLjAxLzAxLzIwMjQuLi5VU0QuSAEAAAC1C/YjAgAAAAY5LDA4NTcBCAAAAAUAAAABMQEAAAALLTE5NDgyNDA0NTEDAAAAAjUwAgAAAAQ0MDQ3BAAAAAEwBwAAAAgxLzEvMjAyNAgAAAAKMTIvMzEvMjAyMwkAAAABMCgTpa3rR94I</t>
  </si>
  <si>
    <t>xksDtutH3ggwQ0lRLkJTUVIuSVFfVE9UQUxfQVNTRVRTLjIwMDAuMDEvMDEvMjAyNC4uLlVTRC5IAQAAALUL9iMCAAAACjI2Niw4NjE5NDMBCAAAAAUAAAABMQEAAAALLTE5NDgyNDA0NTEDAAAAAzE2MAIAAAAEMTAwNwQAAAABMAcAAAAIMS8xLzIwMjQIAAAACjEyLzMxLzIwMjMJAAAAATAoE6Wt60feCMZLA7brR94ILkNJUS5CU1FSLklRX0NBU0hfRVFVSVYuMjAwMC4wMS8wMS8yMDI0Li4uVVNELkgBAAAAtQv2IwIAAAAINTUsOTcxMDQBCAAAAAUAAAABMQEAAAALLTE5NDgyNDA0NTEDAAAAAzE2MAIAAAAEMTA5NgQAAAABMAcAAAAIMS8xLzIwMjQIAAAACjEyLzMxLzIwMjMJAAAAATAoE6Wt60feCCFzA7brR94ILENJUS5CU1FSLklRX05FVF9ERUJULjIwMDAuMDEvMDEvMjAyNC4uLlVTRC5IAQAAALUL9iMCAAAACTc0LDQ2ODg4NQEIAAAABQAAAAExAQAAAAstMTk0ODI0MDQ1MQMAAAADMTYwAgAAAAQ0MzY0BAAAAAEwBwAAAAgxLzEvMjAyNAgAAAAKMTIvMzEvMjAyMwkAAAABMCgTpa3rR94IIXMDtutH3ggsQ0lRLjY4ODE2Ny5JUV9FQklUREEuMjAwMC4wMS8wMS8yMDI0Li4uVVNELkgBAAAAJdxSEwIAAAAIOSw1OTA2MTMBCAAAAAUAAAABMQEAAAALLTE5NDMzNDI3NzcDAAAAAzE2MAIAAAAENDA1MQQAAAABMAcAAAAIMS8xLzIwMjQIAAAACjEyLzMxLzIwMjMJAAAAATAoE6Wt60feCCFzA7brR94I</t>
  </si>
  <si>
    <t>M0NJUS42ODgxNjcuSVFfRUJJVERBX01BUkdJTi4yMDAwLjAxLzAxLzIwMjQuLi5VU0QuSAEAAAAl3FITAgAAAAcxMiwxMTg1AQgAAAAFAAAAATEBAAAACy0xOTQzMzQyNzc3AwAAAAIzMgIAAAAENDA0NwQAAAABMAcAAAAIMS8xLzIwMjQIAAAACjEyLzMxLzIwMjMJAAAAATAoE6Wt60feCH2aA7brR94IMkNJUS42ODgxNjcuSVFfVE9UQUxfQVNTRVRTLjIwMDAuMDEvMDEvMjAyNC4uLlVTRC5IAQAAACXcUhMCAAAACjM3MCw4MDgyODgBCAAAAAUAAAABMQEAAAALLTE5NDMzNDI3NzcDAAAAAzE2MAIAAAAEMTAwNwQAAAABMAcAAAAIMS8xLzIwMjQIAAAACjEyLzMxLzIwMjMJAAAAATAoE6Wt60feCH2aA7brR94IMENJUS42ODgxNjcuSVFfQ0FTSF9FUVVJVi4yMDAwLjAxLzAxLzIwMjQuLi5VU0QuSAEAAAAl3FITAgAAAAoyMjUsOTk4NDY4AQgAAAAFAAAAATEBAAAACy0xOTQzMzQyNzc3AwAAAAMxNjACAAAABDEwOTYEAAAAATAHAAAACDEvMS8yMDI0CAAAAAoxMi8zMS8yMDIzCQAAAAEwKBOlretH3gghcwO260feCC5DSVEuNjg4MTY3LklRX05FVF9ERUJULjIwMDAuMDEvMDEvMjAyNC4uLlVTRC5IAQAAACXcUhMCAAAACy0yMTgsOTA4NDc3AQgAAAAFAAAAATEBAAAACy0xOTQzMzQyNzc3AwAAAAMxNjACAAAABDQzNjQEAAAAATAHAAAACDEvMS8yMDI0CAAAAAoxMi8zMS8yMDIzCQAAAAEwKBOlretH3gh9</t>
  </si>
  <si>
    <t>mgO260feCClDSVEuUE9TLklRX0VCSVREQS4yMDAwLjAxLzAxLzIwMjQuLi5VU0QuSAEAAADPxX0BAgAAAAgxLDY5MjgyMQEIAAAABQAAAAExAQAAAAstMTk1Mzk3NzcwOQMAAAADMTYwAgAAAAQ0MDUxBAAAAAEwBwAAAAgxLzEvMjAyNAgAAAAKMTIvMzEvMjAyMwkAAAABMCgTpa3rR94IkBAEtutH3ggwQ0lRLlBPUy5JUV9FQklUREFfTUFSR0lOLjIwMDAuMDEvMDEvMjAyNC4uLlVTRC5IAQAAAM/FfQECAAAABzIyLDY1OTgBCAAAAAUAAAABMQEAAAALLTE5NTM5Nzc3MDkDAAAAAjU1AgAAAAQ0MDQ3BAAAAAEwBwAAAAgxLzEvMjAyNAgAAAAKMTIvMzEvMjAyMwkAAAABMCgTpa3rR94I6TcEtutH3ggvQ0lRLlBPUy5JUV9UT1RBTF9BU1NFVFMuMjAwMC4wMS8wMS8yMDI0Li4uVVNELkgBAAAAz8V9AQIAAAAJMjgsNzE0MjcxAQgAAAAFAAAAATEBAAAACy0xOTUzOTc3NzA5AwAAAAMxNjACAAAABDEwMDcEAAAAATAHAAAACDEvMS8yMDI0CAAAAAoxMi8zMS8yMDIzCQAAAAEwKBOlretH3ghCXwS260feCC1DSVEuUE9TLklRX0NBU0hfRVFVSVYuMjAwMC4wMS8wMS8yMDI0Li4uVVNELkgBAAAAz8V9AQIAAAAIMSwwNjEwMzgBCAAAAAUAAAABMQEAAAALLTE5NTM5Nzc3MDkDAAAAAzE2MAIAAAAEMTA5NgQAAAABMAcAAAAIMS8xLzIwMjQIAAAACjEyLzMxLzIwMjMJAAAAATAoE6Wt60feCOk3BLbrR94IK0NJUS5Q</t>
  </si>
  <si>
    <t>T1MuSVFfTkVUX0RFQlQuMjAwMC4wMS8wMS8yMDI0Li4uVVNELkgBAAAAz8V9AQIAAAAIMSw5ODgzMzIBCAAAAAUAAAABMQEAAAALLTE5NTM5Nzc3MDkDAAAAAzE2MAIAAAAENDM2NAQAAAABMAcAAAAIMS8xLzIwMjQIAAAACjEyLzMxLzIwMjMJAAAAATAoE6Wt60feCOk3BLbrR94IKUNJUS5TM0QuSVFfRUJJVERBLjIwMDAuMDEvMDEvMjAyNC4uLlVTRC5IAQAAABwWmCoCAAAACDMsMzEzMjcxAQgAAAAFAAAAATEBAAAACy0xOTI3NTk0ODE4AwAAAAMxNjACAAAABDQwNTEEAAAAATAHAAAACDEvMS8yMDI0CAAAAAoxMi8zMS8yMDIzCQAAAAEwKBOlretH3ggz6QO260feCDBDSVEuUzNELklRX0VCSVREQV9NQVJHSU4uMjAwMC4wMS8wMS8yMDI0Li4uVVNELkgBAAAAHBaYKgIAAAAFNCw1OTgBCAAAAAUAAAABMQEAAAALLTE5Mjc1OTQ4MTgDAAAAAjUwAgAAAAQ0MDQ3BAAAAAEwBwAAAAgxLzEvMjAyNAgAAAAKMTIvMzEvMjAyMwkAAAABMCgTpa3rR94IM+kDtutH3ggvQ0lRLlMzRC5JUV9UT1RBTF9BU1NFVFMuMjAwMC4wMS8wMS8yMDI0Li4uVVNELkgBAAAAHBaYKgIAAAAJNjgsMzk5NDc0AQgAAAAFAAAAATEBAAAACy0xOTI3NTk0ODE4AwAAAAMxNjACAAAABDEwMDcEAAAAATAHAAAACDEvMS8yMDI0CAAAAAoxMi8zMS8yMDIzCQAAAAEwKBOlretH3giQEAS260feCC1DSVEuUzNELklRX0NBU0hfRVFVSVYu</t>
  </si>
  <si>
    <t>MjAwMC4wMS8wMS8yMDI0Li4uVVNELkgBAAAAHBaYKgIAAAAHMywwMzQyNgEIAAAABQAAAAExAQAAAAstMTkyNzU5NDgxOAMAAAADMTYwAgAAAAQxMDk2BAAAAAEwBwAAAAgxLzEvMjAyNAgAAAAKMTIvMzEvMjAyMwkAAAABMCgTpa3rR94IkBAEtutH3ggrQ0lRLlMzRC5JUV9ORVRfREVCVC4yMDAwLjAxLzAxLzIwMjQuLi5VU0QuSAEAAAAcFpgqAgAAAAkxMywwOTkyOTYBCAAAAAUAAAABMQEAAAALLTE5Mjc1OTQ4MTgDAAAAAzE2MAIAAAAENDM2NAQAAAABMAcAAAAIMS8xLzIwMjQIAAAACjEyLzMxLzIwMjMJAAAAATAoE6Wt60feCJAQBLbrR94IKUNJUS5GT00uSVFfRUJJVERBLjIwMDAuMDEvMDEvMjAyNC4uLlVTRC5IAQAAAFV1LwACAAAACi0xMiw3ODU1NjQBCAAAAAUAAAABMQEAAAALLTE5NTUwMTA1NTEDAAAAAzE2MAIAAAAENDA1MQQAAAABMAcAAAAIMS8xLzIwMjQIAAAACjEyLzMxLzIwMjMJAAAAATAoE6Wt60feCEJfBLbrR94IMENJUS5GT00uSVFfRUJJVERBX01BUkdJTi4yMDAwLjAxLzAxLzIwMjQuLi5VU0QuSAEAAABVdS8AAwAAAAAAKBOlretH3ghCXwS260feCC9DSVEuRk9NLklRX1RPVEFMX0FTU0VUUy4yMDAwLjAxLzAxLzIwMjQuLi5VU0QuSAEAAABVdS8AAgAAAAo0MTAsNzgwNDYxAQgAAAAFAAAAATEBAAAACy0xOTU1MDEwNTUxAwAAAAMxNjACAAAABDEwMDcEAAAAATAHAAAACDEv</t>
  </si>
  <si>
    <t>MS8yMDI0CAAAAAoxMi8zMS8yMDIzCQAAAAEwKBOlretH3gg4hgS260feCC1DSVEuRk9NLklRX0NBU0hfRVFVSVYuMjAwMC4wMS8wMS8yMDI0Li4uVVNELkgBAAAAVXUvAAIAAAAKMjAxLDc4Nzc4MwEIAAAABQAAAAExAQAAAAstMTk1NTAxMDU1MQMAAAADMTYwAgAAAAQxMDk2BAAAAAEwBwAAAAgxLzEvMjAyNAgAAAAKMTIvMzEvMjAyMwkAAAABMCgTpa3rR94IOIYEtutH3ggrQ0lRLkZPTS5JUV9ORVRfREVCVC4yMDAwLjAxLzAxLzIwMjQuLi5VU0QuSAEAAABVdS8AAgAAAAstMTcyLDY2MDc3NgEIAAAABQAAAAExAQAAAAstMTk1NTAxMDU1MQMAAAADMTYwAgAAAAQ0MzY0BAAAAAEwBwAAAAgxLzEvMjAyNAgAAAAKMTIvMzEvMjAyMwkAAAABMCgTpa3rR94IOIYEtutH3ggpQ0lRLkdDUC5JUV9FQklUREEuMjAwMC4wMS8wMS8yMDI0Li4uVVNELkgBAAAAZz1gBgMAAAAAACgTpa3rR94IOIYEtutH3ggwQ0lRLkdDUC5JUV9FQklUREFfTUFSR0lOLjIwMDAuMDEvMDEvMjAyNC4uLlVTRC5IAQAAAGc9YAYDAAAAAAAoE6Wt60feCDiGBLbrR94IL0NJUS5HQ1AuSVFfVE9UQUxfQVNTRVRTLjIwMDAuMDEvMDEvMjAyNC4uLlVTRC5IAQAAAGc9YAYCAAAACzEzMTMsODcyNDcyAQgAAAAFAAAAATEBAAAACy0xOTM4NTU1MjA4AwAAAAMxNjACAAAABDEwMDcEAAAAATAHAAAACDEvMS8yMDI0CAAAAAoxMi8zMS8yMDIz</t>
  </si>
  <si>
    <t>CQAAAAEwKBOlretH3ghHrQS260feCC1DSVEuR0NQLklRX0NBU0hfRVFVSVYuMjAwMC4wMS8wMS8yMDI0Li4uVVNELkgBAAAAZz1gBgIAAAAJMjIsNjA3ODg3AQgAAAAFAAAAATEBAAAACy0xOTM4NTU1MjA4AwAAAAMxNjACAAAABDEwOTYEAAAAATAHAAAACDEvMS8yMDI0CAAAAAoxMi8zMS8yMDIzCQAAAAEwKBOlretH3ghHrQS260feCCtDSVEuR0NQLklRX05FVF9ERUJULjIwMDAuMDEvMDEvMjAyNC4uLlVTRC5IAQAAAGc9YAYCAAAADC0xMTkzLDAwNzA4MgEIAAAABQAAAAExAQAAAAstMTkzODU1NTIwOAMAAAADMTYwAgAAAAQ0MzY0BAAAAAEwBwAAAAgxLzEvMjAyNAgAAAAKMTIvMzEvMjAyMwkAAAABMCgTpa3rR94IR60EtutH3ggvQ0lRLlNVTlBIQVJNQS5JUV9FQklUREEuMjAwMC4wMS8wMS8yMDI0Li4uVVNELkgBAAAAsCcCAAIAAAALMTUzOSw2NDEyMzkBCAAAAAUAAAABMQEAAAALLTIwMTIxNTI0NTMDAAAAAzE2MAIAAAAENDA1MQQAAAABMAcAAAAIMS8xLzIwMjQIAAAACjEyLzMxLzIwMjMJAAAAATAoE6Wt60feCEetBLbrR94INkNJUS5TVU5QSEFSTUEuSVFfRUJJVERBX01BUkdJTi4yMDAwLjAxLzAxLzIwMjQuLi5VU0QuSAEAAACwJwIAAgAAAAcyNywwMTIyAQgAAAAFAAAAATEBAAAACy0yMDEyMTUyNDUzAwAAAAI3MgIAAAAENDA0NwQAAAABMAcAAAAIMS8xLzIwMjQIAAAACjEyLzMxLzIw</t>
  </si>
  <si>
    <t>MjMJAAAAATAoE6Wt60feCGb7BLbrR94INUNJUS5TVU5QSEFSTUEuSVFfVE9UQUxfQVNTRVRTLjIwMDAuMDEvMDEvMjAyNC4uLlVTRC5IAQAAALAnAgADAAAAAAAoE6Wt60feCGb7BLbrR94IM0NJUS5TVU5QSEFSTUEuSVFfQ0FTSF9FUVVJVi4yMDAwLjAxLzAxLzIwMjQuLi5VU0QuSAEAAACwJwIAAwAAAAAAKBOlretH3ghZ1AS260feCDFDSVEuU1VOUEhBUk1BLklRX05FVF9ERUJULjIwMDAuMDEvMDEvMjAyNC4uLlVTRC5IAQAAALAnAgACAAAACy0xNTUwLDM1Mzc0AQgAAAAFAAAAATEBAAAACy0yMDEyMTUyNDUzAwAAAAMxNjACAAAABDQzNjQEAAAAATAHAAAACDEvMS8yMDI0CAAAAAoxMi8zMS8yMDIzCQAAAAEwKBOlretH3ghZ1AS260feCCxDSVEuVEdBTUVTLklRX0VCSVREQS4yMDAwLjAxLzAxLzIwMjQuLi5VU0QuSAEAAABcEO0oAgAAAAgxLDYyMjA3NAEIAAAABQAAAAExAQAAAAstMTk1NjM0MzczMAMAAAADMTYwAgAAAAQ0MDUxBAAAAAEwBwAAAAgxLzEvMjAyNAgAAAAKMTIvMzEvMjAyMwkAAAABMCgTpa3rR94IeSIFtutH3ggzQ0lRLlRHQU1FUy5JUV9FQklUREFfTUFSR0lOLjIwMDAuMDEvMDEvMjAyNC4uLlVTRC5IAQAAAFwQ7SgCAAAABzIwLDA5MzYBCAAAAAUAAAABMQEAAAALLTE5NTYzNDM3MzADAAAAAjQyAgAAAAQ0MDQ3BAAAAAEwBwAAAAgxLzEvMjAyNAgAAAAKMTIvMzEvMjAyMwkA</t>
  </si>
  <si>
    <t>AAABMCgTpa3rR94IeSIFtutH3ggyQ0lRLlRHQU1FUy5JUV9UT1RBTF9BU1NFVFMuMjAwMC4wMS8wMS8yMDI0Li4uVVNELkgBAAAAXBDtKAIAAAAIOSwyMDQ4MDEBCAAAAAUAAAABMQEAAAALLTE5NTYzNDM3MzADAAAAAzE2MAIAAAAEMTAwNwQAAAABMAcAAAAIMS8xLzIwMjQIAAAACjEyLzMxLzIwMjMJAAAAATAoE6Wt60feCHkiBbbrR94IMENJUS5UR0FNRVMuSVFfQ0FTSF9FUVVJVi4yMDAwLjAxLzAxLzIwMjQuLi5VU0QuSAEAAABcEO0oAgAAAAgzLDY2NTc1NgEIAAAABQAAAAExAQAAAAstMTk1NjM0MzczMAMAAAADMTYwAgAAAAQxMDk2BAAAAAEwBwAAAAgxLzEvMjAyNAgAAAAKMTIvMzEvMjAyMwkAAAABMCgTpa3rR94IeSIFtutH3gguQ0lRLlRHQU1FUy5JUV9ORVRfREVCVC4yMDAwLjAxLzAxLzIwMjQuLi5VU0QuSAEAAABcEO0oAgAAAAktMyw2NTE4MTYBCAAAAAUAAAABMQEAAAALLTE5NTYzNDM3MzADAAAAAzE2MAIAAAAENDM2NAQAAAABMAcAAAAIMS8xLzIwMjQIAAAACjEyLzMxLzIwMjMJAAAAATAoE6Wt60feCHkiBbbrR94IKUNJUS5LQVIuSVFfRUJJVERBLjIwMDAuMDEvMDEvMjAyNC4uLlVTRC5IAQAAACsYqAACAAAABTU0NywyAQgAAAAFAAAAATEBAAAACy0xOTM0NzY5MzU2AwAAAAMxNjACAAAABDQwNTEEAAAAATAHAAAACDEvMS8yMDI0CAAAAAoxMi8zMS8yMDIzCQAAAAEwKBOlretH</t>
  </si>
  <si>
    <t>3giHSQW260feCDBDSVEuS0FSLklRX0VCSVREQV9NQVJHSU4uMjAwMC4wMS8wMS8yMDI0Li4uVVNELkgBAAAAKxioAAIAAAAGNjYsMjYzAQgAAAAFAAAAATEBAAAACy0xOTM0NzY5MzU2AwAAAAMxNjACAAAABDQwNDcEAAAAATAHAAAACDEvMS8yMDI0CAAAAAoxMi8zMS8yMDIzCQAAAAEwKBOlretH3giHSQW260feCC9DSVEuS0FSLklRX1RPVEFMX0FTU0VUUy4yMDAwLjAxLzAxLzIwMjQuLi5VU0QuSAEAAAArGKgAAgAAAAYxOTMyLDUBCAAAAAUAAAABMQEAAAALLTE5MzQ3NjkzNTYDAAAAAzE2MAIAAAAEMTAwNwQAAAABMAcAAAAIMS8xLzIwMjQIAAAACjEyLzMxLzIwMjMJAAAAATAoE6Wt60feCIdJBbbrR94ILUNJUS5LQVIuSVFfQ0FTSF9FUVVJVi4yMDAwLjAxLzAxLzIwMjQuLi5VU0QuSAEAAAArGKgAAgAAAAUxNzAsNAEIAAAABQAAAAExAQAAAAstMTkzNDc2OTM1NgMAAAADMTYwAgAAAAQxMDk2BAAAAAEwBwAAAAgxLzEvMjAyNAgAAAAKMTIvMzEvMjAyMwkAAAABMCgTpa3rR94Ih0kFtutH3ggrQ0lRLktBUi5JUV9ORVRfREVCVC4yMDAwLjAxLzAxLzIwMjQuLi5VU0QuSAEAAAArGKgAAgAAAAUzMTgsNQEIAAAABQAAAAExAQAAAAstMTkzNDc2OTM1NgMAAAADMTYwAgAAAAQ0MzY0BAAAAAEwBwAAAAgxLzEvMjAyNAgAAAAKMTIvMzEvMjAyMwkAAAABMCgTpa3rR94Ih0kFtutH3ggqQ0lRLlZJVFIu</t>
  </si>
  <si>
    <t>SVFfRUJJVERBLjIwMDAuMDEvMDEvMjAyNC4uLlVTRC5IAQAAAJYMDAACAAAACjExMCwwNzYwODkBCAAAAAUAAAABMQEAAAALLTE5NTMxMzA3OTIDAAAAAzE2MAIAAAAENDA1MQQAAAABMAcAAAAIMS8xLzIwMjQIAAAACjEyLzMxLzIwMjMJAAAAATAoE6Wt60feCJlwBbbrR94IMUNJUS5WSVRSLklRX0VCSVREQV9NQVJHSU4uMjAwMC4wMS8wMS8yMDI0Li4uVVNELkgBAAAAlgwMAAIAAAAHMzEsNTIwNQEIAAAABQAAAAExAQAAAAstMTk1MzEzMDc5MgMAAAADMTM3AgAAAAQ0MDQ3BAAAAAEwBwAAAAgxLzEvMjAyNAgAAAAKMTIvMzEvMjAyMwkAAAABMCgTpa3rR94IqJcFtutH3ggwQ0lRLlZJVFIuSVFfVE9UQUxfQVNTRVRTLjIwMDAuMDEvMDEvMjAyNC4uLlVTRC5IAQAAAJYMDAACAAAACzE2MjMsNjk2ODk0AQgAAAAFAAAAATEBAAAACy0xOTUzMTMwNzkyAwAAAAMxNjACAAAABDEwMDcEAAAAATAHAAAACDEvMS8yMDI0CAAAAAoxMi8zMS8yMDIzCQAAAAEwKBOlretH3giolwW260feCC5DSVEuVklUUi5JUV9DQVNIX0VRVUlWLjIwMDAuMDEvMDEvMjAyNC4uLlVTRC5IAQAAAJYMDAACAAAACTg1LDYxNDczNgEIAAAABQAAAAExAQAAAAstMTk1MzEzMDc5MgMAAAADMTYwAgAAAAQxMDk2BAAAAAEwBwAAAAgxLzEvMjAyNAgAAAAKMTIvMzEvMjAyMwkAAAABMCgTpa3rR94ImXAFtutH3ggsQ0lRLlZJVFIuSVFf</t>
  </si>
  <si>
    <t>TkVUX0RFQlQuMjAwMC4wMS8wMS8yMDI0Li4uVVNELkgBAAAAlgwMAAIAAAAKMTIyLDEwNzg5MwEIAAAABQAAAAExAQAAAAstMTk1MzEzMDc5MgMAAAADMTYwAgAAAAQ0MzY0BAAAAAEwBwAAAAgxLzEvMjAyNAgAAAAKMTIvMzEvMjAyMwkAAAABMCgTpa3rR94ImXAFtutH3ggpQ0lRLkVHQi5JUV9FQklUREEuMjAwMC4wMS8wMS8yMDI0Li4uVVNELkgBAAAAB/x+IgIAAAAINCwxNTcxMzcBCAAAAAUAAAABMQEAAAALLTE5NjI0ODI5NjkDAAAAAzE2MAIAAAAENDA1MQQAAAABMAcAAAAIMS8xLzIwMjQIAAAACjEyLzMxLzIwMjEJAAAAATDQPaWt60feCNcMBrbrR94IMENJUS5FR0IuSVFfRUJJVERBX01BUkdJTi4yMDAwLjAxLzAxLzIwMjQuLi5VU0QuSAEAAAAH/H4iAgAAAAcyMyw2MjIxAQgAAAAFAAAAATEBAAAACy0xOTYyNDgyOTY5AwAAAAI1MAIAAAAENDA0NwQAAAABMAcAAAAIMS8xLzIwMjQIAAAACjEyLzMxLzIwMjEJAAAAATDQPaWt60feCOczBrbrR94IL0NJUS5FR0IuSVFfVE9UQUxfQVNTRVRTLjIwMDAuMDEvMDEvMjAyNC4uLlVTRC5IAQAAAAf8fiICAAAACDgsNzI5OTA2AQgAAAAFAAAAATEBAAAACy0xOTYyNDgyOTY5AwAAAAMxNjACAAAABDEwMDcEAAAAATAHAAAACDEvMS8yMDI0CAAAAAoxMi8zMS8yMDIxCQAAAAEw0D2lretH3gjnMwa260feCC1DSVEuRUdCLklRX0NBU0hfRVFVSVYuMjAw</t>
  </si>
  <si>
    <t>MC4wMS8wMS8yMDI0Li4uVVNELkgBAAAAB/x+IgIAAAAIMSwwMjgxMjgBCAAAAAUAAAABMQEAAAALLTE5NjI0ODI5NjkDAAAAAzE2MAIAAAAEMTA5NgQAAAABMAcAAAAIMS8xLzIwMjQIAAAACjEyLzMxLzIwMjEJAAAAATDQPaWt60feCNcMBrbrR94IK0NJUS5FR0IuSVFfTkVUX0RFQlQuMjAwMC4wMS8wMS8yMDI0Li4uVVNELkgBAAAAB/x+IgIAAAAIMCw2NTYwMDgBCAAAAAUAAAABMQEAAAALLTE5NjI0ODI5NjkDAAAAAzE2MAIAAAAENDM2NAQAAAABMAcAAAAIMS8xLzIwMjQIAAAACjEyLzMxLzIwMjEJAAAAATDQPaWt60feCOczBrbrR94IHENJUS5OWVNFOklCTS5JUV9DT01QQU5ZX05BTUUBAAAA3rYBAAMAAAArSW50ZXJuYXRpb25hbCBCdXNpbmVzcyBNYWNoaW5lcyBDb3Jwb3JhdGlvbgDanCyu60feCOsLY8DrR94IJ0NJUS5UWFQuSVFfTEFTVFNBTEVQUklDRS4zMC8wNi8yMDI0LlVTRAEAAADniQAAAgAAAAU4NSw4NgC2Fy2u60feCJnJ4rXrR94IJ0NJUS5UWFQuSVFfTEFTVFNBTEVQUklDRS4yOS8wNi8yMDI0LlVTRAEAAADniQAAAgAAAAU4NSw4NgC2Fy2u60feCJnJ4rXrR94IJ0NJUS5UWFQuSVFfTEFTVFNBTEVQUklDRS4yOC8wNi8yMDI0LlVTRAEAAADniQAAAgAAAAU4NSw4NgC2Fy2u60feCJnJ4rXrR94IJ0NJUS5UWFQuSVFfTEFTVFNBTEVQUklDRS4yNy8wNi8yMDI0LlVTRAEAAADniQAA</t>
  </si>
  <si>
    <t>AgAAAAU4NiwzNAC2Fy2u60feCJnJ4rXrR94IJ0NJUS5UWFQuSVFfTEFTVFNBTEVQUklDRS4wMy8wNy8yMDI0LlVTRAEAAADniQAAAgAAAAU4NiwyMQC2Fy2u60feCB6f4rXrR94IJ0NJUS5UWFQuSVFfTEFTVFNBTEVQUklDRS4yNC8wNi8yMDI0LlVTRAEAAADniQAAAgAAAAU4Nyw0OAC2Fy2u60feCJnJ4rXrR94IJ0NJUS5KREcuSVFfTEFTVFNBTEVQUklDRS4wMi8wNy8yMDI0LlVTRAEAAAC6f1cBAgAAAA0xMzEsMjIzNjEyNjcyAFnwLK7rR94ILq3etetH3ggnQ0lRLkpERy5JUV9MQVNUU0FMRVBSSUNFLjIxLzA2LzIwMjQuVVNEAQAAALp/VwECAAAADTExOCw2ODUzNzAxNzQAWfAsrutH3ggurd6160feCChDSVEuSU5BQy5JUV9MQVNUU0FMRVBSSUNFLjI3LzA2LzIwMjQuVVNEAQAAAPe5wgEDAAAAAABZ8Cyu60feCN783rXrR94IKENJUS5JTkFDLklRX0xBU1RTQUxFUFJJQ0UuMjYvMDYvMjAyNC5VU0QBAAAA97nCAQMAAAAAAFnwLK7rR94I3vzetetH3ggoQ0lRLklOQUMuSVFfTEFTVFNBTEVQUklDRS4yNS8wNi8yMDI0LlVTRAEAAAD3ucIBAwAAAAAAWfAsrutH3ggurd6160feCChDSVEuSU5BQy5JUV9MQVNUU0FMRVBSSUNFLjI0LzA2LzIwMjQuVVNEAQAAAPe5wgEDAAAAAABZ8Cyu60feCNck37XrR94IKENJUS5JTkFDLklRX0xBU1RTQUxFUFJJQ0UuMjkvMDYvMjAyNC5VU0QBAAAA97nCAQMAAAAA</t>
  </si>
  <si>
    <t>AFnwLK7rR94I1yTftetH3ggoQ0lRLklOQUMuSVFfTEFTVFNBTEVQUklDRS4zMC8wNi8yMDI0LlVTRAEAAAD3ucIBAwAAAAAAWfAsrutH3gjXJN+160feCChDSVEuSU5BQy5JUV9MQVNUU0FMRVBSSUNFLjAxLzA3LzIwMjQuVVNEAQAAAPe5wgEDAAAAAABZ8Cyu60feCN783rXrR94IKENJUS5JTkFDLklRX0xBU1RTQUxFUFJJQ0UuMDIvMDcvMjAyNC5VU0QBAAAA97nCAQMAAAAAAFnwLK7rR94I3NTetetH3ggoQ0lRLklOQUMuSVFfTEFTVFNBTEVQUklDRS4yMS8wNi8yMDI0LlVTRAEAAAD3ucIBAwAAAAAAWfAsrutH3gjc1N6160feCChDSVEuSU5BQy5JUV9MQVNUU0FMRVBSSUNFLjA1LzA3LzIwMjQuVVNEAQAAAPe5wgEDAAAAAABZ8Cyu60feCNBM37XrR94IKENJUS5FU1BFLklRX0xBU1RTQUxFUFJJQ0UuMjcvMDYvMjAyNC5VU0QBAAAApsOHbwIAAAANMyw0NDcxNjgzOTgyNABZ8Cyu60feCNBM37XrR94IKENJUS5FU1BFLklRX0xBU1RTQUxFUFJJQ0UuMjYvMDYvMjAyNC5VU0QBAAAApsOHbwIAAAAKMywyODk1NDM5NQBZ8Cyu60feCNBM37XrR94IKENJUS5FU1BFLklRX0xBU1RTQUxFUFJJQ0UuMjUvMDYvMjAyNC5VU0QBAAAApsOHbwIAAAANMywyMjE2NjMyNzgyNgBZ8Cyu60feCNBM37XrR94IKENJUS5FU1BFLklRX0xBU1RTQUxFUFJJQ0UuMjQvMDYvMjAyNC5VU0QBAAAApsOHbwIAAAANMywxODYz</t>
  </si>
  <si>
    <t>NTMzOTUxNwBZ8Cyu60feCNZ037XrR94IKENJUS5FU1BFLklRX0xBU1RTQUxFUFJJQ0UuMjkvMDYvMjAyNC5VU0QBAAAApsOHbwIAAAAMMyw1MzU4NDA1NjU0AFnwLK7rR94I1yTftetH3ggoQ0lRLkVTUEUuSVFfTEFTVFNBTEVQUklDRS4zMC8wNi8yMDI0LlVTRAEAAACmw4dvAgAAAAwzLDUzNTg0MDU2NTQAWfAsrutH3gjWdN+160feCChDSVEuRVNQRS5JUV9MQVNUU0FMRVBSSUNFLjAxLzA3LzIwMjQuVVNEAQAAAKbDh28CAAAADDMsNDYzNDM1NTU2MQBZ8Cyu60feCNZ037XrR94IKENJUS5FU1BFLklRX0xBU1RTQUxFUFJJQ0UuMDIvMDcvMjAyNC5VU0QBAAAApsOHbwIAAAAMMyw0MzU2ODgyMTEyAFnwLK7rR94I0pzftetH3ggoQ0lRLkVTUEUuSVFfTEFTVFNBTEVQUklDRS4yMS8wNi8yMDI0LlVTRAEAAACmw4dvAgAAAAwzLDE1MTcwOTQwMDYAWfAsrutH3gjSnN+160feCChDSVEuRVNQRS5JUV9MQVNUU0FMRVBSSUNFLjA1LzA3LzIwMjQuVVNEAQAAAKbDh28CAAAADTMsNzI0MTUyODY0ODgAWfAsrutH3gjSnN+160feCCdDSVEuU0dDLklRX0xBU1RTQUxFUFJJQ0UuMjcvMDYvMjAyNC5VU0QBAAAAwasEAAIAAAAFMTgsOTcAWfAsrutH3gjSnN+160feCCdDSVEuU0dDLklRX0xBU1RTQUxFUFJJQ0UuMjYvMDYvMjAyNC5VU0QBAAAAwasEAAIAAAAFMTgsOTcAWfAsrutH3gjIxN+160feCCdDSVEuU0dD</t>
  </si>
  <si>
    <t>LklRX0xBU1RTQUxFUFJJQ0UuMjUvMDYvMjAyNC5VU0QBAAAAwasEAAIAAAAFMTgsNTMAWfAsrutH3gjSnN+160feCCdDSVEuU0dDLklRX0xBU1RTQUxFUFJJQ0UuMjQvMDYvMjAyNC5VU0QBAAAAwasEAAIAAAAFMTgsODUAWfAsrutH3gjIxN+160feCCdDSVEuU0dDLklRX0xBU1RTQUxFUFJJQ0UuMjkvMDYvMjAyNC5VU0QBAAAAwasEAAIAAAAFMTgsOTEAWfAsrutH3gjSnN+160feCCdDSVEuU0dDLklRX0xBU1RTQUxFUFJJQ0UuMzAvMDYvMjAyNC5VU0QBAAAAwasEAAIAAAAFMTgsOTEAWfAsrutH3gjIxN+160feCCdDSVEuU0dDLklRX0xBU1RTQUxFUFJJQ0UuMDEvMDcvMjAyNC5VU0QBAAAAwasEAAIAAAAFMTksMjcAWfAsrutH3gjIxN+160feCCdDSVEuU0dDLklRX0xBU1RTQUxFUFJJQ0UuMDIvMDcvMjAyNC5VU0QBAAAAwasEAAIAAAAFMTksMjQAWfAsrutH3gjIxN+160feCCdDSVEuU0dDLklRX0xBU1RTQUxFUFJJQ0UuMjEvMDYvMjAyNC5VU0QBAAAAwasEAAIAAAAFMTgsOTUAWfAsrutH3gjIxN+160feCCdDSVEuU0dDLklRX0xBU1RTQUxFUFJJQ0UuMDUvMDcvMjAyNC5VU0QBAAAAwasEAAIAAAAFMTgsNjkAWfAsrutH3gjSnN+160feCCdDSVEuTERCLklRX0xBU1RTQUxFUFJJQ0UuMjcvMDYvMjAyNC5VU0QBAAAAR1nuHwIAAAANNCwxMTA5MDg4OTcyOABZ8Cyu60feCKYU4LXrR94IJ0NJUS5M</t>
  </si>
  <si>
    <t>REIuSVFfTEFTVFNBTEVQUklDRS4yNi8wNi8yMDI0LlVTRAEAAABHWe4fAgAAAAs0LDEyMjYxMDI3NQBZ8Cyu60feCMDs37XrR94IJ0NJUS5MREIuSVFfTEFTVFNBTEVQUklDRS4yNS8wNi8yMDI0LlVTRAEAAABHWe4fAgAAAA00LDA4ODYyMjQ5OTMyAFnwLK7rR94IphTgtetH3ggnQ0lRLkxEQi5JUV9MQVNUU0FMRVBSSUNFLjI0LzA2LzIwMjQuVVNEAQAAAEdZ7h8CAAAADTQsMDk4MjcyNzE3MDIAWfAsrutH3gioPOC160feCCdDSVEuTERCLklRX0xBU1RTQUxFUFJJQ0UuMjkvMDYvMjAyNC5VU0QBAAAAR1nuHwIAAAANNCwxNTcyOTEzMzE0NABZ8Cyu60feCKg84LXrR94IJ0NJUS5MREIuSVFfTEFTVFNBTEVQUklDRS4zMC8wNi8yMDI0LlVTRAEAAABHWe4fAgAAAA00LDE1NzI5MTMzMTQ0AFnwLK7rR94IphTgtetH3ggnQ0lRLkxEQi5JUV9MQVNUU0FMRVBSSUNFLjAxLzA3LzIwMjQuVVNEAQAAAEdZ7h8CAAAACzQsMDc0NjMwMDY2ALYXLa7rR94IqDzgtetH3ggnQ0lRLkxEQi5JUV9MQVNUU0FMRVBSSUNFLjAyLzA3LzIwMjQuVVNEAQAAAEdZ7h8CAAAADTQsMTAxMzUyODAyMTIAthctrutH3gjA7N+160feCCdDSVEuTERCLklRX0xBU1RTQUxFUFJJQ0UuMjEvMDYvMjAyNC5VU0QBAAAAR1nuHwIAAAANNCwxMDI1NjQxMDExMgC2Fy2u60feCKYU4LXrR94IJ0NJUS5MREIuSVFfTEFTVFNBTEVQUklDRS4w</t>
  </si>
  <si>
    <t>NS8wNy8yMDI0LlVTRAEAAABHWe4fAgAAAA00LDE3ODg0NTk0NzIyALYXLa7rR94IOGPgtetH3ggnQ0lRLkVVSy5JUV9MQVNUU0FMRVBSSUNFLjI3LzA2LzIwMjQuVVNEAQAAAFp0mgECAAAADTAsODY3MTQ0ODQ1NTIAthctrutH3gg4Y+C160feCCdDSVEuRVVLLklRX0xBU1RTQUxFUFJJQ0UuMjYvMDYvMjAyNC5VU0QBAAAAWnSaAQIAAAAMMCw4NDM3NDY2NjI1ALYXLa7rR94IOGPgtetH3ggnQ0lRLkVVSy5JUV9MQVNUU0FMRVBSSUNFLjI1LzA2LzIwMjQuVVNEAQAAAFp0mgECAAAADTAsODY2OTU5MjIxMDYAthctrutH3gg4Y+C160feCCdDSVEuRVVLLklRX0xBU1RTQUxFUFJJQ0UuMjQvMDYvMjAyNC5VU0QBAAAAWnSaAQIAAAAOMCw4ODUwOTgxNjUzMjUAthctrutH3gg4Y+C160feCCdDSVEuRVVLLklRX0xBU1RTQUxFUFJJQ0UuMjkvMDYvMjAyNC5VU0QBAAAAWnSaAQIAAAANMCw4Njc4ODgxMzg3OAC2Fy2u60feCDhj4LXrR94IJ0NJUS5FVUsuSVFfTEFTVFNBTEVQUklDRS4zMC8wNi8yMDI0LlVTRAEAAABadJoBAgAAAA0wLDg2Nzg4ODEzODc4ALYXLa7rR94IqDzgtetH3ggnQ0lRLkVVSy5JUV9MQVNUU0FMRVBSSUNFLjAxLzA3LzIwMjQuVVNEAQAAAFp0mgECAAAADDAsODY4NTM5NTY2NwC2Fy2u60feCESK4LXrR94IJ0NJUS5FVUsuSVFfTEFTVFNBTEVQUklDRS4wMi8wNy8yMDI0LlVTRAEAAABa</t>
  </si>
  <si>
    <t>dJoBAgAAAA0wLDg2OTY1ODU3ODQ2ALYXLa7rR94IRIrgtetH3ggnQ0lRLkVVSy5JUV9MQVNUU0FMRVBSSUNFLjIxLzA2LzIwMjQuVVNEAQAAAFp0mgECAAAADTAsODc2MDY4Mzc1NzYAthctrutH3ghEiuC160feCCdDSVEuRVVLLklRX0xBU1RTQUxFUFJJQ0UuMDUvMDcvMjAyNC5VU0QBAAAAWnSaAQIAAAANMCw5MDkzODYxNjQ2OAC2Fy2u60feCESK4LXrR94IK0NJUS5XRVRURVJJLklRX0xBU1RTQUxFUFJJQ0UuMjcvMDYvMjAyNC5VU0QBAAAAhxsWZAIAAAAOMCw0Nzk2MDYwMzgwMTYAthctrutH3ghVseC160feCCtDSVEuV0VUVEVSSS5JUV9MQVNUU0FMRVBSSUNFLjI2LzA2LzIwMjQuVVNEAQAAAIcbFmQCAAAADDAsNDU5MjU0NTEyNQC2Fy2u60feCFWx4LXrR94IK0NJUS5XRVRURVJJLklRX0xBU1RTQUxFUFJJQ0UuMjUvMDYvMjAyNC5VU0QBAAAAhxsWZAIAAAAOMCw0NjQ1MTg4OTEyODQAthctrutH3ghVseC160feCCtDSVEuV0VUVEVSSS5JUV9MQVNUU0FMRVBSSUNFLjI0LzA2LzIwMjQuVVNEAQAAAIcbFmQCAAAADjAsNDY3NzYwOTY5Nzk2ALYXLa7rR94IVbHgtetH3ggrQ0lRLldFVFRFUkkuSVFfTEFTVFNBTEVQUklDRS4yOS8wNi8yMDI0LlVTRAEAAACHGxZkAgAAAA4wLDQ3ODk0NTY3NjU4NgC2Fy2u60feCFWx4LXrR94IK0NJUS5XRVRURVJJLklRX0xBU1RTQUxFUFJJQ0UuMzAvMDYvMjAy</t>
  </si>
  <si>
    <t>NC5VU0QBAAAAhxsWZAIAAAAOMCw0Nzg5NDU2NzY1ODYAthctrutH3ghVseC160feCCtDSVEuV0VUVEVSSS5JUV9MQVNUU0FMRVBSSUNFLjAxLzA3LzIwMjQuVVNEAQAAAIcbFmQCAAAADTAsNDc4MjMyODk3MjIAthctrutH3ghVseC160feCCtDSVEuV0VUVEVSSS5JUV9MQVNUU0FMRVBSSUNFLjAyLzA3LzIwMjQuVVNEAQAAAIcbFmQCAAAADjAsNDczNDgwNzgxNjA2ALYXLa7rR94IVbHgtetH3ggrQ0lRLldFVFRFUkkuSVFfTEFTVFNBTEVQUklDRS4yMS8wNi8yMDI0LlVTRAEAAACHGxZkAgAAAA4wLDQ2Nzk0ODcxNzc4NAC2Fy2u60feCFWx4LXrR94IK0NJUS5XRVRURVJJLklRX0xBU1RTQUxFUFJJQ0UuMDUvMDcvMjAyNC5VU0QBAAAAhxsWZAIAAAANMCw0NjU1MTkxMDgxMQC2Fy2u60feCESK4LXrR94IKUNJUS5JRE5UVC5JUV9MQVNUU0FMRVBSSUNFLjI3LzA2LzIwMjQuVVNEAQAAAJmvvyoCAAAACzMsMjExNjQ3NTc2ALYXLa7rR94I7OfgtetH3ggpQ0lRLklETlRULklRX0xBU1RTQUxFUFJJQ0UuMjYvMDYvMjAyNC5VU0QBAAAAma+/KgIAAAAKMywyMDQxMDEyNQC2Fy2u60feCOzn4LXrR94IKUNJUS5JRE5UVC5JUV9MQVNUU0FMRVBSSUNFLjI1LzA2LzIwMjQuVVNEAQAAAJmvvyoCAAAACzMsMjEwOTYwMDc4ALYXLa7rR94IVbHgtetH3ggpQ0lRLklETlRULklRX0xBU1RTQUxFUFJJQ0UuMjQvMDYv</t>
  </si>
  <si>
    <t>MjAyNC5VU0QBAAAAma+/KgIAAAALMywyMTg1Mzg3ODMAthctrutH3gi1D+G160feCClDSVEuSUROVFQuSVFfTEFTVFNBTEVQUklDRS4yOS8wNi8yMDI0LlVTRAEAAACZr78qAgAAAA0zLDEyODY4MzE2Njk2ALYXLa7rR94ItQ/htetH3ggpQ0lRLklETlRULklRX0xBU1RTQUxFUFJJQ0UuMzAvMDYvMjAyNC5VU0QBAAAAma+/KgIAAAANMywxMjg2ODMxNjY5NgC2Fy2u60feCLUP4bXrR94IKUNJUS5JRE5UVC5JUV9MQVNUU0FMRVBSSUNFLjAxLzA3LzIwMjQuVVNEAQAAAJmvvyoCAAAADDMsMjgxMTQ5NDc0MgC2Fy2u60feCOzn4LXrR94IKUNJUS5JRE5UVC5JUV9MQVNUU0FMRVBSSUNFLjAyLzA3LzIwMjQuVVNEAQAAAJmvvyoCAAAADTMsMjg1Mzc2ODUxOTYAthctrutH3gjs5+C160feCClDSVEuSUROVFQuSVFfTEFTVFNBTEVQUklDRS4yMS8wNi8yMDI0LlVTRAEAAACZr78qAgAAAA0zLDI0Nzg2MzI0NjcyALYXLa7rR94I7OfgtetH3ggpQ0lRLklETlRULklRX0xBU1RTQUxFUFJJQ0UuMDUvMDcvMjAyNC5VU0QBAAAAma+/KgIAAAANMywzMzQ0MTU5MzcxNgC2Fy2u60feCEU34bXrR94IJ0NJUS5TR08uSVFfTEFTVFNBTEVQUklDRS4yNi8wNi8yMDI0LlVTRAEAAAABXQ0AAgAAAAw3OCw0MTUwMzc5MjUAthctrutH3ghFN+G160feCCdDSVEuU0dPLklRX0xBU1RTQUxFUFJJQ0UuMjUvMDYvMjAyNC5VU0QB</t>
  </si>
  <si>
    <t>AAAAAV0NAAIAAAAONzgsNDc1ODY0MzA2MzIAthctrutH3ghFN+G160feCCdDSVEuU0dPLklRX0xBU1RTQUxFUFJJQ0UuMjQvMDYvMjAyNC5VU0QBAAAAAV0NAAIAAAAONzgsNDg5NDMyNDU0NzYAthctrutH3ghFN+G160feCCdDSVEuU0dPLklRX0xBU1RTQUxFUFJJQ0UuMjMvMDYvMjAyNC5VU0QBAAAAAV0NAAIAAAAONzgsMTE5NjU4MDkyMTYAthctrutH3ghFN+G160feCCdDSVEuU0dPLklRX0xBU1RTQUxFUFJJQ0UuMjgvMDYvMjAyNC5VU0QBAAAAAV0NAAIAAAAONzcsODA5OTIxNzc1NTYAthctrutH3ghFN+G160feCCdDSVEuU0dPLklRX0xBU1RTQUxFUFJJQ0UuMjkvMDYvMjAyNC5VU0QBAAAAAV0NAAIAAAAONzcsODA5OTIxNzc1NTYAthctrutH3gi1D+G160feCCdDSVEuU0dPLklRX0xBU1RTQUxFUFJJQ0UuMzAvMDYvMjAyNC5VU0QBAAAAAV0NAAIAAAAONzcsODA5OTIxNzc1NTYAthctrutH3ghFN+G160feCCdDSVEuU0dPLklRX0xBU1RTQUxFUFJJQ0UuMDEvMDcvMjAyNC5VU0QBAAAAAV0NAAIAAAAMNzksODg0MTk0NzE1ALYXLa7rR94IUl/htetH3ggnQ0lRLlNHTy5JUV9MQVNUU0FMRVBSSUNFLjIwLzA2LzIwMjQuVVNEAQAAAAFdDQACAAAADTgxLDI5MDE4NDM0ODMAthctrutH3ghSX+G160feCCdDSVEuU0dPLklRX0xBU1RTQUxFUFJJQ0UuMDQvMDcvMjAyNC5VU0QBAAAAAV0NAAIAAAAO</t>
  </si>
  <si>
    <t>ODMsNzE4OTE4OTEyNjQAthctrutH3ghSX+G160feCChDSVEuQUJWRS5JUV9MQVNUU0FMRVBSSUNFLjI2LzA2LzIwMjQuVVNEAQAAABRiSykCAAAAAzksMQC2Fy2u60feCFJf4bXrR94IKENJUS5BQlZFLklRX0xBU1RTQUxFUFJJQ0UuMjUvMDYvMjAyNC5VU0QBAAAAFGJLKQIAAAAEOCwyMgC2Fy2u60feCFeH4bXrR94IKENJUS5BQlZFLklRX0xBU1RTQUxFUFJJQ0UuMjQvMDYvMjAyNC5VU0QBAAAAFGJLKQIAAAAEOSwyNAC2Fy2u60feCFeH4bXrR94IKENJUS5BQlZFLklRX0xBU1RTQUxFUFJJQ0UuMjMvMDYvMjAyNC5VU0QBAAAAFGJLKQIAAAADOSwzALYXLa7rR94IV4fhtetH3ggoQ0lRLkFCVkUuSVFfTEFTVFNBTEVQUklDRS4yOC8wNi8yMDI0LlVTRAEAAAAUYkspAgAAAAQxMiw1ALYXLa7rR94IV4fhtetH3ggoQ0lRLkFCVkUuSVFfTEFTVFNBTEVQUklDRS4yOS8wNi8yMDI0LlVTRAEAAAAUYkspAgAAAAQxMiw1ALYXLa7rR94IV4fhtetH3ggoQ0lRLkFCVkUuSVFfTEFTVFNBTEVQUklDRS4zMC8wNi8yMDI0LlVTRAEAAAAUYkspAgAAAAQxMiw1ALYXLa7rR94IV4fhtetH3ggoQ0lRLkFCVkUuSVFfTEFTVFNBTEVQUklDRS4wMS8wNy8yMDI0LlVTRAEAAAAUYkspAgAAAAQ0LDcyALYXLa7rR94IUl/htetH3ggoQ0lRLkFCVkUuSVFfTEFTVFNBTEVQUklDRS4yMC8wNi8yMDI0LlVTRAEAAAAUYkspAgAA</t>
  </si>
  <si>
    <t>AAQ5LDU3ALYXLa7rR94IUl/htetH3ggoQ0lRLkFCVkUuSVFfTEFTVFNBTEVQUklDRS4wNC8wNy8yMDI0LlVTRAEAAAAUYkspAgAAAAQyLDk5ALYXLa7rR94IUl/htetH3ggpQ0lRLk5PUkJULklRX0xBU1RTQUxFUFJJQ0UuMjYvMDYvMjAyNC5VU0QBAAAA9WjcJAIAAAAMNiw5ODI2OTExNDY4ALYXLa7rR94ITq/htetH3ggpQ0lRLk5PUkJULklRX0xBU1RTQUxFUFJJQ0UuMjUvMDYvMjAyNC5VU0QBAAAA9WjcJAIAAAAMNiw5Mjg1MzcxMDg1ALYXLa7rR94ITq/htetH3ggpQ0lRLk5PUkJULklRX0xBU1RTQUxFUFJJQ0UuMjQvMDYvMjAyNC5VU0QBAAAA9WjcJAIAAAAMNiw5MzY4NzI1MjY3ALYXLa7rR94IV4fhtetH3ggpQ0lRLk5PUkJULklRX0xBU1RTQUxFUFJJQ0UuMjMvMDYvMjAyNC5VU0QBAAAA9WjcJAIAAAAMNywyMzY4MTI4ODI0ALYXLa7rR94IUtfhtetH3ggpQ0lRLk5PUkJULklRX0xBU1RTQUxFUFJJQ0UuMjgvMDYvMjAyNC5VU0QBAAAA9WjcJAIAAAAKNyw1MDcyMDQ1NgC2Fy2u60feCFLX4bXrR94IKUNJUS5OT1JCVC5JUV9MQVNUU0FMRVBSSUNFLjI5LzA2LzIwMjQuVVNEAQAAAPVo3CQCAAAACjcsNTA3MjA0NTYAthctrutH3ghS1+G160feCClDSVEuTk9SQlQuSVFfTEFTVFNBTEVQUklDRS4zMC8wNi8yMDI0LlVTRAEAAAD1aNwkAgAAAAo3LDUwNzIwNDU2ALYXLa7rR94ITq/htetH3ggp</t>
  </si>
  <si>
    <t>Q0lRLk5PUkJULklRX0xBU1RTQUxFUFJJQ0UuMDEvMDcvMjAyNC5VU0QBAAAA9WjcJAIAAAAKNyw0OTAyNTA5NgC2Fy2u60feCE6v4bXrR94IKUNJUS5OT1JCVC5JUV9MQVNUU0FMRVBSSUNFLjIwLzA2LzIwMjQuVVNEAQAAAPVo3CQCAAAACzcsMTcyMjUzNjQ4ALYXLa7rR94ITq/htetH3ggpQ0lRLk5PUkJULklRX0xBU1RTQUxFUFJJQ0UuMDQvMDcvMjAyNC5VU0QBAAAA9WjcJAIAAAALNyw4NTcwMTM3MjgAthctrutH3ghS1+G160feCCdDSVEuU1RHLklRX0xBU1RTQUxFUFJJQ0UuMjYvMDYvMjAyNC5VU0QBAAAAY4fjIAIAAAAGNyw3MDI4ALYXLa7rR94IUtfhtetH3ggnQ0lRLlNURy5JUV9MQVNUU0FMRVBSSUNFLjI1LzA2LzIwMjQuVVNEAQAAAGOH4yACAAAABDcsODkAthctrutH3ghQ/+G160feCCdDSVEuU1RHLklRX0xBU1RTQUxFUFJJQ0UuMjQvMDYvMjAyNC5VU0QBAAAAY4fjIAIAAAAEOCwwMwC2Fy2u60feCFLX4bXrR94IJ0NJUS5TVEcuSVFfTEFTVFNBTEVQUklDRS4yMy8wNi8yMDI0LlVTRAEAAABjh+MgAgAAAAQ3LDM3ALYXLa7rR94IUP/htetH3ggnQ0lRLlNURy5JUV9MQVNUU0FMRVBSSUNFLjI4LzA2LzIwMjQuVVNEAQAAAGOH4yACAAAABDcsODUAthctrutH3ghS1+G160feCCdDSVEuU1RHLklRX0xBU1RTQUxFUFJJQ0UuMjkvMDYvMjAyNC5VU0QBAAAAY4fjIAIAAAAENyw4NQC2Fy2u</t>
  </si>
  <si>
    <t>60feCFLX4bXrR94IJ0NJUS5TVEcuSVFfTEFTVFNBTEVQUklDRS4zMC8wNi8yMDI0LlVTRAEAAABjh+MgAgAAAAQ3LDg1ALYXLa7rR94IUtfhtetH3ggnQ0lRLlNURy5JUV9MQVNUU0FMRVBSSUNFLjAxLzA3LzIwMjQuVVNEAQAAAGOH4yACAAAABDcsODUAthctrutH3ghQ/+G160feCCdDSVEuU1RHLklRX0xBU1RTQUxFUFJJQ0UuMjAvMDYvMjAyNC5VU0QBAAAAY4fjIAIAAAAENiw5OAC2Fy2u60feCFD/4bXrR94IJ0NJUS5TVEcuSVFfTEFTVFNBTEVQUklDRS4wNC8wNy8yMDI0LlVTRAEAAABjh+MgAgAAAAQ3LDY0ALYXLa7rR94IUP/htetH3ggoQ0lRLklOSU4uSVFfTEFTVFNBTEVQUklDRS4yNi8wNi8yMDI0LlVTRAEAAAAynjYBAgAAAAswLDY2NTY3MjU5NQC2Fy2u60feCEYn4rXrR94IKENJUS5JTklOLklRX0xBU1RTQUxFUFJJQ0UuMjUvMDYvMjAyNC5VU0QBAAAAMp42AQIAAAAOMCw2NjgxMjgyMjQyNjcAthctrutH3ghGJ+K160feCChDSVEuSU5JTi5JUV9MQVNUU0FMRVBSSUNFLjI0LzA2LzIwMjQuVVNEAQAAADKeNgECAAAADjAsNjYwNzU5ODMzMzE1ALYXLa7rR94IRifitetH3ggoQ0lRLklOSU4uSVFfTEFTVFNBTEVQUklDRS4yMy8wNi8yMDI0LlVTRAEAAAAynjYBAgAAAA4wLDY0NDg4NjY2NjA5NgC2Fy2u60feCFD/4bXrR94IKENJUS5JTklOLklRX0xBU1RTQUxFUFJJQ0UuMjgvMDYvMjAy</t>
  </si>
  <si>
    <t>NC5VU0QBAAAAMp42AQIAAAAOMCw2NjM3MjczOTAzMDUAthctrutH3ghQ/+G160feCChDSVEuSU5JTi5JUV9MQVNUU0FMRVBSSUNFLjI5LzA2LzIwMjQuVVNEAQAAADKeNgECAAAADjAsNjYzNzI3MzkwMzA1ALYXLa7rR94IUP/htetH3ggoQ0lRLklOSU4uSVFfTEFTVFNBTEVQUklDRS4zMC8wNi8yMDI0LlVTRAEAAAAynjYBAgAAAA4wLDY2NDI1ODU4NDY5NQC2Fy2u60feCEYn4rXrR94IKENJUS5JTklOLklRX0xBU1RTQUxFUFJJQ0UuMDEvMDcvMjAyNC5VU0QBAAAAMp42AQIAAAAOMCw2NjQ0MTgzMDIyNTQAthctrutH3ghGJ+K160feCChDSVEuSU5JTi5JUV9MQVNUU0FMRVBSSUNFLjIwLzA2LzIwMjQuVVNEAQAAADKeNgECAAAADjAsNjQ0NTEyMzkwNjk1ALYXLa7rR94IRifitetH3ggoQ0lRLklOSU4uSVFfTEFTVFNBTEVQUklDRS4wNC8wNy8yMDI0LlVTRAEAAAAynjYBAgAAAA4wLDY5MDc1NDIzMjk0OAC2Fy2u60feCFD/4bXrR94IKENJUS5aWiBCLklRX0xBU1RTQUxFUFJJQ0UuMjYvMDYvMjAyNC5VU0QBAAAAIhzCBgIAAAAMNiwyOTM5MzkyNDk1ALYXLa7rR94IPE/itetH3ggoQ0lRLlpaIEIuSVFfTEFTVFNBTEVQUklDRS4yNS8wNi8yMDI0LlVTRAEAAAAiHMIGAgAAAAw2LDM0MDY1OTgxMjIAthctrutH3ghGJ+K160feCChDSVEuWlogQi5JUV9MQVNUU0FMRVBSSUNFLjI0LzA2LzIwMjQuVVNE</t>
  </si>
  <si>
    <t>AQAAACIcwgYCAAAADDYsNDQ5MjUyMDYyNQC2Fy2u60feCDxP4rXrR94IKENJUS5aWiBCLklRX0xBU1RTQUxFUFJJQ0UuMjMvMDYvMjAyNC5VU0QBAAAAIhzCBgIAAAALNiw2Nzg2NDUyNDgAthctrutH3gg8T+K160feCChDSVEuWlogQi5JUV9MQVNUU0FMRVBSSUNFLjI4LzA2LzIwMjQuVVNEAQAAACIcwgYCAAAACzYsMzIxMzkyODQ5ALYXLa7rR94IPE/itetH3ggoQ0lRLlpaIEIuSVFfTEFTVFNBTEVQUklDRS4yOS8wNi8yMDI0LlVTRAEAAAAiHMIGAgAAAAs2LDMyMTM5Mjg0OQC2Fy2u60feCDxP4rXrR94IKENJUS5aWiBCLklRX0xBU1RTQUxFUFJJQ0UuMzAvMDYvMjAyNC5VU0QBAAAAIhzCBgIAAAALNiwzMjEzOTI4NDkAthctrutH3ggld+K160feCChDSVEuWlogQi5JUV9MQVNUU0FMRVBSSUNFLjAxLzA3LzIwMjQuVVNEAQAAACIcwgYCAAAADDYsNDM5MjM0NzQ5NQC2Fy2u60feCDxP4rXrR94IKENJUS5aWiBCLklRX0xBU1RTQUxFUFJJQ0UuMjAvMDYvMjAyNC5VU0QBAAAAIhzCBgIAAAAMNiw3MjY1NDk0OTEyALYXLa7rR94IJXfitetH3ggoQ0lRLlpaIEIuSVFfTEFTVFNBTEVQUklDRS4wNC8wNy8yMDI0LlVTRAEAAAAiHMIGAgAAAAw2LDYwMDMyNjg3MTYAthctrutH3ggld+K160feCCdDSVEuRlRaLklRX0xBU1RTQUxFUFJJQ0UuMjYvMDYvMjAyNC5VU0QBAAAANHEvAAIAAAAOMCwxMDU4Nzcy</t>
  </si>
  <si>
    <t>ODQ1MDUAthctrutH3ggld+K160feCCdDSVEuRlRaLklRX0xBU1RTQUxFUFJJQ0UuMjUvMDYvMjAyNC5VU0QBAAAANHEvAAIAAAANMCwxMDI1MTk3ODk5NgC2Fy2u60feCCV34rXrR94IJ0NJUS5GVFouSVFfTEFTVFNBTEVQUklDRS4yNC8wNi8yMDI0LlVTRAEAAAA0cS8AAgAAAA0wLDEwMjU0NDU3MDI0ALYXLa7rR94IJXfitetH3ggnQ0lRLkZUWi5JUV9MQVNUU0FMRVBSSUNFLjIzLzA2LzIwMjQuVVNEAQAAADRxLwACAAAADTAsMDk0Nzk1NzE1MTcAthctrutH3ggld+K160feCCdDSVEuRlRaLklRX0xBU1RTQUxFUFJJQ0UuMjgvMDYvMjAyNC5VU0QBAAAANHEvAAIAAAANMCwxMTMyNTAyODMxNAC2Fy2u60feCCV34rXrR94IJ0NJUS5GVFouSVFfTEFTVFNBTEVQUklDRS4yOS8wNi8yMDI0LlVTRAEAAAA0cS8AAgAAAA0wLDExMzI1MDI4MzE0ALYXLa7rR94IHp/itetH3ggnQ0lRLkZUWi5JUV9MQVNUU0FMRVBSSUNFLjMwLzA2LzIwMjQuVVNEAQAAADRxLwACAAAADTAsMTEzMjUwMjgzMTQAthctrutH3ggen+K160feCCdDSVEuRlRaLklRX0xBU1RTQUxFUFJJQ0UuMDEvMDcvMjAyNC5VU0QBAAAANHEvAAIAAAANMCwxMTI3NTEwNTI5NAC2Fy2u60feCB6f4rXrR94IJ0NJUS5GVFouSVFfTEFTVFNBTEVQUklDRS4yMC8wNi8yMDI0LlVTRAEAAAA0cS8AAgAAAA0wLDA4MDI4OTA0MDU5ALYXLa7rR94IHp/i</t>
  </si>
  <si>
    <t>tetH3ggnQ0lRLkZUWi5JUV9MQVNUU0FMRVBSSUNFLjA0LzA3LzIwMjQuVVNEAQAAADRxLwACAAAADTAsMTI0ODk0MzkwNzkAthctrutH3ggen+K160feCCdDSVEuVFhULklRX0xBU1RTQUxFUFJJQ0UuMjUvMDYvMjAyNC5VU0QBAAAA54kAAAIAAAAFODYsMDEAthctrutH3ggen+K160feCCdDSVEuVFhULklRX0xBU1RTQUxFUFJJQ0UuMjMvMDYvMjAyNC5VU0QBAAAA54kAAAIAAAAFODYsNzQAthctrutH3ggen+K160feCCdDSVEuVFhULklRX0xBU1RTQUxFUFJJQ0UuMjIvMDYvMjAyNC5VU0QBAAAA54kAAAIAAAAFODYsNzQAthctrutH3giZyeK160feCCdDSVEuVFhULklRX0xBU1RTQUxFUFJJQ0UuMTkvMDYvMjAyNC5VU0QBAAAA54kAAAIAAAAFODUsOTYAthctrutH3ggen+K160feCCdDSVEuTUVYLklRX0xBU1RTQUxFUFJJQ0UuMjQvMDYvMjAyNC5VU0QBAAAA6xrnDAIAAAANMCw2NTk5NDAzNTE3MgC2Fy2u60feCIXx4rXrR94IJ0NJUS5NRVguSVFfTEFTVFNBTEVQUklDRS4yMy8wNi8yMDI0LlVTRAEAAADrGucMAgAAAA4wLDY2Mjg3MDQxODUyNQC2Fy2u60feCJnJ4rXrR94IJ0NJUS5NRVguSVFfTEFTVFNBTEVQUklDRS4yMi8wNi8yMDI0LlVTRAEAAADrGucMAgAAAA4wLDY2Mjg3MDQxODUyNQC2Fy2u60feCIXx4rXrR94IJ0NJUS5NRVguSVFfTEFTVFNBTEVQUklDRS4yMS8wNi8yMDI0LlVTRAEA</t>
  </si>
  <si>
    <t>AADrGucMAgAAAA4wLDY2Mjg3MDQxODUyNQC2Fy2u60feCIXx4rXrR94IJ0NJUS5NRVguSVFfTEFTVFNBTEVQUklDRS4yNi8wNi8yMDI0LlVTRAEAAADrGucMAgAAAA0wLDczODQ0MDU2NDk0ALYXLa7rR94IehnjtetH3ggnQ0lRLk1FWC5JUV9MQVNUU0FMRVBSSUNFLjI3LzA2LzIwMjQuVVNEAQAAAOsa5wwCAAAADDAsNzU4Njk2NTU5NgC2Fy2u60feCHoZ47XrR94IJ0NJUS5NRVguSVFfTEFTVFNBTEVQUklDRS4yOC8wNi8yMDI0LlVTRAEAAADrGucMAgAAAAwwLDc1ODI3NDY3MjYAthctrutH3giF8eK160feCCdDSVEuTUVYLklRX0xBU1RTQUxFUFJJQ0UuMjkvMDYvMjAyNC5VU0QBAAAA6xrnDAIAAAAMMCw3NTgyNzQ2NzI2ALYXLa7rR94IhfHitetH3ggnQ0lRLk1FWC5JUV9MQVNUU0FMRVBSSUNFLjE4LzA2LzIwMjQuVVNEAQAAAOsa5wwCAAAADjAsNjY2MTE2ODU1Nzc1ALYXLa7rR94IhfHitetH3ggnQ0lRLk1FWC5JUV9MQVNUU0FMRVBSSUNFLjAyLzA3LzIwMjQuVVNEAQAAAOsa5wwCAAAADTAsNzczMzk1MjA1MTIAthctrutH3gh6GeO160feCCZDSVEuS1cuSVFfTEFTVFNBTEVQUklDRS4yNC8wNi8yMDI0LlVTRAEAAAAxdwAAAgAAAAQ5LDcxALYXLa7rR94IehnjtetH3ggmQ0lRLktXLklRX0xBU1RTQUxFUFJJQ0UuMjMvMDYvMjAyNC5VU0QBAAAAMXcAAAIAAAAEOSw3MwC2Fy2u60feCHoZ47Xr</t>
  </si>
  <si>
    <t>R94IJkNJUS5LVy5JUV9MQVNUU0FMRVBSSUNFLjIyLzA2LzIwMjQuVVNEAQAAADF3AAACAAAABDksNzMAthctrutH3gh6GeO160feCCZDSVEuS1cuSVFfTEFTVFNBTEVQUklDRS4yMS8wNi8yMDI0LlVTRAEAAAAxdwAAAgAAAAQ5LDczALYXLa7rR94IehnjtetH3ggmQ0lRLktXLklRX0xBU1RTQUxFUFJJQ0UuMjYvMDYvMjAyNC5VU0QBAAAAMXcAAAIAAAAEOSw2MgC2Fy2u60feCHoZ47XrR94IJkNJUS5LVy5JUV9MQVNUU0FMRVBSSUNFLjI3LzA2LzIwMjQuVVNEAQAAADF3AAACAAAABDksNzIAthctrutH3ghmQeO160feCCZDSVEuS1cuSVFfTEFTVFNBTEVQUklDRS4yOC8wNi8yMDI0LlVTRAEAAAAxdwAAAgAAAAQ5LDcyALYXLa7rR94IZkHjtetH3ggmQ0lRLktXLklRX0xBU1RTQUxFUFJJQ0UuMjkvMDYvMjAyNC5VU0QBAAAAMXcAAAIAAAAEOSw3MgC2Fy2u60feCGZB47XrR94IJkNJUS5LVy5JUV9MQVNUU0FMRVBSSUNFLjE4LzA2LzIwMjQuVVNEAQAAADF3AAACAAAABDksNjMAthctrutH3ghmQeO160feCCZDSVEuS1cuSVFfTEFTVFNBTEVQUklDRS4wMi8wNy8yMDI0LlVTRAEAAAAxdwAAAgAAAAQ5LDk3ALYXLa7rR94IZkHjtetH3ggoQ0lRLlJWTFYuSVFfTEFTVFNBTEVQUklDRS4yNC8wNi8yMDI0LlVTRAEAAABC6c4iAgAAAAUxNiwwNQC2Fy2u60feCFdp47XrR94IKENJUS5SVkxWLklRX0xBU1RT</t>
  </si>
  <si>
    <t>QUxFUFJJQ0UuMjMvMDYvMjAyNC5VU0QBAAAAQunOIgIAAAAFMTUsNDQAthctrutH3ghXaeO160feCChDSVEuUlZMVi5JUV9MQVNUU0FMRVBSSUNFLjIyLzA2LzIwMjQuVVNEAQAAAELpziICAAAABTE1LDQ0ALYXLa7rR94IZkHjtetH3ggoQ0lRLlJWTFYuSVFfTEFTVFNBTEVQUklDRS4yMS8wNi8yMDI0LlVTRAEAAABC6c4iAgAAAAUxNSw0NAC2Fy2u60feCFdp47XrR94IKENJUS5SVkxWLklRX0xBU1RTQUxFUFJJQ0UuMjYvMDYvMjAyNC5VU0QBAAAAQunOIgIAAAAFMTUsMzcAthctrutH3ghmQeO160feCChDSVEuUlZMVi5JUV9MQVNUU0FMRVBSSUNFLjI3LzA2LzIwMjQuVVNEAQAAAELpziICAAAABTE1LDMzALYXLa7rR94IV2njtetH3ggoQ0lRLlJWTFYuSVFfTEFTVFNBTEVQUklDRS4yOC8wNi8yMDI0LlVTRAEAAABC6c4iAgAAAAUxNSw5MQC2Fy2u60feCFdp47XrR94IKENJUS5SVkxWLklRX0xBU1RTQUxFUFJJQ0UuMjkvMDYvMjAyNC5VU0QBAAAAQunOIgIAAAAFMTUsOTEAthctrutH3ghXaeO160feCChDSVEuUlZMVi5JUV9MQVNUU0FMRVBSSUNFLjE4LzA2LzIwMjQuVVNEAQAAAELpziICAAAABTE1LDg5ALYXLa7rR94IV2njtetH3ggoQ0lRLlJWTFYuSVFfTEFTVFNBTEVQUklDRS4wMi8wNy8yMDI0LlVTRAEAAABC6c4iAgAAAAUxNSw1NgC2Fy2u60feCGZB47XrR94IJ0NJUS5GTk0uSVFfTEFT</t>
  </si>
  <si>
    <t>VFNBTEVQUklDRS4yNC8wNi8yMDI0LlVTRAEAAADi92wGAgAAAAo3LDUyODkwNDYzALYXLa7rR94IS5HjtetH3ggnQ0lRLkZOTS5JUV9MQVNUU0FMRVBSSUNFLjIzLzA2LzIwMjQuVVNEAQAAAOL3bAYCAAAACzcsNTYwOTA5NDY0ALYXLa7rR94IV2njtetH3ggnQ0lRLkZOTS5JUV9MQVNUU0FMRVBSSUNFLjIyLzA2LzIwMjQuVVNEAQAAAOL3bAYCAAAACzcsNTYwOTA5NDY0ALYXLa7rR94IS5HjtetH3ggnQ0lRLkZOTS5JUV9MQVNUU0FMRVBSSUNFLjIxLzA2LzIwMjQuVVNEAQAAAOL3bAYCAAAACzcsNTYwOTA5NDY0ALYXLa7rR94I0bjjtetH3ggnQ0lRLkZOTS5JUV9MQVNUU0FMRVBSSUNFLjI2LzA2LzIwMjQuVVNEAQAAAOL3bAYCAAAADDcsMzkxODI5NDA0MwC2Fy2u60feCNG447XrR94IJ0NJUS5GTk0uSVFfTEFTVFNBTEVQUklDRS4yNy8wNi8yMDI0LlVTRAEAAADi92wGAgAAAAs3LDM1MDcxOTY3MwC2Fy2u60feCNG447XrR94IJ0NJUS5GTk0uSVFfTEFTVFNBTEVQUklDRS4yOC8wNi8yMDI0LlVTRAEAAADi92wGAgAAAAw3LDIzNjU3OTU3NDkAthctrutH3ghLkeO160feCCdDSVEuRk5NLklRX0xBU1RTQUxFUFJJQ0UuMjkvMDYvMjAyNC5VU0QBAAAA4vdsBgIAAAAMNywyMzY1Nzk1NzQ5ALYXLa7rR94IS5HjtetH3ggvQ0lRLk5ZU0U6SUJNLklRX1BFUklPRExFTkdUSF9JUy4xMDAwLjAxLzAxLzIw</t>
  </si>
  <si>
    <t>MjQBAAAA3rYBAAEAAAACMTIAthctrutH3gjd3WLA60feCCpDSVEuTllTRTpJQk0uSVFfUEVSSU9EREFURS4xMDAwLjAxLzAxLzIwMjQBAAAA3rYBAAUAAAAKMzEvMTIvMjAyMwC2Fy2u60feCN3dYsDrR94IKUNJUS5UWFQuSVFfRUJJVERBLjIwMDAuMDEvMDEvMjAyNC4uLlVTRC5IAQAAAOeJAAACAAAABDE2NzEBCAAAAAUAAAABMQEAAAALLTE5NjA3MjkwNDIDAAAAAzE2MAIAAAAENDA1MQQAAAABMAcAAAAIMS8xLzIwMjQIAAAACjEyLzMwLzIwMjMJAAAAATBPZi2u60feCCV34rXrR94IMENJUS5UWFQuSVFfRUJJVERBX01BUkdJTi4yMDAwLjAxLzAxLzIwMjQuLi5VU0QuSAEAAADniQAAAgAAAAcxMiwyMTIyAQgAAAAFAAAAATEBAAAACy0xOTYwNzI5MDQyAwAAAAMxNjACAAAABDQwNDcEAAAAATAHAAAACDEvMS8yMDI0CAAAAAoxMi8zMC8yMDIzCQAAAAEwT2YtrutH3giZyeK160feCC9DSVEuVFhULklRX1RPVEFMX0FTU0VUUy4yMDAwLjAxLzAxLzIwMjQuLi5VU0QuSAEAAADniQAAAgAAAAUxNjg1NgEIAAAABQAAAAExAQAAAAstMTk2MDcyOTA0MgMAAAADMTYwAgAAAAQxMDA3BAAAAAEwBwAAAAgxLzEvMjAyNAgAAAAKMTIvMzAvMjAyMwkAAAABME9mLa7rR94ImcnitetH3ggtQ0lRLlRYVC5JUV9DQVNIX0VRVUlWLjIwMDAuMDEvMDEvMjAyNC4uLlVTRC5IAQAAAOeJAAACAAAABDIxMjEBCAAAAAUA</t>
  </si>
  <si>
    <t>AAABMQEAAAALLTE5NjA3MjkwNDIDAAAAAzE2MAIAAAAEMTA5NgQAAAABMAcAAAAIMS8xLzIwMjQIAAAACjEyLzMwLzIwMjMJAAAAATBPZi2u60feCB6f4rXrR94IK0NJUS5UWFQuSVFfTkVUX0RFQlQuMjAwMC4wMS8wMS8yMDI0Li4uVVNELkgBAAAA54kAAAIAAAAEMjEzNAEIAAAABQAAAAExAQAAAAstMTk2MDcyOTA0MgMAAAADMTYwAgAAAAQ0MzY0BAAAAAEwBwAAAAgxLzEvMjAyNAgAAAAKMTIvMzAvMjAyMwkAAAABME9mLa7rR94IHp/itetH3ggqQ0lRLklOQUMuSVFfRUJJVERBLjIwMDAuMDEvMDEvMjAyNC4uLlVTRC5IAQAAAPe5wgEDAAAAAAAGPy2u60feCNzU3rXrR94IMUNJUS5JTkFDLklRX0VCSVREQV9NQVJHSU4uMjAwMC4wMS8wMS8yMDI0Li4uVVNELkgBAAAA97nCAQMAAAAAAAY/La7rR94I3NTetetH3ggwQ0lRLklOQUMuSVFfVE9UQUxfQVNTRVRTLjIwMDAuMDEvMDEvMjAyNC4uLlVTRC5IAQAAAPe5wgEDAAAAAAAGPy2u60feCNzU3rXrR94ILkNJUS5JTkFDLklRX0NBU0hfRVFVSVYuMjAwMC4wMS8wMS8yMDI0Li4uVVNELkgBAAAA97nCAQMAAAAAAAY/La7rR94I3NTetetH3ggsQ0lRLklOQUMuSVFfTkVUX0RFQlQuMjAwMC4wMS8wMS8yMDI0Li4uVVNELkgBAAAA97nCAQMAAAAAAAY/La7rR94I3vzetetH3ggqQ0lRLkVTUEUuSVFfRUJJVERBLjIwMDAuMDEvMDEvMjAyNC4uLlVTRC5I</t>
  </si>
  <si>
    <t>AQAAAKbDh28CAAAACDQsNTkzNjY0AQgAAAAFAAAAATEBAAAACy0xOTkyMTU3NTU5AwAAAAMxNjACAAAABDQwNTEEAAAAATAHAAAACDEvMS8yMDI0CAAAAAoxMi8zMS8yMDIzCQAAAAEwBj8trutH3gje/N6160feCDFDSVEuRVNQRS5JUV9FQklUREFfTUFSR0lOLjIwMDAuMDEvMDEvMjAyNC4uLlVTRC5IAQAAAKbDh28CAAAABjksNTkxNgEIAAAABQAAAAExAQAAAAstMTk5MjE1NzU1OQMAAAACNTACAAAABDQwNDcEAAAAATAHAAAACDEvMS8yMDI0CAAAAAoxMi8zMS8yMDIzCQAAAAEwBj8trutH3gje/N6160feCDBDSVEuRVNQRS5JUV9UT1RBTF9BU1NFVFMuMjAwMC4wMS8wMS8yMDI0Li4uVVNELkgBAAAApsOHbwIAAAAJNjYsNTQyMTQzAQgAAAAFAAAAATEBAAAACy0xOTkyMTU3NTU5AwAAAAMxNjACAAAABDEwMDcEAAAAATAHAAAACDEvMS8yMDI0CAAAAAoxMi8zMS8yMDIzCQAAAAEwBj8trutH3gjXJN+160feCC5DSVEuRVNQRS5JUV9DQVNIX0VRVUlWLjIwMDAuMDEvMDEvMjAyNC4uLlVTRC5IAQAAAKbDh28CAAAACDMsNTMyOTIxAQgAAAAFAAAAATEBAAAACy0xOTkyMTU3NTU5AwAAAAMxNjACAAAABDEwOTYEAAAAATAHAAAACDEvMS8yMDI0CAAAAAoxMi8zMS8yMDIzCQAAAAEwBj8trutH3gjQTN+160feCCxDSVEuRVNQRS5JUV9ORVRfREVCVC4yMDAwLjAxLzAxLzIwMjQuLi5VU0QuSAEAAACmw4dv</t>
  </si>
  <si>
    <t>AgAAAAYxLDUxMjIBCAAAAAUAAAABMQEAAAALLTE5OTIxNTc1NTkDAAAAAzE2MAIAAAAENDM2NAQAAAABMAcAAAAIMS8xLzIwMjQIAAAACjEyLzMxLzIwMjMJAAAAATAGPy2u60feCNBM37XrR94IKUNJUS5TR0MuSVFfRUJJVERBLjIwMDAuMDEvMDEvMjAyNC4uLlVTRC5IAQAAAMGrBAACAAAABjMzLDI5MwEIAAAABQAAAAExAQAAAAstMTk1NjI5OTE2NgMAAAADMTYwAgAAAAQ0MDUxBAAAAAEwBwAAAAgxLzEvMjAyNAgAAAAKMTIvMzEvMjAyMwkAAAABMAY/La7rR94I0EzftetH3ggwQ0lRLlNHQy5JUV9FQklUREFfTUFSR0lOLjIwMDAuMDEvMDEvMjAyNC4uLlVTRC5IAQAAAMGrBAACAAAABjYsMTI3OAEIAAAABQAAAAExAQAAAAstMTk1NjI5OTE2NgMAAAADMTYwAgAAAAQ0MDQ3BAAAAAEwBwAAAAgxLzEvMjAyNAgAAAAKMTIvMzEvMjAyMwkAAAABMAY/La7rR94IyMTftetH3ggvQ0lRLlNHQy5JUV9UT1RBTF9BU1NFVFMuMjAwMC4wMS8wMS8yMDI0Li4uVVNELkgBAAAAwasEAAIAAAAGNDIyLDQ1AQgAAAAFAAAAATEBAAAACy0xOTU2Mjk5MTY2AwAAAAMxNjACAAAABDEwMDcEAAAAATAHAAAACDEvMS8yMDI0CAAAAAoxMi8zMS8yMDIzCQAAAAEwBj8trutH3gjIxN+160feCC1DSVEuU0dDLklRX0NBU0hfRVFVSVYuMjAwMC4wMS8wMS8yMDI0Li4uVVNELkgBAAAAwasEAAIAAAAGMTksODk2AQgAAAAFAAAA</t>
  </si>
  <si>
    <t>ATEBAAAACy0xOTU2Mjk5MTY2AwAAAAMxNjACAAAABDEwOTYEAAAAATAHAAAACDEvMS8yMDI0CAAAAAoxMi8zMS8yMDIzCQAAAAEwBj8trutH3gjWdN+160feCCtDSVEuU0dDLklRX05FVF9ERUJULjIwMDAuMDEvMDEvMjAyNC4uLlVTRC5IAQAAAMGrBAACAAAABjkwLDYyMQEIAAAABQAAAAExAQAAAAstMTk1NjI5OTE2NgMAAAADMTYwAgAAAAQ0MzY0BAAAAAEwBwAAAAgxLzEvMjAyNAgAAAAKMTIvMzEvMjAyMwkAAAABMAY/La7rR94I1nTftetH3ggpQ0lRLkxEQi5JUV9FQklUREEuMjAwMC4wMS8wMS8yMDI0Li4uVVNELkgBAAAAR1nuHwIAAAAIMiw3NjEyMDMBCAAAAAUAAAABMQEAAAALLTE5NDExNTQ3OTIDAAAAAzE2MAIAAAAENDA1MQQAAAABMAcAAAAIMS8xLzIwMjQIAAAACjEyLzMxLzIwMjMJAAAAATAGPy2u60feCMDs37XrR94IMENJUS5MREIuSVFfRUJJVERBX01BUkdJTi4yMDAwLjAxLzAxLzIwMjQuLi5VU0QuSAEAAABHWe4fAgAAAAcxNSw1MDA4AQgAAAAFAAAAATEBAAAACy0xOTQxMTU0NzkyAwAAAAI1MAIAAAAENDA0NwQAAAABMAcAAAAIMS8xLzIwMjQIAAAACjEyLzMxLzIwMjMJAAAAATAGPy2u60feCMDs37XrR94IL0NJUS5MREIuSVFfVE9UQUxfQVNTRVRTLjIwMDAuMDEvMDEvMjAyNC4uLlVTRC5IAQAAAEdZ7h8CAAAACTIzLDAwMjE2NQEIAAAABQAAAAExAQAAAAstMTk0MTE1NDc5</t>
  </si>
  <si>
    <t>MgMAAAADMTYwAgAAAAQxMDA3BAAAAAEwBwAAAAgxLzEvMjAyNAgAAAAKMTIvMzEvMjAyMwkAAAABMAY/La7rR94IwOzftetH3ggtQ0lRLkxEQi5JUV9DQVNIX0VRVUlWLjIwMDAuMDEvMDEvMjAyNC4uLlVTRC5IAQAAAEdZ7h8CAAAACDIsMjQ2NTQ1AQgAAAAFAAAAATEBAAAACy0xOTQxMTU0NzkyAwAAAAMxNjACAAAABDEwOTYEAAAAATAHAAAACDEvMS8yMDI0CAAAAAoxMi8zMS8yMDIzCQAAAAEwBj8trutH3gjA7N+160feCCtDSVEuTERCLklRX05FVF9ERUJULjIwMDAuMDEvMDEvMjAyNC4uLlVTRC5IAQAAAEdZ7h8CAAAACDQsMTIyMjg2AQgAAAAFAAAAATEBAAAACy0xOTQxMTU0NzkyAwAAAAMxNjACAAAABDQzNjQEAAAAATAHAAAACDEvMS8yMDI0CAAAAAoxMi8zMS8yMDIzCQAAAAEwBj8trutH3gimFOC160feCClDSVEuRVVLLklRX0VCSVREQS4yMDAwLjAxLzAxLzIwMjQuLi5VU0QuSAEAAABadJoBAgAAAAg4LDExNzYwOAEIAAAABQAAAAExAQAAAAstMTk0NjQ1NjM5NAMAAAADMTYwAgAAAAQ0MDUxBAAAAAEwBwAAAAgxLzEvMjAyNAgAAAAKMTIvMzEvMjAyMwkAAAABMAY/La7rR94IphTgtetH3ggwQ0lRLkVVSy5JUV9FQklUREFfTUFSR0lOLjIwMDAuMDEvMDEvMjAyNC4uLlVTRC5IAQAAAFp0mgECAAAABzE0LDg1MTMBCAAAAAUAAAABMQEAAAALLTE5NDY0NTYzOTQDAAAAAjUwAgAAAAQ0MDQ3</t>
  </si>
  <si>
    <t>BAAAAAEwBwAAAAgxLzEvMjAyNAgAAAAKMTIvMzEvMjAyMwkAAAABMAY/La7rR94IphTgtetH3ggvQ0lRLkVVSy5JUV9UT1RBTF9BU1NFVFMuMjAwMC4wMS8wMS8yMDI0Li4uVVNELkgBAAAAWnSaAQIAAAAJMTY0LDgxMTU0AQgAAAAFAAAAATEBAAAACy0xOTQ2NDU2Mzk0AwAAAAMxNjACAAAABDEwMDcEAAAAATAHAAAACDEvMS8yMDI0CAAAAAoxMi8zMS8yMDIzCQAAAAEwBj8trutH3gioPOC160feCC1DSVEuRVVLLklRX0NBU0hfRVFVSVYuMjAwMC4wMS8wMS8yMDI0Li4uVVNELkgBAAAAWnSaAQIAAAAIMiw1Nzg3NTUBCAAAAAUAAAABMQEAAAALLTE5NDY0NTYzOTQDAAAAAzE2MAIAAAAEMTA5NgQAAAABMAcAAAAIMS8xLzIwMjQIAAAACjEyLzMxLzIwMjMJAAAAATAGPy2u60feCKg84LXrR94IK0NJUS5FVUsuSVFfTkVUX0RFQlQuMjAwMC4wMS8wMS8yMDI0Li4uVVNELkgBAAAAWnSaAQIAAAAKMTE0LDM5NzAzOAEIAAAABQAAAAExAQAAAAstMTk0NjQ1NjM5NAMAAAADMTYwAgAAAAQ0MzY0BAAAAAEwBwAAAAgxLzEvMjAyNAgAAAAKMTIvMzEvMjAyMwkAAAABMAY/La7rR94IqDzgtetH3ggtQ0lRLldFVFRFUkkuSVFfRUJJVERBLjIwMDAuMDEvMDEvMjAyNC4uLlVTRC5IAQAAAIcbFmQCAAAACDYsNzU4MDQxAQgAAAAFAAAAATEBAAAACy0xOTU0NzMxMDAzAwAAAAMxNjACAAAABDQwNTEEAAAAATAHAAAA</t>
  </si>
  <si>
    <t>CDEvMS8yMDI0CAAAAAoxMi8zMS8yMDIzCQAAAAEwBj8trutH3gg4Y+C160feCDRDSVEuV0VUVEVSSS5JUV9FQklUREFfTUFSR0lOLjIwMDAuMDEvMDEvMjAyNC4uLlVTRC5IAQAAAIcbFmQCAAAABjEsNjc2NgEIAAAABQAAAAExAQAAAAstMTk1NDczMTAwMwMAAAACNTACAAAABDQwNDcEAAAAATAHAAAACDEvMS8yMDI0CAAAAAoxMi8zMS8yMDIzCQAAAAEwBj8trutH3ghVseC160feCDNDSVEuV0VUVEVSSS5JUV9UT1RBTF9BU1NFVFMuMjAwMC4wMS8wMS8yMDI0Li4uVVNELkgBAAAAhxsWZAIAAAAKMjM2LDg3NjMxMwEIAAAABQAAAAExAQAAAAstMTk1NDczMTAwMwMAAAADMTYwAgAAAAQxMDA3BAAAAAEwBwAAAAgxLzEvMjAyNAgAAAAKMTIvMzEvMjAyMwkAAAABMAY/La7rR94IVbHgtetH3ggxQ0lRLldFVFRFUkkuSVFfQ0FTSF9FUVVJVi4yMDAwLjAxLzAxLzIwMjQuLi5VU0QuSAEAAACHGxZkAgAAAAcwLDk0NjE3AQgAAAAFAAAAATEBAAAACy0xOTU0NzMxMDAzAwAAAAMxNjACAAAABDEwOTYEAAAAATAHAAAACDEvMS8yMDI0CAAAAAoxMi8zMS8yMDIzCQAAAAEwBj8trutH3ghEiuC160feCC9DSVEuV0VUVEVSSS5JUV9ORVRfREVCVC4yMDAwLjAxLzAxLzIwMjQuLi5VU0QuSAEAAACHGxZkAgAAAAoxNDUsNTI3Nzk5AQgAAAAFAAAAATEBAAAACy0xOTU0NzMxMDAzAwAAAAMxNjACAAAABDQzNjQEAAAA</t>
  </si>
  <si>
    <t>ATAHAAAACDEvMS8yMDI0CAAAAAoxMi8zMS8yMDIzCQAAAAEwBj8trutH3ghEiuC160feCCtDSVEuSUROVFQuSVFfRUJJVERBLjIwMDAuMDEvMDEvMjAyNC4uLlVTRC5IAQAAAJmvvyoCAAAACDIsOTIyNTE2AQgAAAAFAAAAATEBAAAACy0xOTQxMjYxMTY5AwAAAAMxNjACAAAABDQwNTEEAAAAATAHAAAACDEvMS8yMDI0CAAAAAoxMi8zMS8yMDIzCQAAAAEwBj8trutH3ghVseC160feCDJDSVEuSUROVFQuSVFfRUJJVERBX01BUkdJTi4yMDAwLjAxLzAxLzIwMjQuLi5VU0QuSAEAAACZr78qAgAAAAcxMyw2OTIzAQgAAAAFAAAAATEBAAAACy0xOTQxMjYxMTY5AwAAAAI1MAIAAAAENDA0NwQAAAABMAcAAAAIMS8xLzIwMjQIAAAACjEyLzMxLzIwMjMJAAAAATAGPy2u60feCOzn4LXrR94IMUNJUS5JRE5UVC5JUV9UT1RBTF9BU1NFVFMuMjAwMC4wMS8wMS8yMDI0Li4uVVNELkgBAAAAma+/KgIAAAAJMTUsMDAyNzYzAQgAAAAFAAAAATEBAAAACy0xOTQxMjYxMTY5AwAAAAMxNjACAAAABDEwMDcEAAAAATAHAAAACDEvMS8yMDI0CAAAAAoxMi8zMS8yMDIzCQAAAAEwBj8trutH3gjs5+C160feCC9DSVEuSUROVFQuSVFfQ0FTSF9FUVVJVi4yMDAwLjAxLzAxLzIwMjQuLi5VU0QuSAEAAACZr78qAgAAAAgyLDcwOTE4NQEIAAAABQAAAAExAQAAAAstMTk0MTI2MTE2OQMAAAADMTYwAgAAAAQxMDk2BAAAAAEwBwAA</t>
  </si>
  <si>
    <t>AAgxLzEvMjAyNAgAAAAKMTIvMzEvMjAyMwkAAAABMAY/La7rR94I7OfgtetH3ggtQ0lRLklETlRULklRX05FVF9ERUJULjIwMDAuMDEvMDEvMjAyNC4uLlVTRC5IAQAAAJmvvyoCAAAACS0yLDI2NTk0NQEIAAAABQAAAAExAQAAAAstMTk0MTI2MTE2OQMAAAADMTYwAgAAAAQ0MzY0BAAAAAEwBwAAAAgxLzEvMjAyNAgAAAAKMTIvMzEvMjAyMwkAAAABMAY/La7rR94I7OfgtetH3ggpQ0lRLlNHTy5JUV9FQklUREEuMjAwMC4wMS8wMS8yMDI0Li4uVVNELkgBAAAAAV0NAAIAAAAKNzI5MywwMjUzMQEIAAAABQAAAAExAQAAAAstMTk1NzQyMTgxMQMAAAADMTYwAgAAAAQ0MDUxBAAAAAEwBwAAAAgxLzEvMjAyNAgAAAAKMTIvMzEvMjAyMwkAAAABMAY/La7rR94ItQ/htetH3ggwQ0lRLlNHTy5JUV9FQklUREFfTUFSR0lOLjIwMDAuMDEvMDEvMjAyNC4uLlVTRC5IAQAAAAFdDQACAAAABzEzLDc2MTgBCAAAAAUAAAABMQEAAAALLTE5NTc0MjE4MTEDAAAAAjUwAgAAAAQ0MDQ3BAAAAAEwBwAAAAgxLzEvMjAyNAgAAAAKMTIvMzEvMjAyMwkAAAABMAY/La7rR94ItQ/htetH3ggvQ0lRLlNHTy5JUV9UT1RBTF9BU1NFVFMuMjAwMC4wMS8wMS8yMDI0Li4uVVNELkgBAAAAAV0NAAIAAAAMNjMzMzQsODA3MDk5AQgAAAAFAAAAATEBAAAACy0xOTU3NDIxODExAwAAAAMxNjACAAAABDEwMDcEAAAAATAHAAAACDEvMS8y</t>
  </si>
  <si>
    <t>MDI0CAAAAAoxMi8zMS8yMDIzCQAAAAEwBj8trutH3gi1D+G160feCC1DSVEuU0dPLklRX0NBU0hfRVFVSVYuMjAwMC4wMS8wMS8yMDI0Li4uVVNELkgBAAAAAV0NAAIAAAALOTUwOCwxMjQyMzcBCAAAAAUAAAABMQEAAAALLTE5NTc0MjE4MTEDAAAAAzE2MAIAAAAEMTA5NgQAAAABMAcAAAAIMS8xLzIwMjQIAAAACjEyLzMxLzIwMjMJAAAAATAGPy2u60feCLUP4bXrR94IK0NJUS5TR08uSVFfTkVUX0RFQlQuMjAwMC4wMS8wMS8yMDI0Li4uVVNELkgBAAAAAV0NAAIAAAALODE3MSw3Njk2NDUBCAAAAAUAAAABMQEAAAALLTE5NTc0MjE4MTEDAAAAAzE2MAIAAAAENDM2NAQAAAABMAcAAAAIMS8xLzIwMjQIAAAACjEyLzMxLzIwMjMJAAAAATAGPy2u60feCEU34bXrR94IKkNJUS5BQlZFLklRX0VCSVREQS4yMDAwLjAxLzAxLzIwMjQuLi5VU0QuSAEAAAAUYkspAgAAAAotMjEsODE1MDE4AQgAAAAFAAAAATEBAAAACy0xOTg3NzY5NTUxAwAAAAMxNjACAAAABDQwNTEEAAAAATAHAAAACDEvMS8yMDI0CAAAAAoxMC8zMS8yMDIzCQAAAAEwBj8trutH3ghFN+G160feCDFDSVEuQUJWRS5JUV9FQklUREFfTUFSR0lOLjIwMDAuMDEvMDEvMjAyNC4uLlVTRC5IAQAAABRiSykCAAAABy03LDYyNDIBCAAAAAUAAAABMQEAAAALLTE5ODc3Njk1NTEDAAAAAjI3AgAAAAQ0MDQ3BAAAAAEwBwAAAAgxLzEvMjAyNAgAAAAK</t>
  </si>
  <si>
    <t>MTAvMzEvMjAyMwkAAAABMAY/La7rR94IUl/htetH3ggwQ0lRLkFCVkUuSVFfVE9UQUxfQVNTRVRTLjIwMDAuMDEvMDEvMjAyNC4uLlVTRC5IAQAAABRiSykCAAAACjExNSw2MDQ2NDQBCAAAAAUAAAABMQEAAAALLTE5ODc3Njk1NTEDAAAAAzE2MAIAAAAEMTAwNwQAAAABMAcAAAAIMS8xLzIwMjQIAAAACjEwLzMxLzIwMjMJAAAAATAGPy2u60feCFeH4bXrR94ILkNJUS5BQlZFLklRX0NBU0hfRVFVSVYuMjAwMC4wMS8wMS8yMDI0Li4uVVNELkgBAAAAFGJLKQIAAAAIMCwxODc0ODkBCAAAAAUAAAABMQEAAAALLTE5ODc3Njk1NTEDAAAAAzE2MAIAAAAEMTA5NgQAAAABMAcAAAAIMS8xLzIwMjQIAAAACjEwLzMxLzIwMjMJAAAAATBPZi2u60feCFJf4bXrR94ILENJUS5BQlZFLklRX05FVF9ERUJULjIwMDAuMDEvMDEvMjAyNC4uLlVTRC5IAQAAABRiSykCAAAACTgyLDg2NTY0NgEIAAAABQAAAAExAQAAAAstMTk4Nzc2OTU1MQMAAAADMTYwAgAAAAQ0MzY0BAAAAAEwBwAAAAgxLzEvMjAyNAgAAAAKMTAvMzEvMjAyMwkAAAABME9mLa7rR94IUl/htetH3ggrQ0lRLk5PUkJULklRX0VCSVREQS4yMDAwLjAxLzAxLzIwMjQuLi5VU0QuSAEAAAD1aNwkAgAAAAkzMiwzODU1OTgBCAAAAAUAAAABMQEAAAALLTE5NTE1MjkxOTUDAAAAAzE2MAIAAAAENDA1MQQAAAABMAcAAAAIMS8xLzIwMjQIAAAACjEyLzMxLzIw</t>
  </si>
  <si>
    <t>MjMJAAAAATBPZi2u60feCFeH4bXrR94IMkNJUS5OT1JCVC5JUV9FQklUREFfTUFSR0lOLjIwMDAuMDEvMDEvMjAyNC4uLlVTRC5IAQAAAPVo3CQCAAAABzIxLDYyMDkBCAAAAAUAAAABMQEAAAALLTE5NTE1MjkxOTUDAAAAAzExNwIAAAAENDA0NwQAAAABMAcAAAAIMS8xLzIwMjQIAAAACjEyLzMxLzIwMjMJAAAAATBPZi2u60feCFeH4bXrR94IMUNJUS5OT1JCVC5JUV9UT1RBTF9BU1NFVFMuMjAwMC4wMS8wMS8yMDI0Li4uVVNELkgBAAAA9WjcJAIAAAAKMTQ3LDU2OTQ1MgEIAAAABQAAAAExAQAAAAstMTk1MTUyOTE5NQMAAAADMTYwAgAAAAQxMDA3BAAAAAEwBwAAAAgxLzEvMjAyNAgAAAAKMTIvMzEvMjAyMwkAAAABME9mLa7rR94ITq/htetH3ggvQ0lRLk5PUkJULklRX0NBU0hfRVFVSVYuMjAwMC4wMS8wMS8yMDI0Li4uVVNELkgBAAAA9WjcJAIAAAAHNSw5ODYwMQEIAAAABQAAAAExAQAAAAstMTk1MTUyOTE5NQMAAAADMTYwAgAAAAQxMDk2BAAAAAEwBwAAAAgxLzEvMjAyNAgAAAAKMTIvMzEvMjAyMwkAAAABME9mLa7rR94ITq/htetH3ggtQ0lRLk5PUkJULklRX05FVF9ERUJULjIwMDAuMDEvMDEvMjAyNC4uLlVTRC5IAQAAAPVo3CQCAAAACTIwLDI2NTY1MwEIAAAABQAAAAExAQAAAAstMTk1MTUyOTE5NQMAAAADMTYwAgAAAAQ0MzY0BAAAAAEwBwAAAAgxLzEvMjAyNAgAAAAKMTIvMzEvMjAy</t>
  </si>
  <si>
    <t>MwkAAAABME9mLa7rR94ITq/htetH3ggpQ0lRLlNURy5JUV9FQklUREEuMjAwMC4wMS8wMS8yMDI0Li4uVVNELkgBAAAAY4fjIAIAAAAJODUsMzk2OTE3AQgAAAAFAAAAATEBAAAACy0xOTQ3ODA0NDEwAwAAAAMxNjACAAAABDQwNTEEAAAAATAHAAAACDEvMS8yMDI0CAAAAAoxMi8zMS8yMDIzCQAAAAEwT2YtrutH3ghOr+G160feCDBDSVEuU1RHLklRX0VCSVREQV9NQVJHSU4uMjAwMC4wMS8wMS8yMDI0Li4uVVNELkgBAAAAY4fjIAIAAAAHMjgsMDM5NwEIAAAABQAAAAExAQAAAAstMTk0NzgwNDQxMAMAAAACMzICAAAABDQwNDcEAAAAATAHAAAACDEvMS8yMDI0CAAAAAoxMi8zMS8yMDIzCQAAAAEwT2YtrutH3ghOr+G160feCC9DSVEuU1RHLklRX1RPVEFMX0FTU0VUUy4yMDAwLjAxLzAxLzIwMjQuLi5VU0QuSAEAAABjh+MgAgAAAAkyOTgsNzY0MDUBCAAAAAUAAAABMQEAAAALLTE5NDc4MDQ0MTADAAAAAzE2MAIAAAAEMTAwNwQAAAABMAcAAAAIMS8xLzIwMjQIAAAACjEyLzMxLzIwMjMJAAAAATBPZi2u60feCFLX4bXrR94ILUNJUS5TVEcuSVFfQ0FTSF9FUVVJVi4yMDAwLjAxLzAxLzIwMjQuLi5VU0QuSAEAAABjh+MgAgAAAAoxMDcsNzE1NTIzAQgAAAAFAAAAATEBAAAACy0xOTQ3ODA0NDEwAwAAAAMxNjACAAAABDEwOTYEAAAAATAHAAAACDEvMS8yMDI0CAAAAAoxMi8zMS8yMDIzCQAAAAEwT2Yt</t>
  </si>
  <si>
    <t>rutH3ghS1+G160feCCtDSVEuU1RHLklRX05FVF9ERUJULjIwMDAuMDEvMDEvMjAyNC4uLlVTRC5IAQAAAGOH4yACAAAACS04NCwyMzE0OAEIAAAABQAAAAExAQAAAAstMTk0NzgwNDQxMAMAAAADMTYwAgAAAAQ0MzY0BAAAAAEwBwAAAAgxLzEvMjAyNAgAAAAKMTIvMzEvMjAyMwkAAAABME9mLa7rR94IUtfhtetH3ggpQ0lRLkZUWi5JUV9FQklUREEuMjAwMC4wMS8wMS8yMDI0Li4uVVNELkgBAAAANHEvAAMAAAAAAE9mLa7rR94IPE/itetH3ggwQ0lRLkZUWi5JUV9FQklUREFfTUFSR0lOLjIwMDAuMDEvMDEvMjAyNC4uLlVTRC5IAQAAADRxLwADAAAAAABPZi2u60feCDxP4rXrR94IL0NJUS5GVFouSVFfVE9UQUxfQVNTRVRTLjIwMDAuMDEvMDEvMjAyNC4uLlVTRC5IAQAAADRxLwACAAAACDEsOTA4MDY0AQgAAAAFAAAAATEBAAAACy0xOTU3NjE5NTg1AwAAAAMxNjACAAAABDEwMDcEAAAAATAHAAAACDEvMS8yMDI0CAAAAAoxMi8zMS8yMDIzCQAAAAEwT2YtrutH3ggld+K160feCC1DSVEuRlRaLklRX0NBU0hfRVFVSVYuMjAwMC4wMS8wMS8yMDI0Li4uVVNELkgBAAAANHEvAAIAAAAIMCw0MzYzNjcBCAAAAAUAAAABMQEAAAALLTE5NTc2MTk1ODUDAAAAAzE2MAIAAAAEMTA5NgQAAAABMAcAAAAIMS8xLzIwMjQIAAAACjEyLzMxLzIwMjMJAAAAATBPZi2u60feCCV34rXrR94IK0NJUS5GVFouSVFfTkVU</t>
  </si>
  <si>
    <t>X0RFQlQuMjAwMC4wMS8wMS8yMDI0Li4uVVNELkgBAAAANHEvAAIAAAAJLTAsNDM2MzY3AQgAAAAFAAAAATEBAAAACy0xOTU3NjE5NTg1AwAAAAMxNjACAAAABDQzNjQEAAAAATAHAAAACDEvMS8yMDI0CAAAAAoxMi8zMS8yMDIzCQAAAAEwT2YtrutH3ggld+K160feCClDSVEuTUVYLklRX0VCSVREQS4yMDAwLjAxLzAxLzIwMjQuLi5VU0QuSAEAAADrGucMAgAAAAg2LDI3NjYwMgEIAAAABQAAAAExAQAAAAstMTk0MDE1NjI0NwMAAAADMTYwAgAAAAQ0MDUxBAAAAAEwBwAAAAgxLzEvMjAyNAgAAAAKMTIvMzEvMjAyMwkAAAABME9mLa7rR94ImcnitetH3ggwQ0lRLk1FWC5JUV9FQklUREFfTUFSR0lOLjIwMDAuMDEvMDEvMjAyNC4uLlVTRC5IAQAAAOsa5wwCAAAABTcsNTAzAQgAAAAFAAAAATEBAAAACy0xOTQwMTU2MjQ3AwAAAAI1NQIAAAAENDA0NwQAAAABMAcAAAAIMS8xLzIwMjQIAAAACjEyLzMxLzIwMjMJAAAAATBPZi2u60feCJnJ4rXrR94IL0NJUS5NRVguSVFfVE9UQUxfQVNTRVRTLjIwMDAuMDEvMDEvMjAyNC4uLlVTRC5IAQAAAOsa5wwCAAAACTY1LDQ3ODYwNgEIAAAABQAAAAExAQAAAAstMTk0MDE1NjI0NwMAAAADMTYwAgAAAAQxMDA3BAAAAAEwBwAAAAgxLzEvMjAyNAgAAAAKMTIvMzEvMjAyMwkAAAABME9mLa7rR94IhfHitetH3ggtQ0lRLk1FWC5JUV9DQVNIX0VRVUlWLjIwMDAuMDEv</t>
  </si>
  <si>
    <t>MDEvMjAyNC4uLlVTRC5IAQAAAOsa5wwCAAAACDIsMDk0OTEzAQgAAAAFAAAAATEBAAAACy0xOTQwMTU2MjQ3AwAAAAMxNjACAAAABDEwOTYEAAAAATAHAAAACDEvMS8yMDI0CAAAAAoxMi8zMS8yMDIzCQAAAAEwT2YtrutH3giF8eK160feCCtDSVEuTUVYLklRX05FVF9ERUJULjIwMDAuMDEvMDEvMjAyNC4uLlVTRC5IAQAAAOsa5wwCAAAACTQ2LDUwMjUwNAEIAAAABQAAAAExAQAAAAstMTk0MDE1NjI0NwMAAAADMTYwAgAAAAQ0MzY0BAAAAAEwBwAAAAgxLzEvMjAyNAgAAAAKMTIvMzEvMjAyMwkAAAABME9mLa7rR94IhfHitetH3ggoQ0lRLktXLklRX0VCSVREQS4yMDAwLjAxLzAxLzIwMjQuLi5VU0QuSAEAAAAxdwAAAgAAAAUxODMsMQEIAAAABQAAAAExAQAAAAstMTk1NzMxMDM4OAMAAAADMTYwAgAAAAQ0MDUxBAAAAAEwBwAAAAgxLzEvMjAyNAgAAAAKMTIvMzEvMjAyMwkAAAABME9mLa7rR94IhfHitetH3ggvQ0lRLktXLklRX0VCSVREQV9NQVJHSU4uMjAwMC4wMS8wMS8yMDI0Li4uVVNELkgBAAAAMXcAAAIAAAAGMzMsOTY0AQgAAAAFAAAAATEBAAAACy0xOTU3MzEwMzg4AwAAAAMxNjACAAAABDQwNDcEAAAAATAHAAAACDEvMS8yMDI0CAAAAAoxMi8zMS8yMDIzCQAAAAEwT2YtrutH3giF8eK160feCC5DSVEuS1cuSVFfVE9UQUxfQVNTRVRTLjIwMDAuMDEvMDEvMjAyNC4uLlVTRC5IAQAAADF3</t>
  </si>
  <si>
    <t>AAACAAAABjc3MTIsMQEIAAAABQAAAAExAQAAAAstMTk1NzMxMDM4OAMAAAADMTYwAgAAAAQxMDA3BAAAAAEwBwAAAAgxLzEvMjAyNAgAAAAKMTIvMzEvMjAyMwkAAAABME9mLa7rR94IehnjtetH3ggsQ0lRLktXLklRX0NBU0hfRVFVSVYuMjAwMC4wMS8wMS8yMDI0Li4uVVNELkgBAAAAMXcAAAIAAAAFMzEzLDcBCAAAAAUAAAABMQEAAAALLTE5NTczMTAzODgDAAAAAzE2MAIAAAAEMTA5NgQAAAABMAcAAAAIMS8xLzIwMjQIAAAACjEyLzMxLzIwMjMJAAAAATBPZi2u60feCHoZ47XrR94IKkNJUS5LVy5JUV9ORVRfREVCVC4yMDAwLjAxLzAxLzIwMjQuLi5VU0QuSAEAAAAxdwAAAgAAAAY0OTU1LDMBCAAAAAUAAAABMQEAAAALLTE5NTczMTAzODgDAAAAAzE2MAIAAAAENDM2NAQAAAABMAcAAAAIMS8xLzIwMjQIAAAACjEyLzMxLzIwMjMJAAAAATBPZi2u60feCHoZ47XrR94IKkNJUS5SVkxWLklRX0VCSVREQS4yMDAwLjAxLzAxLzIwMjQuLi5VU0QuSAEAAABC6c4iAgAAAAUzNyw1NwEIAAAABQAAAAExAQAAAAstMTk1ODM2ODg1NAMAAAADMTYwAgAAAAQ0MDUxBAAAAAEwBwAAAAgxLzEvMjAyNAgAAAAKMTIvMzEvMjAyMwkAAAABME9mLa7rR94IehnjtetH3ggxQ0lRLlJWTFYuSVFfRUJJVERBX01BUkdJTi4yMDAwLjAxLzAxLzIwMjQuLi5VU0QuSAEAAABC6c4iAgAAAAYzLDUxNTQBCAAAAAUAAAABMQEA</t>
  </si>
  <si>
    <t>AAALLTE5NTgzNjg4NTQDAAAAAzE2MAIAAAAENDA0NwQAAAABMAcAAAAIMS8xLzIwMjQIAAAACjEyLzMxLzIwMjMJAAAAATBPZi2u60feCFdp47XrR94IMENJUS5SVkxWLklRX1RPVEFMX0FTU0VUUy4yMDAwLjAxLzAxLzIwMjQuLi5VU0QuSAEAAABC6c4iAgAAAAc2MDgsODg2AQgAAAAFAAAAATEBAAAACy0xOTU4MzY4ODU0AwAAAAMxNjACAAAABDEwMDcEAAAAATAHAAAACDEvMS8yMDI0CAAAAAoxMi8zMS8yMDIzCQAAAAEwT2YtrutH3ghXaeO160feCC5DSVEuUlZMVi5JUV9DQVNIX0VRVUlWLjIwMDAuMDEvMDEvMjAyNC4uLlVTRC5IAQAAAELpziICAAAABzI0NSw0NDkBCAAAAAUAAAABMQEAAAALLTE5NTgzNjg4NTQDAAAAAzE2MAIAAAAEMTA5NgQAAAABMAcAAAAIMS8xLzIwMjQIAAAACjEyLzMxLzIwMjMJAAAAATBPZi2u60feCGZB47XrR94ILENJUS5SVkxWLklRX05FVF9ERUJULjIwMDAuMDEvMDEvMjAyNC4uLlVTRC5IAQAAAELpziICAAAABy0yMDQsNDYBCAAAAAUAAAABMQEAAAALLTE5NTgzNjg4NTQDAAAAAzE2MAIAAAAENDM2NAQAAAABMAcAAAAIMS8xLzIwMjQIAAAACjEyLzMxLzIwMjMJAAAAATBPZi2u60feCGZB47XrR94IKUNJUS5GTk0uSVFfRUJJVERBLjIwMDAuMDEvMDEvMjAyNC4uLlVTRC5IAQAAAOL3bAYCAAAACC0yLDQ4NTkxAQgAAAAFAAAAATEBAAAACy0xOTUxMzk5NDk1AwAA</t>
  </si>
  <si>
    <t>AAMxNjACAAAABDQwNTEEAAAAATAHAAAACDEvMS8yMDI0CAAAAAoxMi8zMS8yMDIzCQAAAAEwT2YtrutH3ghXaeO160feCDBDSVEuRk5NLklRX0VCSVREQV9NQVJHSU4uMjAwMC4wMS8wMS8yMDI0Li4uVVNELkgBAAAA4vdsBgIAAAAHLTAsODczMgEIAAAABQAAAAExAQAAAAstMTk1MTM5OTQ5NQMAAAADMTM3AgAAAAQ0MDQ3BAAAAAEwBwAAAAgxLzEvMjAyNAgAAAAKMTIvMzEvMjAyMwkAAAABME9mLa7rR94IV2njtetH3ggvQ0lRLkZOTS5JUV9UT1RBTF9BU1NFVFMuMjAwMC4wMS8wMS8yMDI0Li4uVVNELkgBAAAA4vdsBgIAAAAKNDY3LDg0ODIzOAEIAAAABQAAAAExAQAAAAstMTk1MTM5OTQ5NQMAAAADMTYwAgAAAAQxMDA3BAAAAAEwBwAAAAgxLzEvMjAyNAgAAAAKMTIvMzEvMjAyMwkAAAABME9mLa7rR94IS5HjtetH3ggtQ0lRLkZOTS5JUV9DQVNIX0VRVUlWLjIwMDAuMDEvMDEvMjAyNC4uLlVTRC5IAQAAAOL3bAYCAAAACTQyLDM1OTkwNAEIAAAABQAAAAExAQAAAAstMTk1MTM5OTQ5NQMAAAADMTYwAgAAAAQxMDk2BAAAAAEwBwAAAAgxLzEvMjAyNAgAAAAKMTIvMzEvMjAyMwkAAAABME9mLa7rR94IS5HjtetH3ggrQ0lRLkZOTS5JUV9ORVRfREVCVC4yMDAwLjAxLzAxLzIwMjQuLi5VU0QuSAEAAADi92wGAgAAAAoxMzQsMjM5MTMzAQgAAAAFAAAAATEBAAAACy0xOTUxMzk5NDk1AwAAAAMxNjAC</t>
  </si>
  <si>
    <t>AAAABDQzNjQEAAAAATAHAAAACDEvMS8yMDI0CAAAAAoxMi8zMS8yMDIzCQAAAAEwT2YtrutH3ghLkeO160feCCdDSVEuLklRX1BFUklPRExFTkdUSF9JUy4xMDAwLjAxLzAxLzIwMjQFAAAAAAAAAAgAAAAUKEludmFsaWQgSWRlbnRpZmllcileWkC560feCBJv7L/rR94IIkNJUS4uSVFfUEVSSU9EREFURS4xMDAwLjAxLzAxLzIwMjQFAAAAAAAAAAgAAAAUKEludmFsaWQgSWRlbnRpZmllcileWkC560feCBJv7L/rR94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</si>
</sst>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_);_(* \(#,##0.0\);_(* &quot; - &quot;_);_(@_)"/>
    <numFmt numFmtId="165" formatCode="0.0%"/>
    <numFmt numFmtId="166" formatCode="_(* #,##0.0_);_(* \(#,##0.0\)_);_(* &quot; - &quot;_)"/>
    <numFmt numFmtId="167" formatCode="_(* #,##0.0_);_(* \(#,##0.0\)_)\ ;_(* 0_)"/>
    <numFmt numFmtId="168" formatCode="&quot;&quot;"/>
    <numFmt numFmtId="169" formatCode="#,##0.00\ &quot;€&quot;"/>
    <numFmt numFmtId="170" formatCode="_(* #,##0.0#_);_(* \(#,##0.0#\)_)\ ;_(* 0_)"/>
    <numFmt numFmtId="171" formatCode="_(* #,##0.0##_);_(* \(#,##0.0##\)_)\ ;_(* 0_)"/>
  </numFmts>
  <fonts count="57" x14ac:knownFonts="1">
    <font>
      <sz val="10"/>
      <name val="Arial"/>
    </font>
    <font>
      <sz val="11"/>
      <color theme="1"/>
      <name val="Arial"/>
      <family val="2"/>
      <scheme val="minor"/>
    </font>
    <font>
      <sz val="10"/>
      <name val="Arial"/>
      <family val="2"/>
    </font>
    <font>
      <b/>
      <sz val="13"/>
      <color indexed="8"/>
      <name val="Verdana"/>
      <family val="2"/>
    </font>
    <font>
      <b/>
      <sz val="8"/>
      <color indexed="9"/>
      <name val="Verdana"/>
      <family val="2"/>
    </font>
    <font>
      <b/>
      <sz val="8"/>
      <color indexed="8"/>
      <name val="Arial"/>
      <family val="2"/>
    </font>
    <font>
      <sz val="8"/>
      <color indexed="8"/>
      <name val="Arial"/>
      <family val="2"/>
    </font>
    <font>
      <i/>
      <sz val="8"/>
      <color indexed="8"/>
      <name val="Arial"/>
      <family val="2"/>
    </font>
    <font>
      <sz val="2"/>
      <color indexed="9"/>
      <name val="Symbol"/>
      <family val="1"/>
      <charset val="2"/>
    </font>
    <font>
      <sz val="8"/>
      <name val="Arial"/>
      <family val="2"/>
    </font>
    <font>
      <sz val="10"/>
      <color indexed="8"/>
      <name val="Arial"/>
      <family val="2"/>
    </font>
    <font>
      <b/>
      <u val="singleAccounting"/>
      <sz val="8"/>
      <color indexed="8"/>
      <name val="Arial"/>
      <family val="2"/>
    </font>
    <font>
      <sz val="1"/>
      <color indexed="9"/>
      <name val="Symbol"/>
      <family val="1"/>
      <charset val="2"/>
    </font>
    <font>
      <b/>
      <u val="singleAccounting"/>
      <sz val="8"/>
      <color indexed="8"/>
      <name val="Verdana"/>
      <family val="2"/>
    </font>
    <font>
      <b/>
      <sz val="10"/>
      <color indexed="9"/>
      <name val="Arial"/>
      <family val="2"/>
    </font>
    <font>
      <b/>
      <sz val="12"/>
      <color indexed="8"/>
      <name val="Verdana"/>
      <family val="2"/>
    </font>
    <font>
      <vertAlign val="subscript"/>
      <sz val="8"/>
      <color indexed="8"/>
      <name val="Arial"/>
      <family val="2"/>
    </font>
    <font>
      <vertAlign val="superscript"/>
      <sz val="8"/>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49"/>
      <name val="Calibri"/>
      <family val="2"/>
    </font>
    <font>
      <b/>
      <sz val="13"/>
      <color indexed="49"/>
      <name val="Calibri"/>
      <family val="2"/>
    </font>
    <font>
      <b/>
      <sz val="11"/>
      <color indexed="49"/>
      <name val="Calibri"/>
      <family val="2"/>
    </font>
    <font>
      <sz val="11"/>
      <color indexed="54"/>
      <name val="Calibri"/>
      <family val="2"/>
    </font>
    <font>
      <sz val="11"/>
      <color indexed="52"/>
      <name val="Calibri"/>
      <family val="2"/>
    </font>
    <font>
      <sz val="11"/>
      <color indexed="60"/>
      <name val="Calibri"/>
      <family val="2"/>
    </font>
    <font>
      <sz val="10"/>
      <name val="Arial"/>
      <family val="2"/>
    </font>
    <font>
      <b/>
      <sz val="11"/>
      <color indexed="8"/>
      <name val="Calibri"/>
      <family val="2"/>
    </font>
    <font>
      <b/>
      <sz val="18"/>
      <color indexed="49"/>
      <name val="Cambria"/>
      <family val="2"/>
    </font>
    <font>
      <sz val="11"/>
      <color indexed="10"/>
      <name val="Calibri"/>
      <family val="2"/>
    </font>
    <font>
      <b/>
      <sz val="18"/>
      <color indexed="62"/>
      <name val="Cambria"/>
      <family val="2"/>
    </font>
    <font>
      <sz val="10"/>
      <name val="Courier"/>
      <family val="3"/>
    </font>
    <font>
      <b/>
      <sz val="13"/>
      <color indexed="8"/>
      <name val="Verdana"/>
      <family val="2"/>
    </font>
    <font>
      <sz val="8"/>
      <color indexed="8"/>
      <name val="Arial"/>
      <family val="2"/>
    </font>
    <font>
      <b/>
      <sz val="10"/>
      <name val="Arial"/>
      <family val="2"/>
    </font>
    <font>
      <b/>
      <sz val="10"/>
      <color indexed="12"/>
      <name val="Arial"/>
      <family val="2"/>
    </font>
    <font>
      <sz val="10"/>
      <color indexed="9"/>
      <name val="Arial"/>
      <family val="2"/>
    </font>
    <font>
      <i/>
      <sz val="10"/>
      <name val="Arial"/>
      <family val="2"/>
    </font>
    <font>
      <b/>
      <sz val="10"/>
      <color indexed="8"/>
      <name val="Arial"/>
      <family val="2"/>
    </font>
    <font>
      <b/>
      <sz val="10"/>
      <color indexed="17"/>
      <name val="Arial"/>
      <family val="2"/>
    </font>
    <font>
      <b/>
      <sz val="24"/>
      <color indexed="9"/>
      <name val="Arial"/>
      <family val="2"/>
    </font>
    <font>
      <b/>
      <sz val="10"/>
      <color theme="0"/>
      <name val="Arial"/>
      <family val="2"/>
    </font>
    <font>
      <sz val="10"/>
      <color rgb="FFFFFFFF"/>
      <name val="Arial"/>
      <family val="2"/>
    </font>
    <font>
      <sz val="10"/>
      <color theme="0"/>
      <name val="Arial"/>
      <family val="2"/>
    </font>
    <font>
      <b/>
      <sz val="10"/>
      <color rgb="FFFFFFFF"/>
      <name val="Arial"/>
      <family val="2"/>
    </font>
    <font>
      <b/>
      <sz val="11"/>
      <color theme="0"/>
      <name val="Arial"/>
      <family val="2"/>
      <scheme val="minor"/>
    </font>
    <font>
      <sz val="10"/>
      <color theme="2"/>
      <name val="Arial"/>
      <family val="2"/>
    </font>
    <font>
      <sz val="10"/>
      <name val="Arial"/>
      <family val="2"/>
    </font>
    <font>
      <sz val="10"/>
      <color rgb="FFFF0000"/>
      <name val="Arial"/>
      <family val="2"/>
    </font>
    <font>
      <sz val="12"/>
      <color indexed="8"/>
      <name val="Arial"/>
      <family val="2"/>
    </font>
    <font>
      <sz val="9"/>
      <color indexed="8"/>
      <name val="Arial"/>
      <family val="2"/>
    </font>
    <font>
      <sz val="9"/>
      <name val="Arial"/>
      <family val="2"/>
    </font>
  </fonts>
  <fills count="32">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63"/>
      </patternFill>
    </fill>
    <fill>
      <patternFill patternType="solid">
        <fgColor indexed="43"/>
      </patternFill>
    </fill>
    <fill>
      <patternFill patternType="solid">
        <fgColor indexed="44"/>
      </patternFill>
    </fill>
    <fill>
      <patternFill patternType="solid">
        <fgColor indexed="49"/>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57"/>
      </patternFill>
    </fill>
    <fill>
      <patternFill patternType="solid">
        <fgColor indexed="42"/>
        <bgColor indexed="42"/>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45"/>
      </patternFill>
    </fill>
    <fill>
      <patternFill patternType="solid">
        <fgColor indexed="55"/>
      </patternFill>
    </fill>
    <fill>
      <patternFill patternType="solid">
        <fgColor indexed="60"/>
        <bgColor indexed="64"/>
      </patternFill>
    </fill>
    <fill>
      <patternFill patternType="solid">
        <fgColor indexed="42"/>
      </patternFill>
    </fill>
    <fill>
      <patternFill patternType="solid">
        <fgColor indexed="62"/>
        <bgColor indexed="64"/>
      </patternFill>
    </fill>
    <fill>
      <patternFill patternType="solid">
        <fgColor indexed="63"/>
        <bgColor indexed="64"/>
      </patternFill>
    </fill>
    <fill>
      <patternFill patternType="solid">
        <fgColor indexed="56"/>
        <bgColor indexed="64"/>
      </patternFill>
    </fill>
    <fill>
      <patternFill patternType="solid">
        <fgColor indexed="8"/>
        <bgColor indexed="64"/>
      </patternFill>
    </fill>
    <fill>
      <patternFill patternType="solid">
        <fgColor rgb="FF808080"/>
        <bgColor indexed="64"/>
      </patternFill>
    </fill>
    <fill>
      <patternFill patternType="solid">
        <fgColor theme="0" tint="-0.499984740745262"/>
        <bgColor indexed="64"/>
      </patternFill>
    </fill>
    <fill>
      <patternFill patternType="solid">
        <fgColor rgb="FFFFFF00"/>
        <bgColor indexed="64"/>
      </patternFill>
    </fill>
  </fills>
  <borders count="14">
    <border>
      <left/>
      <right/>
      <top/>
      <bottom/>
      <diagonal/>
    </border>
    <border>
      <left style="thin">
        <color indexed="23"/>
      </left>
      <right style="thin">
        <color indexed="23"/>
      </right>
      <top style="thin">
        <color indexed="23"/>
      </top>
      <bottom style="thin">
        <color indexed="23"/>
      </bottom>
      <diagonal/>
    </border>
    <border>
      <left style="double">
        <color indexed="8"/>
      </left>
      <right style="double">
        <color indexed="8"/>
      </right>
      <top style="double">
        <color indexed="8"/>
      </top>
      <bottom style="double">
        <color indexed="8"/>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2">
    <xf numFmtId="0" fontId="0" fillId="0" borderId="0"/>
    <xf numFmtId="0" fontId="18" fillId="2"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2" borderId="0" applyNumberFormat="0" applyBorder="0" applyAlignment="0" applyProtection="0"/>
    <xf numFmtId="0" fontId="18" fillId="5" borderId="0" applyNumberFormat="0" applyBorder="0" applyAlignment="0" applyProtection="0"/>
    <xf numFmtId="0" fontId="18" fillId="3"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6" borderId="0" applyNumberFormat="0" applyBorder="0" applyAlignment="0" applyProtection="0"/>
    <xf numFmtId="0" fontId="18" fillId="9" borderId="0" applyNumberFormat="0" applyBorder="0" applyAlignment="0" applyProtection="0"/>
    <xf numFmtId="0" fontId="18" fillId="3" borderId="0" applyNumberFormat="0" applyBorder="0" applyAlignment="0" applyProtection="0"/>
    <xf numFmtId="0" fontId="19" fillId="10"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6" borderId="0" applyNumberFormat="0" applyBorder="0" applyAlignment="0" applyProtection="0"/>
    <xf numFmtId="0" fontId="19" fillId="10" borderId="0" applyNumberFormat="0" applyBorder="0" applyAlignment="0" applyProtection="0"/>
    <xf numFmtId="0" fontId="19" fillId="3" borderId="0" applyNumberFormat="0" applyBorder="0" applyAlignment="0" applyProtection="0"/>
    <xf numFmtId="0" fontId="19" fillId="10" borderId="0" applyNumberFormat="0" applyBorder="0" applyAlignment="0" applyProtection="0"/>
    <xf numFmtId="0" fontId="18" fillId="11" borderId="0" applyNumberFormat="0" applyBorder="0" applyAlignment="0" applyProtection="0"/>
    <xf numFmtId="0" fontId="18" fillId="11" borderId="0" applyNumberFormat="0" applyBorder="0" applyAlignment="0" applyProtection="0"/>
    <xf numFmtId="0" fontId="19" fillId="12" borderId="0" applyNumberFormat="0" applyBorder="0" applyAlignment="0" applyProtection="0"/>
    <xf numFmtId="0" fontId="19" fillId="7"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9" fillId="14" borderId="0" applyNumberFormat="0" applyBorder="0" applyAlignment="0" applyProtection="0"/>
    <xf numFmtId="0" fontId="19" fillId="18" borderId="0" applyNumberFormat="0" applyBorder="0" applyAlignment="0" applyProtection="0"/>
    <xf numFmtId="0" fontId="18" fillId="11" borderId="0" applyNumberFormat="0" applyBorder="0" applyAlignment="0" applyProtection="0"/>
    <xf numFmtId="0" fontId="18" fillId="14" borderId="0" applyNumberFormat="0" applyBorder="0" applyAlignment="0" applyProtection="0"/>
    <xf numFmtId="0" fontId="19" fillId="14" borderId="0" applyNumberFormat="0" applyBorder="0" applyAlignment="0" applyProtection="0"/>
    <xf numFmtId="0" fontId="19" fillId="10" borderId="0" applyNumberFormat="0" applyBorder="0" applyAlignment="0" applyProtection="0"/>
    <xf numFmtId="0" fontId="18" fillId="19" borderId="0" applyNumberFormat="0" applyBorder="0" applyAlignment="0" applyProtection="0"/>
    <xf numFmtId="0" fontId="18" fillId="11" borderId="0" applyNumberFormat="0" applyBorder="0" applyAlignment="0" applyProtection="0"/>
    <xf numFmtId="0" fontId="19" fillId="12" borderId="0" applyNumberFormat="0" applyBorder="0" applyAlignment="0" applyProtection="0"/>
    <xf numFmtId="0" fontId="19" fillId="7" borderId="0" applyNumberFormat="0" applyBorder="0" applyAlignment="0" applyProtection="0"/>
    <xf numFmtId="0" fontId="18" fillId="13" borderId="0" applyNumberFormat="0" applyBorder="0" applyAlignment="0" applyProtection="0"/>
    <xf numFmtId="0" fontId="18" fillId="20" borderId="0" applyNumberFormat="0" applyBorder="0" applyAlignment="0" applyProtection="0"/>
    <xf numFmtId="0" fontId="19" fillId="20" borderId="0" applyNumberFormat="0" applyBorder="0" applyAlignment="0" applyProtection="0"/>
    <xf numFmtId="0" fontId="20" fillId="21" borderId="0" applyNumberFormat="0" applyBorder="0" applyAlignment="0" applyProtection="0"/>
    <xf numFmtId="0" fontId="21" fillId="2" borderId="1" applyNumberFormat="0" applyAlignment="0" applyProtection="0"/>
    <xf numFmtId="0" fontId="10" fillId="0" borderId="0"/>
    <xf numFmtId="0" fontId="22" fillId="22" borderId="2" applyNumberFormat="0" applyAlignment="0" applyProtection="0"/>
    <xf numFmtId="0" fontId="11" fillId="23" borderId="0"/>
    <xf numFmtId="0" fontId="23" fillId="0" borderId="0" applyNumberFormat="0" applyFill="0" applyBorder="0" applyAlignment="0" applyProtection="0"/>
    <xf numFmtId="0" fontId="24" fillId="24" borderId="0" applyNumberFormat="0" applyBorder="0" applyAlignment="0" applyProtection="0"/>
    <xf numFmtId="0" fontId="25" fillId="0" borderId="3" applyNumberFormat="0" applyFill="0" applyAlignment="0" applyProtection="0"/>
    <xf numFmtId="0" fontId="26" fillId="0" borderId="4" applyNumberFormat="0" applyFill="0" applyAlignment="0" applyProtection="0"/>
    <xf numFmtId="0" fontId="27" fillId="0" borderId="5" applyNumberFormat="0" applyFill="0" applyAlignment="0" applyProtection="0"/>
    <xf numFmtId="0" fontId="27" fillId="0" borderId="0" applyNumberFormat="0" applyFill="0" applyBorder="0" applyAlignment="0" applyProtection="0"/>
    <xf numFmtId="0" fontId="28" fillId="3" borderId="1" applyNumberFormat="0" applyAlignment="0" applyProtection="0"/>
    <xf numFmtId="0" fontId="12" fillId="0" borderId="0"/>
    <xf numFmtId="0" fontId="29" fillId="0" borderId="6" applyNumberFormat="0" applyFill="0" applyAlignment="0" applyProtection="0"/>
    <xf numFmtId="0" fontId="30" fillId="8" borderId="0" applyNumberFormat="0" applyBorder="0" applyAlignment="0" applyProtection="0"/>
    <xf numFmtId="0" fontId="13" fillId="25" borderId="0"/>
    <xf numFmtId="0" fontId="14" fillId="26" borderId="0"/>
    <xf numFmtId="0" fontId="15" fillId="0" borderId="0"/>
    <xf numFmtId="0" fontId="18" fillId="0" borderId="0"/>
    <xf numFmtId="0" fontId="31" fillId="0" borderId="0"/>
    <xf numFmtId="0" fontId="9" fillId="0" borderId="0"/>
    <xf numFmtId="0" fontId="31" fillId="4" borderId="7" applyNumberFormat="0" applyFont="0" applyAlignment="0" applyProtection="0"/>
    <xf numFmtId="0" fontId="32" fillId="2" borderId="8" applyNumberFormat="0" applyAlignment="0" applyProtection="0"/>
    <xf numFmtId="0" fontId="4" fillId="27" borderId="0"/>
    <xf numFmtId="0" fontId="35" fillId="0" borderId="0" applyNumberFormat="0" applyFill="0" applyBorder="0" applyAlignment="0" applyProtection="0"/>
    <xf numFmtId="0" fontId="36" fillId="0" borderId="0">
      <alignment vertical="center"/>
    </xf>
    <xf numFmtId="0" fontId="3" fillId="0" borderId="0" applyNumberFormat="0" applyFill="0" applyBorder="0" applyProtection="0"/>
    <xf numFmtId="0" fontId="37" fillId="0" borderId="0" applyNumberFormat="0" applyFill="0" applyBorder="0" applyProtection="0"/>
    <xf numFmtId="0" fontId="37" fillId="0" borderId="0" applyNumberFormat="0" applyFill="0" applyBorder="0" applyProtection="0"/>
    <xf numFmtId="0" fontId="4" fillId="27" borderId="0" applyNumberFormat="0" applyBorder="0" applyProtection="0"/>
    <xf numFmtId="0" fontId="5" fillId="26" borderId="0" applyNumberFormat="0" applyBorder="0" applyProtection="0"/>
    <xf numFmtId="0" fontId="6" fillId="0" borderId="0" applyNumberFormat="0" applyFill="0" applyBorder="0" applyProtection="0"/>
    <xf numFmtId="0" fontId="38" fillId="0" borderId="0" applyNumberFormat="0" applyFill="0" applyBorder="0" applyProtection="0"/>
    <xf numFmtId="0" fontId="38" fillId="0" borderId="0" applyNumberFormat="0" applyFill="0" applyBorder="0" applyProtection="0"/>
    <xf numFmtId="0" fontId="5" fillId="0" borderId="0" applyNumberFormat="0" applyFill="0" applyBorder="0" applyProtection="0"/>
    <xf numFmtId="0" fontId="7" fillId="0" borderId="0" applyNumberFormat="0" applyFill="0" applyBorder="0" applyProtection="0"/>
    <xf numFmtId="0" fontId="5" fillId="0" borderId="0" applyNumberFormat="0" applyFill="0" applyBorder="0" applyProtection="0">
      <alignment wrapText="1"/>
    </xf>
    <xf numFmtId="0" fontId="8" fillId="0" borderId="0" applyNumberFormat="0" applyFill="0" applyBorder="0" applyProtection="0"/>
    <xf numFmtId="0" fontId="16" fillId="0" borderId="0"/>
    <xf numFmtId="0" fontId="17" fillId="0" borderId="0"/>
    <xf numFmtId="0" fontId="5" fillId="0" borderId="0">
      <alignment vertical="top"/>
    </xf>
    <xf numFmtId="0" fontId="7" fillId="0" borderId="0"/>
    <xf numFmtId="0" fontId="6" fillId="0" borderId="0">
      <alignment vertical="top"/>
    </xf>
    <xf numFmtId="0" fontId="33" fillId="0" borderId="0" applyNumberFormat="0" applyFill="0" applyBorder="0" applyAlignment="0" applyProtection="0"/>
    <xf numFmtId="0" fontId="3" fillId="0" borderId="0">
      <alignment vertical="top"/>
    </xf>
    <xf numFmtId="0" fontId="5" fillId="0" borderId="0">
      <alignment wrapText="1"/>
    </xf>
    <xf numFmtId="0" fontId="34" fillId="0" borderId="0" applyNumberFormat="0" applyFill="0" applyBorder="0" applyAlignment="0" applyProtection="0"/>
    <xf numFmtId="0" fontId="1" fillId="0" borderId="0"/>
    <xf numFmtId="9" fontId="52" fillId="0" borderId="0" applyFont="0" applyFill="0" applyBorder="0" applyAlignment="0" applyProtection="0"/>
  </cellStyleXfs>
  <cellXfs count="52">
    <xf numFmtId="0" fontId="0" fillId="0" borderId="0" xfId="0"/>
    <xf numFmtId="0" fontId="39" fillId="0" borderId="9" xfId="63" applyFont="1" applyBorder="1"/>
    <xf numFmtId="0" fontId="40" fillId="0" borderId="9" xfId="63" applyFont="1" applyBorder="1" applyAlignment="1">
      <alignment horizontal="center"/>
    </xf>
    <xf numFmtId="0" fontId="39" fillId="0" borderId="9" xfId="63" applyFont="1" applyBorder="1" applyAlignment="1">
      <alignment horizontal="right"/>
    </xf>
    <xf numFmtId="14" fontId="40" fillId="0" borderId="9" xfId="63" applyNumberFormat="1" applyFont="1" applyBorder="1" applyAlignment="1">
      <alignment horizontal="center"/>
    </xf>
    <xf numFmtId="0" fontId="31" fillId="0" borderId="0" xfId="63" applyFont="1"/>
    <xf numFmtId="0" fontId="31" fillId="0" borderId="10" xfId="63" applyFont="1" applyBorder="1"/>
    <xf numFmtId="0" fontId="42" fillId="0" borderId="0" xfId="63" applyFont="1"/>
    <xf numFmtId="166" fontId="39" fillId="0" borderId="0" xfId="63" applyNumberFormat="1" applyFont="1" applyAlignment="1">
      <alignment horizontal="right" wrapText="1"/>
    </xf>
    <xf numFmtId="167" fontId="44" fillId="0" borderId="0" xfId="85" applyNumberFormat="1" applyFont="1" applyAlignment="1">
      <alignment horizontal="right" vertical="top"/>
    </xf>
    <xf numFmtId="164" fontId="44" fillId="0" borderId="0" xfId="74" applyNumberFormat="1" applyFont="1" applyAlignment="1">
      <alignment horizontal="right"/>
    </xf>
    <xf numFmtId="0" fontId="31" fillId="0" borderId="0" xfId="0" applyFont="1" applyAlignment="1">
      <alignment horizontal="right"/>
    </xf>
    <xf numFmtId="0" fontId="45" fillId="28" borderId="0" xfId="69" applyFont="1" applyFill="1" applyBorder="1" applyAlignment="1">
      <alignment vertical="center"/>
    </xf>
    <xf numFmtId="0" fontId="41" fillId="28" borderId="0" xfId="63" applyFont="1" applyFill="1"/>
    <xf numFmtId="0" fontId="43" fillId="0" borderId="11" xfId="63" applyFont="1" applyBorder="1" applyAlignment="1">
      <alignment horizontal="left" wrapText="1"/>
    </xf>
    <xf numFmtId="0" fontId="43" fillId="0" borderId="11" xfId="63" applyFont="1" applyBorder="1" applyAlignment="1">
      <alignment horizontal="right" wrapText="1"/>
    </xf>
    <xf numFmtId="168" fontId="47" fillId="0" borderId="0" xfId="63" applyNumberFormat="1" applyFont="1"/>
    <xf numFmtId="0" fontId="46" fillId="0" borderId="0" xfId="63" applyFont="1" applyAlignment="1">
      <alignment horizontal="center"/>
    </xf>
    <xf numFmtId="0" fontId="48" fillId="0" borderId="0" xfId="63" applyFont="1"/>
    <xf numFmtId="0" fontId="2" fillId="0" borderId="0" xfId="0" applyFont="1"/>
    <xf numFmtId="0" fontId="49" fillId="29" borderId="0" xfId="0" applyFont="1" applyFill="1"/>
    <xf numFmtId="0" fontId="31" fillId="0" borderId="12" xfId="63" applyFont="1" applyBorder="1"/>
    <xf numFmtId="0" fontId="31" fillId="0" borderId="13" xfId="63" applyFont="1" applyBorder="1"/>
    <xf numFmtId="0" fontId="50" fillId="30" borderId="0" xfId="90" applyFont="1" applyFill="1"/>
    <xf numFmtId="0" fontId="2" fillId="31" borderId="0" xfId="0" applyFont="1" applyFill="1"/>
    <xf numFmtId="0" fontId="51" fillId="0" borderId="0" xfId="0" applyFont="1"/>
    <xf numFmtId="0" fontId="51" fillId="0" borderId="0" xfId="63" applyFont="1"/>
    <xf numFmtId="0" fontId="6" fillId="0" borderId="0" xfId="85" applyAlignment="1">
      <alignment horizontal="left" vertical="top" wrapText="1"/>
    </xf>
    <xf numFmtId="0" fontId="53" fillId="0" borderId="10" xfId="63" applyFont="1" applyBorder="1"/>
    <xf numFmtId="0" fontId="53" fillId="0" borderId="0" xfId="63" applyFont="1"/>
    <xf numFmtId="0" fontId="2" fillId="0" borderId="0" xfId="63" applyFont="1"/>
    <xf numFmtId="0" fontId="43" fillId="0" borderId="0" xfId="63" applyFont="1" applyAlignment="1">
      <alignment horizontal="left" vertical="center" wrapText="1"/>
    </xf>
    <xf numFmtId="14" fontId="54" fillId="0" borderId="0" xfId="85" applyNumberFormat="1" applyFont="1" applyAlignment="1">
      <alignment horizontal="left" vertical="top"/>
    </xf>
    <xf numFmtId="0" fontId="43" fillId="0" borderId="11" xfId="63" applyFont="1" applyBorder="1" applyAlignment="1">
      <alignment horizontal="center" vertical="center" wrapText="1"/>
    </xf>
    <xf numFmtId="14" fontId="31" fillId="0" borderId="0" xfId="63" applyNumberFormat="1" applyFont="1"/>
    <xf numFmtId="169" fontId="31" fillId="0" borderId="0" xfId="63" applyNumberFormat="1" applyFont="1"/>
    <xf numFmtId="165" fontId="31" fillId="0" borderId="0" xfId="91" applyNumberFormat="1" applyFont="1"/>
    <xf numFmtId="0" fontId="31" fillId="0" borderId="11" xfId="63" applyFont="1" applyBorder="1"/>
    <xf numFmtId="0" fontId="6" fillId="31" borderId="0" xfId="85" applyFill="1" applyAlignment="1">
      <alignment horizontal="left" vertical="top" wrapText="1"/>
    </xf>
    <xf numFmtId="0" fontId="31" fillId="31" borderId="0" xfId="63" applyFont="1" applyFill="1"/>
    <xf numFmtId="14" fontId="54" fillId="31" borderId="0" xfId="85" applyNumberFormat="1" applyFont="1" applyFill="1" applyAlignment="1">
      <alignment horizontal="left" vertical="top"/>
    </xf>
    <xf numFmtId="0" fontId="43" fillId="0" borderId="12" xfId="63" applyFont="1" applyBorder="1" applyAlignment="1">
      <alignment horizontal="center" vertical="center" wrapText="1"/>
    </xf>
    <xf numFmtId="0" fontId="39" fillId="0" borderId="12" xfId="63" applyFont="1" applyBorder="1" applyAlignment="1">
      <alignment horizontal="center" vertical="center"/>
    </xf>
    <xf numFmtId="0" fontId="43" fillId="0" borderId="12" xfId="63" applyFont="1" applyBorder="1" applyAlignment="1">
      <alignment horizontal="left" vertical="center" wrapText="1"/>
    </xf>
    <xf numFmtId="0" fontId="6" fillId="0" borderId="0" xfId="85" applyAlignment="1">
      <alignment horizontal="center" vertical="top" wrapText="1"/>
    </xf>
    <xf numFmtId="49" fontId="9" fillId="0" borderId="0" xfId="0" applyNumberFormat="1" applyFont="1" applyAlignment="1">
      <alignment horizontal="center" vertical="top"/>
    </xf>
    <xf numFmtId="170" fontId="9" fillId="0" borderId="0" xfId="0" applyNumberFormat="1" applyFont="1" applyAlignment="1">
      <alignment horizontal="center" vertical="top" wrapText="1"/>
    </xf>
    <xf numFmtId="171" fontId="9" fillId="0" borderId="0" xfId="0" applyNumberFormat="1" applyFont="1" applyAlignment="1">
      <alignment horizontal="center" vertical="top" wrapText="1"/>
    </xf>
    <xf numFmtId="0" fontId="39" fillId="0" borderId="0" xfId="63" applyFont="1"/>
    <xf numFmtId="49" fontId="55" fillId="0" borderId="0" xfId="85" applyNumberFormat="1" applyFont="1" applyAlignment="1">
      <alignment horizontal="left" vertical="top" wrapText="1"/>
    </xf>
    <xf numFmtId="49" fontId="56" fillId="0" borderId="0" xfId="0" applyNumberFormat="1" applyFont="1" applyAlignment="1">
      <alignment horizontal="left" vertical="top"/>
    </xf>
    <xf numFmtId="2" fontId="31" fillId="0" borderId="0" xfId="63" applyNumberFormat="1" applyFont="1"/>
  </cellXfs>
  <cellStyles count="9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1 - 20%" xfId="20" xr:uid="{00000000-0005-0000-0000-000013000000}"/>
    <cellStyle name="Accent1 - 40%" xfId="21" xr:uid="{00000000-0005-0000-0000-000014000000}"/>
    <cellStyle name="Accent1 - 60%" xfId="22" xr:uid="{00000000-0005-0000-0000-000015000000}"/>
    <cellStyle name="Accent2" xfId="23" builtinId="33" customBuiltin="1"/>
    <cellStyle name="Accent2 - 20%" xfId="24" xr:uid="{00000000-0005-0000-0000-000017000000}"/>
    <cellStyle name="Accent2 - 40%" xfId="25" xr:uid="{00000000-0005-0000-0000-000018000000}"/>
    <cellStyle name="Accent2 - 60%" xfId="26" xr:uid="{00000000-0005-0000-0000-000019000000}"/>
    <cellStyle name="Accent3" xfId="27" builtinId="37" customBuiltin="1"/>
    <cellStyle name="Accent3 - 20%" xfId="28" xr:uid="{00000000-0005-0000-0000-00001B000000}"/>
    <cellStyle name="Accent3 - 40%" xfId="29" xr:uid="{00000000-0005-0000-0000-00001C000000}"/>
    <cellStyle name="Accent3 - 60%" xfId="30" xr:uid="{00000000-0005-0000-0000-00001D000000}"/>
    <cellStyle name="Accent4" xfId="31" builtinId="41" customBuiltin="1"/>
    <cellStyle name="Accent4 - 20%" xfId="32" xr:uid="{00000000-0005-0000-0000-00001F000000}"/>
    <cellStyle name="Accent4 - 40%" xfId="33" xr:uid="{00000000-0005-0000-0000-000020000000}"/>
    <cellStyle name="Accent4 - 60%" xfId="34" xr:uid="{00000000-0005-0000-0000-000021000000}"/>
    <cellStyle name="Accent5" xfId="35" builtinId="45" customBuiltin="1"/>
    <cellStyle name="Accent5 - 20%" xfId="36" xr:uid="{00000000-0005-0000-0000-000023000000}"/>
    <cellStyle name="Accent5 - 40%" xfId="37" xr:uid="{00000000-0005-0000-0000-000024000000}"/>
    <cellStyle name="Accent5 - 60%" xfId="38" xr:uid="{00000000-0005-0000-0000-000025000000}"/>
    <cellStyle name="Accent6" xfId="39" builtinId="49" customBuiltin="1"/>
    <cellStyle name="Accent6 - 20%" xfId="40" xr:uid="{00000000-0005-0000-0000-000027000000}"/>
    <cellStyle name="Accent6 - 40%" xfId="41" xr:uid="{00000000-0005-0000-0000-000028000000}"/>
    <cellStyle name="Accent6 - 60%" xfId="42" xr:uid="{00000000-0005-0000-0000-000029000000}"/>
    <cellStyle name="Bad" xfId="43" builtinId="27" customBuiltin="1"/>
    <cellStyle name="Calculation" xfId="44" builtinId="22" customBuiltin="1"/>
    <cellStyle name="ChartingText" xfId="45" xr:uid="{00000000-0005-0000-0000-00002C000000}"/>
    <cellStyle name="Check Cell" xfId="46" builtinId="23" customBuiltin="1"/>
    <cellStyle name="ColumnHeaderNormal" xfId="47" xr:uid="{00000000-0005-0000-0000-00002E000000}"/>
    <cellStyle name="Explanatory Text" xfId="48" builtinId="53" customBuiltin="1"/>
    <cellStyle name="Good" xfId="49" builtinId="26" customBuiltin="1"/>
    <cellStyle name="Heading 1" xfId="50" builtinId="16" customBuiltin="1"/>
    <cellStyle name="Heading 2" xfId="51" builtinId="17" customBuiltin="1"/>
    <cellStyle name="Heading 3" xfId="52" builtinId="18" customBuiltin="1"/>
    <cellStyle name="Heading 4" xfId="53" builtinId="19" customBuiltin="1"/>
    <cellStyle name="Input" xfId="54" builtinId="20" customBuiltin="1"/>
    <cellStyle name="Invisible" xfId="55" xr:uid="{00000000-0005-0000-0000-000037000000}"/>
    <cellStyle name="Linked Cell" xfId="56" builtinId="24" customBuiltin="1"/>
    <cellStyle name="Neutral" xfId="57" builtinId="28" customBuiltin="1"/>
    <cellStyle name="NewColumnHeaderNormal" xfId="58" xr:uid="{00000000-0005-0000-0000-00003A000000}"/>
    <cellStyle name="NewSectionHeaderNormal" xfId="59" xr:uid="{00000000-0005-0000-0000-00003B000000}"/>
    <cellStyle name="NewTitleNormal" xfId="60" xr:uid="{00000000-0005-0000-0000-00003C000000}"/>
    <cellStyle name="Normal" xfId="0" builtinId="0"/>
    <cellStyle name="Normal 2" xfId="61" xr:uid="{00000000-0005-0000-0000-00003E000000}"/>
    <cellStyle name="Normal 3" xfId="62" xr:uid="{00000000-0005-0000-0000-00003F000000}"/>
    <cellStyle name="Normal 4" xfId="90" xr:uid="{E5FDCC50-F34B-4709-BBC8-35EE66692202}"/>
    <cellStyle name="Normal_CapitalIQ_Template - CIQ" xfId="63" xr:uid="{00000000-0005-0000-0000-000040000000}"/>
    <cellStyle name="Note" xfId="64" builtinId="10" customBuiltin="1"/>
    <cellStyle name="Output" xfId="65" builtinId="21" customBuiltin="1"/>
    <cellStyle name="Per cent" xfId="91" builtinId="5"/>
    <cellStyle name="SectionHeaderNormal" xfId="66" xr:uid="{00000000-0005-0000-0000-000046000000}"/>
    <cellStyle name="Sheet Title" xfId="67" xr:uid="{00000000-0005-0000-0000-000047000000}"/>
    <cellStyle name="Style 1" xfId="68" xr:uid="{00000000-0005-0000-0000-000048000000}"/>
    <cellStyle name="Style 21" xfId="69" xr:uid="{00000000-0005-0000-0000-000049000000}"/>
    <cellStyle name="Style 21 2" xfId="70" xr:uid="{00000000-0005-0000-0000-00004A000000}"/>
    <cellStyle name="Style 21_copy" xfId="71" xr:uid="{00000000-0005-0000-0000-00004B000000}"/>
    <cellStyle name="Style 22" xfId="72" xr:uid="{00000000-0005-0000-0000-00004C000000}"/>
    <cellStyle name="Style 23" xfId="73" xr:uid="{00000000-0005-0000-0000-00004D000000}"/>
    <cellStyle name="Style 24" xfId="74" xr:uid="{00000000-0005-0000-0000-00004E000000}"/>
    <cellStyle name="Style 24 2" xfId="75" xr:uid="{00000000-0005-0000-0000-00004F000000}"/>
    <cellStyle name="Style 24_copy" xfId="76" xr:uid="{00000000-0005-0000-0000-000050000000}"/>
    <cellStyle name="Style 25" xfId="77" xr:uid="{00000000-0005-0000-0000-000051000000}"/>
    <cellStyle name="Style 26" xfId="78" xr:uid="{00000000-0005-0000-0000-000052000000}"/>
    <cellStyle name="Style 27" xfId="79" xr:uid="{00000000-0005-0000-0000-000053000000}"/>
    <cellStyle name="Style 28" xfId="80" xr:uid="{00000000-0005-0000-0000-000054000000}"/>
    <cellStyle name="SubScript" xfId="81" xr:uid="{00000000-0005-0000-0000-000055000000}"/>
    <cellStyle name="SuperScript" xfId="82" xr:uid="{00000000-0005-0000-0000-000056000000}"/>
    <cellStyle name="TextBold" xfId="83" xr:uid="{00000000-0005-0000-0000-000057000000}"/>
    <cellStyle name="TextItalic" xfId="84" xr:uid="{00000000-0005-0000-0000-000058000000}"/>
    <cellStyle name="TextNormal" xfId="85" xr:uid="{00000000-0005-0000-0000-000059000000}"/>
    <cellStyle name="Title" xfId="86" builtinId="15" customBuiltin="1"/>
    <cellStyle name="TitleNormal" xfId="87" xr:uid="{00000000-0005-0000-0000-00005B000000}"/>
    <cellStyle name="Total" xfId="88" builtinId="25" customBuiltin="1"/>
    <cellStyle name="Warning Text" xfId="89"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FFE26D"/>
      <rgbColor rgb="000000FF"/>
      <rgbColor rgb="00009EA6"/>
      <rgbColor rgb="00DFB793"/>
      <rgbColor rgb="001E3086"/>
      <rgbColor rgb="00800000"/>
      <rgbColor rgb="00008000"/>
      <rgbColor rgb="00000080"/>
      <rgbColor rgb="00808000"/>
      <rgbColor rgb="00800080"/>
      <rgbColor rgb="00008080"/>
      <rgbColor rgb="00FFE26D"/>
      <rgbColor rgb="00808080"/>
      <rgbColor rgb="00000000"/>
      <rgbColor rgb="00E3173E"/>
      <rgbColor rgb="0000645A"/>
      <rgbColor rgb="0000B4AF"/>
      <rgbColor rgb="0078E1DC"/>
      <rgbColor rgb="0058595B"/>
      <rgbColor rgb="00FFFFFF"/>
      <rgbColor rgb="00666699"/>
      <rgbColor rgb="00000000"/>
      <rgbColor rgb="00E3173E"/>
      <rgbColor rgb="0000645A"/>
      <rgbColor rgb="0000B4AF"/>
      <rgbColor rgb="0078E1DC"/>
      <rgbColor rgb="0058595B"/>
      <rgbColor rgb="00FFFFFF"/>
      <rgbColor rgb="00666699"/>
      <rgbColor rgb="00E1E1E1"/>
      <rgbColor rgb="000059C2"/>
      <rgbColor rgb="00A5BF88"/>
      <rgbColor rgb="00DCDCFF"/>
      <rgbColor rgb="00E41F1F"/>
      <rgbColor rgb="00FF0000"/>
      <rgbColor rgb="0073868B"/>
      <rgbColor rgb="00969696"/>
      <rgbColor rgb="003366FF"/>
      <rgbColor rgb="0033CCCC"/>
      <rgbColor rgb="0099CC00"/>
      <rgbColor rgb="00008C03"/>
      <rgbColor rgb="00FF9900"/>
      <rgbColor rgb="00FF6600"/>
      <rgbColor rgb="00666699"/>
      <rgbColor rgb="00969696"/>
      <rgbColor rgb="00003366"/>
      <rgbColor rgb="00339966"/>
      <rgbColor rgb="00003300"/>
      <rgbColor rgb="00333300"/>
      <rgbColor rgb="00993300"/>
      <rgbColor rgb="003264AF"/>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externalLink" Target="externalLinks/externalLink1.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Drop" dropStyle="combo" dx="26" fmlaLink="'Language Index'!$A$5" fmlaRange="Languages" noThreeD="1" sel="1" val="0"/>
</file>

<file path=xl/ctrlProps/ctrlProp2.xml><?xml version="1.0" encoding="utf-8"?>
<formControlPr xmlns="http://schemas.microsoft.com/office/spreadsheetml/2009/9/main" objectType="Drop" dropStyle="combo" dx="26" fmlaLink="$AI$1" fmlaRange="$AJ$1:$AJ$2"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152400</xdr:colOff>
      <xdr:row>2</xdr:row>
      <xdr:rowOff>28575</xdr:rowOff>
    </xdr:from>
    <xdr:to>
      <xdr:col>13</xdr:col>
      <xdr:colOff>1067921</xdr:colOff>
      <xdr:row>3</xdr:row>
      <xdr:rowOff>0</xdr:rowOff>
    </xdr:to>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96450" y="219075"/>
          <a:ext cx="915521"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0</xdr:colOff>
          <xdr:row>0</xdr:row>
          <xdr:rowOff>0</xdr:rowOff>
        </xdr:from>
        <xdr:to>
          <xdr:col>16</xdr:col>
          <xdr:colOff>357188</xdr:colOff>
          <xdr:row>1</xdr:row>
          <xdr:rowOff>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13</xdr:col>
          <xdr:colOff>9525</xdr:colOff>
          <xdr:row>1</xdr:row>
          <xdr:rowOff>0</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itanya_vemuluri\OneDrive%20-%20S&amp;P%20Global\Desktop\BTIG,%20LLC%20-%2007559889%20-%20Crossholdings%20100%20Companies%20-%20CIQ.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Bureau\test-%20Standard%20-%20Copie%20-%20Copie%20(2).xlsm" TargetMode="External"/><Relationship Id="rId1" Type="http://schemas.openxmlformats.org/officeDocument/2006/relationships/externalLinkPath" Target="/Bureau/test-%20Standard%20-%20Copie%20-%20Copie%20(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haitanya_vemuluri\AppData\Local\Microsoft\Windows\INetCache\Content.Outlook\FUN8V3YM\BlackRock%20Inc.%20-%2009857282%20-%20AWK%20tear%20sheet%20page1%20-%20CIQ%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rossholdings"/>
      <sheetName val="US Map"/>
      <sheetName val="World Map"/>
      <sheetName val="Canada Map"/>
      <sheetName val="Passive Investors"/>
      <sheetName val="Activist Investors"/>
      <sheetName val="US Map Data Table"/>
      <sheetName val="World Map Data Table"/>
      <sheetName val="Sheet1"/>
      <sheetName val="Canada Map Data Table"/>
    </sheetNames>
    <sheetDataSet>
      <sheetData sheetId="0">
        <row r="18">
          <cell r="MH18" t="str">
            <v>IQ403413</v>
          </cell>
        </row>
        <row r="19">
          <cell r="MH19" t="str">
            <v>IQ417222</v>
          </cell>
        </row>
        <row r="20">
          <cell r="MH20" t="str">
            <v>IQ27082288</v>
          </cell>
        </row>
        <row r="21">
          <cell r="MH21" t="str">
            <v>IQ27081864</v>
          </cell>
        </row>
        <row r="22">
          <cell r="MH22" t="str">
            <v>IQ5463655</v>
          </cell>
        </row>
        <row r="23">
          <cell r="MH23" t="str">
            <v>IQ823170</v>
          </cell>
        </row>
        <row r="24">
          <cell r="MH24" t="str">
            <v>IQ11940612</v>
          </cell>
        </row>
        <row r="25">
          <cell r="MH25" t="str">
            <v>IQ109783</v>
          </cell>
        </row>
        <row r="26">
          <cell r="MH26" t="str">
            <v>IQ384779</v>
          </cell>
        </row>
        <row r="27">
          <cell r="MH27" t="str">
            <v>IQ28703</v>
          </cell>
        </row>
        <row r="28">
          <cell r="MH28" t="str">
            <v>IQ6489375</v>
          </cell>
        </row>
        <row r="29">
          <cell r="MH29" t="str">
            <v>IQ3071217</v>
          </cell>
        </row>
        <row r="30">
          <cell r="MH30" t="str">
            <v>IQ4806696</v>
          </cell>
        </row>
        <row r="31">
          <cell r="MH31" t="str">
            <v>IQ26814459</v>
          </cell>
        </row>
        <row r="32">
          <cell r="MH32" t="str">
            <v>IQ35159421</v>
          </cell>
        </row>
        <row r="33">
          <cell r="MH33" t="str">
            <v>IQ12221461</v>
          </cell>
        </row>
        <row r="34">
          <cell r="MH34" t="str">
            <v>IQ868792</v>
          </cell>
        </row>
        <row r="35">
          <cell r="MH35" t="str">
            <v>IQ23459118</v>
          </cell>
        </row>
        <row r="36">
          <cell r="MH36" t="str">
            <v>IQ23217</v>
          </cell>
        </row>
        <row r="37">
          <cell r="MH37" t="str">
            <v>IQ5557540</v>
          </cell>
        </row>
        <row r="38">
          <cell r="MH38" t="str">
            <v>IQ383724</v>
          </cell>
        </row>
        <row r="39">
          <cell r="MH39" t="str">
            <v>IQ60503615</v>
          </cell>
        </row>
        <row r="40">
          <cell r="MH40" t="str">
            <v>IQ5114011</v>
          </cell>
        </row>
        <row r="41">
          <cell r="MH41" t="str">
            <v>IQ51450685</v>
          </cell>
        </row>
        <row r="42">
          <cell r="MH42" t="str">
            <v>IQ3182643</v>
          </cell>
        </row>
        <row r="43">
          <cell r="MH43" t="str">
            <v>IQ4629637</v>
          </cell>
        </row>
        <row r="44">
          <cell r="MH44" t="str">
            <v>IQ21922514</v>
          </cell>
        </row>
        <row r="45">
          <cell r="MH45" t="str">
            <v>IQ4792614</v>
          </cell>
        </row>
        <row r="46">
          <cell r="MH46" t="str">
            <v>IQ246790716</v>
          </cell>
        </row>
        <row r="47">
          <cell r="MH47" t="str">
            <v>IQ59268448</v>
          </cell>
        </row>
        <row r="48">
          <cell r="MH48" t="str">
            <v>IQ4716937</v>
          </cell>
        </row>
        <row r="49">
          <cell r="MH49" t="str">
            <v>IQ35483504</v>
          </cell>
        </row>
        <row r="50">
          <cell r="MH50" t="str">
            <v>IQ31211063</v>
          </cell>
        </row>
        <row r="51">
          <cell r="MH51" t="str">
            <v>IQ224620639</v>
          </cell>
        </row>
        <row r="52">
          <cell r="MH52" t="str">
            <v>IQ246264899</v>
          </cell>
        </row>
        <row r="53">
          <cell r="MH53" t="str">
            <v>IQ974641</v>
          </cell>
        </row>
        <row r="54">
          <cell r="MH54" t="str">
            <v>IQ41542881</v>
          </cell>
        </row>
        <row r="55">
          <cell r="MH55" t="str">
            <v>IQ28827734</v>
          </cell>
        </row>
        <row r="56">
          <cell r="MH56" t="str">
            <v>IQ3599336</v>
          </cell>
        </row>
        <row r="57">
          <cell r="MH57" t="str">
            <v>IQ22051323</v>
          </cell>
        </row>
        <row r="58">
          <cell r="MH58" t="str">
            <v>IQ5074057</v>
          </cell>
        </row>
        <row r="59">
          <cell r="MH59" t="str">
            <v>IQ12723484</v>
          </cell>
        </row>
        <row r="60">
          <cell r="MH60" t="str">
            <v>IQ410077483</v>
          </cell>
        </row>
        <row r="61">
          <cell r="MH61" t="str">
            <v>IQ130906210</v>
          </cell>
        </row>
        <row r="62">
          <cell r="MH62" t="str">
            <v>IQ3796741</v>
          </cell>
        </row>
        <row r="63">
          <cell r="MH63" t="str">
            <v>IQ10517918</v>
          </cell>
        </row>
        <row r="64">
          <cell r="MH64" t="str">
            <v>IQ868981</v>
          </cell>
        </row>
        <row r="65">
          <cell r="MH65" t="str">
            <v>IQ41575952</v>
          </cell>
        </row>
        <row r="66">
          <cell r="MH66" t="str">
            <v>IQ115619927</v>
          </cell>
        </row>
        <row r="67">
          <cell r="MH67" t="str">
            <v>IQ4841023</v>
          </cell>
        </row>
        <row r="68">
          <cell r="MH68" t="str">
            <v>IQ7375303</v>
          </cell>
        </row>
        <row r="69">
          <cell r="MH69" t="str">
            <v>IQ796830</v>
          </cell>
        </row>
        <row r="70">
          <cell r="MH70" t="str">
            <v>IQ54161727</v>
          </cell>
        </row>
        <row r="71">
          <cell r="MH71" t="str">
            <v>IQ4263202</v>
          </cell>
        </row>
        <row r="72">
          <cell r="MH72" t="str">
            <v>IQ5068102</v>
          </cell>
        </row>
        <row r="73">
          <cell r="MH73" t="str">
            <v>IQ246748</v>
          </cell>
        </row>
        <row r="74">
          <cell r="MH74" t="str">
            <v>IQ20702899</v>
          </cell>
        </row>
        <row r="75">
          <cell r="MH75" t="str">
            <v>IQ5455123</v>
          </cell>
        </row>
        <row r="76">
          <cell r="MH76" t="str">
            <v>IQ11064858</v>
          </cell>
        </row>
        <row r="77">
          <cell r="MH77" t="str">
            <v>IQ244015999</v>
          </cell>
        </row>
        <row r="78">
          <cell r="MH78" t="str">
            <v>IQ5115097</v>
          </cell>
        </row>
        <row r="79">
          <cell r="MH79" t="str">
            <v>IQ45275521</v>
          </cell>
        </row>
        <row r="80">
          <cell r="MH80" t="str">
            <v>IQ5092810</v>
          </cell>
        </row>
        <row r="81">
          <cell r="MH81" t="str">
            <v>IQ26880665</v>
          </cell>
        </row>
        <row r="82">
          <cell r="MH82" t="str">
            <v>IQ37412913</v>
          </cell>
        </row>
        <row r="83">
          <cell r="MH83" t="str">
            <v>IQ27127463</v>
          </cell>
        </row>
        <row r="84">
          <cell r="MH84" t="str">
            <v>IQ1925133</v>
          </cell>
        </row>
        <row r="85">
          <cell r="MH85" t="str">
            <v>IQ27334696</v>
          </cell>
        </row>
        <row r="86">
          <cell r="MH86" t="str">
            <v>IQ2863661</v>
          </cell>
        </row>
        <row r="87">
          <cell r="MH87" t="str">
            <v>IQ6771322</v>
          </cell>
        </row>
        <row r="88">
          <cell r="MH88" t="str">
            <v>IQ279974139</v>
          </cell>
        </row>
        <row r="89">
          <cell r="MH89" t="str">
            <v>IQ4055757</v>
          </cell>
        </row>
        <row r="90">
          <cell r="MH90" t="str">
            <v>IQ190721656</v>
          </cell>
        </row>
        <row r="91">
          <cell r="MH91" t="str">
            <v>IQ4842493</v>
          </cell>
        </row>
        <row r="92">
          <cell r="MH92" t="str">
            <v>IQ161245</v>
          </cell>
        </row>
        <row r="93">
          <cell r="MH93" t="str">
            <v>IQ558969328</v>
          </cell>
        </row>
        <row r="94">
          <cell r="MH94" t="str">
            <v>IQ27163881</v>
          </cell>
        </row>
        <row r="95">
          <cell r="MH95" t="str">
            <v>IQ22816451</v>
          </cell>
        </row>
        <row r="96">
          <cell r="MH96" t="str">
            <v>IQ100173</v>
          </cell>
        </row>
        <row r="97">
          <cell r="MH97" t="str">
            <v>IQ5407888</v>
          </cell>
        </row>
        <row r="98">
          <cell r="MH98" t="str">
            <v>IQ45276676</v>
          </cell>
        </row>
        <row r="99">
          <cell r="MH99" t="str">
            <v>IQ301433</v>
          </cell>
        </row>
        <row r="100">
          <cell r="MH100" t="str">
            <v>IQ103273</v>
          </cell>
        </row>
        <row r="101">
          <cell r="MH101" t="str">
            <v>IQ39926400</v>
          </cell>
        </row>
        <row r="102">
          <cell r="MH102" t="str">
            <v>IQ5449290</v>
          </cell>
        </row>
        <row r="103">
          <cell r="MH103" t="str">
            <v>IQ24390297</v>
          </cell>
        </row>
        <row r="104">
          <cell r="MH104" t="str">
            <v>IQ40208978</v>
          </cell>
        </row>
        <row r="105">
          <cell r="MH105" t="str">
            <v>IQ39100647</v>
          </cell>
        </row>
        <row r="106">
          <cell r="MH106" t="str">
            <v>IQ997536</v>
          </cell>
        </row>
        <row r="107">
          <cell r="MH107" t="str">
            <v>IQ3675416</v>
          </cell>
        </row>
        <row r="108">
          <cell r="MH108" t="str">
            <v>IQ54496609</v>
          </cell>
        </row>
        <row r="109">
          <cell r="MH109" t="str">
            <v>IQ6890397</v>
          </cell>
        </row>
        <row r="110">
          <cell r="MH110" t="str">
            <v>IQ134268671</v>
          </cell>
        </row>
        <row r="111">
          <cell r="MH111" t="str">
            <v>IQ24886433</v>
          </cell>
        </row>
        <row r="112">
          <cell r="MH112" t="str">
            <v>IQ36727940</v>
          </cell>
        </row>
        <row r="113">
          <cell r="MH113" t="str">
            <v>IQ281839702</v>
          </cell>
        </row>
        <row r="114">
          <cell r="MH114" t="str">
            <v>IQ688730</v>
          </cell>
        </row>
        <row r="115">
          <cell r="MH115" t="str">
            <v>IQ20726731</v>
          </cell>
        </row>
        <row r="116">
          <cell r="MH116" t="str">
            <v>IQ3754870</v>
          </cell>
        </row>
        <row r="117">
          <cell r="MH117" t="str">
            <v>IQ222921084</v>
          </cell>
        </row>
        <row r="118">
          <cell r="MH118" t="str">
            <v>IQ280208182</v>
          </cell>
        </row>
        <row r="119">
          <cell r="MH119" t="str">
            <v>IQ54921087</v>
          </cell>
        </row>
        <row r="120">
          <cell r="MH120" t="str">
            <v>IQ10079204</v>
          </cell>
        </row>
        <row r="121">
          <cell r="MH121" t="str">
            <v>IQ3546822</v>
          </cell>
        </row>
        <row r="122">
          <cell r="MH122" t="str">
            <v>IQ4563481</v>
          </cell>
        </row>
        <row r="123">
          <cell r="MH123" t="str">
            <v>IQ41694342</v>
          </cell>
        </row>
        <row r="124">
          <cell r="MH124" t="str">
            <v>IQ41352882</v>
          </cell>
        </row>
        <row r="125">
          <cell r="MH125" t="str">
            <v>IQ54068325</v>
          </cell>
        </row>
        <row r="126">
          <cell r="MH126" t="str">
            <v>IQ28606822</v>
          </cell>
        </row>
        <row r="127">
          <cell r="MH127" t="str">
            <v>IQ239425622</v>
          </cell>
        </row>
        <row r="128">
          <cell r="MH128" t="str">
            <v>IQ27144534</v>
          </cell>
        </row>
        <row r="129">
          <cell r="MH129" t="str">
            <v>IQ946225</v>
          </cell>
        </row>
        <row r="130">
          <cell r="MH130" t="str">
            <v>IQ4761282</v>
          </cell>
        </row>
        <row r="131">
          <cell r="MH131" t="str">
            <v>IQ4471925</v>
          </cell>
        </row>
        <row r="132">
          <cell r="MH132" t="str">
            <v>IQ33740719</v>
          </cell>
        </row>
        <row r="133">
          <cell r="MH133" t="str">
            <v>IQ2410680</v>
          </cell>
        </row>
        <row r="134">
          <cell r="MH134" t="str">
            <v>IQ37463059</v>
          </cell>
        </row>
        <row r="135">
          <cell r="MH135" t="str">
            <v>IQ600282810</v>
          </cell>
        </row>
        <row r="136">
          <cell r="MH136" t="str">
            <v>IQ29463671</v>
          </cell>
        </row>
        <row r="137">
          <cell r="MH137" t="str">
            <v>IQ302550702</v>
          </cell>
        </row>
        <row r="138">
          <cell r="MH138" t="str">
            <v>IQ45114322</v>
          </cell>
        </row>
        <row r="139">
          <cell r="MH139" t="str">
            <v>IQ22571957</v>
          </cell>
        </row>
        <row r="140">
          <cell r="MH140" t="str">
            <v>IQ43250761</v>
          </cell>
        </row>
        <row r="141">
          <cell r="MH141" t="str">
            <v>IQ922073</v>
          </cell>
        </row>
        <row r="142">
          <cell r="MH142" t="str">
            <v>IQ30661295</v>
          </cell>
        </row>
        <row r="143">
          <cell r="MH143" t="str">
            <v>IQ3553842</v>
          </cell>
        </row>
        <row r="144">
          <cell r="MH144" t="str">
            <v>IQ39458570</v>
          </cell>
        </row>
        <row r="145">
          <cell r="MH145" t="str">
            <v>IQ7828132</v>
          </cell>
        </row>
        <row r="146">
          <cell r="MH146" t="str">
            <v>IQ45511281</v>
          </cell>
        </row>
        <row r="147">
          <cell r="MH147" t="str">
            <v>IQ5710256</v>
          </cell>
        </row>
        <row r="148">
          <cell r="MH148" t="str">
            <v>IQ403726742</v>
          </cell>
        </row>
        <row r="149">
          <cell r="MH149" t="str">
            <v>IQ27130385</v>
          </cell>
        </row>
        <row r="150">
          <cell r="MH150" t="str">
            <v>IQ26919977</v>
          </cell>
        </row>
        <row r="151">
          <cell r="MH151" t="str">
            <v>IQ27351748</v>
          </cell>
        </row>
        <row r="152">
          <cell r="MH152" t="str">
            <v>IQ5510533</v>
          </cell>
        </row>
        <row r="153">
          <cell r="MH153" t="str">
            <v>IQ44789056</v>
          </cell>
        </row>
        <row r="154">
          <cell r="MH154" t="str">
            <v>IQ24211190</v>
          </cell>
        </row>
        <row r="155">
          <cell r="MH155" t="str">
            <v>IQ821034</v>
          </cell>
        </row>
        <row r="156">
          <cell r="MH156" t="str">
            <v>IQ30444996</v>
          </cell>
        </row>
        <row r="157">
          <cell r="MH157" t="str">
            <v>IQ5103366</v>
          </cell>
        </row>
        <row r="158">
          <cell r="MH158" t="str">
            <v>IQ857939</v>
          </cell>
        </row>
        <row r="159">
          <cell r="MH159" t="str">
            <v>IQ27081729</v>
          </cell>
        </row>
        <row r="160">
          <cell r="MH160" t="str">
            <v>IQ353020</v>
          </cell>
        </row>
        <row r="161">
          <cell r="MH161" t="str">
            <v>IQ45324448</v>
          </cell>
        </row>
        <row r="162">
          <cell r="MH162" t="str">
            <v>IQ7770946</v>
          </cell>
        </row>
        <row r="163">
          <cell r="MH163" t="str">
            <v>IQ45255664</v>
          </cell>
        </row>
        <row r="164">
          <cell r="MH164" t="str">
            <v>IQ290736226</v>
          </cell>
        </row>
        <row r="165">
          <cell r="MH165" t="str">
            <v>IQ26895923</v>
          </cell>
        </row>
        <row r="166">
          <cell r="MH166" t="str">
            <v>IQ858704</v>
          </cell>
        </row>
        <row r="167">
          <cell r="MH167" t="str">
            <v>IQ3537281</v>
          </cell>
        </row>
        <row r="168">
          <cell r="MH168" t="str">
            <v>IQ4849237</v>
          </cell>
        </row>
        <row r="169">
          <cell r="MH169" t="str">
            <v>IQ27461213</v>
          </cell>
        </row>
        <row r="170">
          <cell r="MH170" t="str">
            <v>IQ41697274</v>
          </cell>
        </row>
        <row r="171">
          <cell r="MH171" t="str">
            <v>IQ4278873</v>
          </cell>
        </row>
        <row r="172">
          <cell r="MH172" t="str">
            <v>IQ27770013</v>
          </cell>
        </row>
        <row r="173">
          <cell r="MH173" t="str">
            <v>IQ22449449</v>
          </cell>
        </row>
        <row r="174">
          <cell r="MH174" t="str">
            <v>IQ27310823</v>
          </cell>
        </row>
        <row r="175">
          <cell r="MH175" t="str">
            <v>IQ4841290</v>
          </cell>
        </row>
        <row r="176">
          <cell r="MH176" t="str">
            <v>IQ822031</v>
          </cell>
        </row>
        <row r="177">
          <cell r="MH177" t="str">
            <v>IQ240412551</v>
          </cell>
        </row>
        <row r="178">
          <cell r="MH178" t="str">
            <v>IQ35159454</v>
          </cell>
        </row>
        <row r="179">
          <cell r="MH179" t="str">
            <v>IQ26555836</v>
          </cell>
        </row>
        <row r="180">
          <cell r="MH180" t="str">
            <v>IQ126742</v>
          </cell>
        </row>
        <row r="181">
          <cell r="MH181" t="str">
            <v>IQ39441551</v>
          </cell>
        </row>
        <row r="182">
          <cell r="MH182" t="str">
            <v>IQ43850410</v>
          </cell>
        </row>
        <row r="183">
          <cell r="MH183" t="str">
            <v>IQ22797693</v>
          </cell>
        </row>
        <row r="184">
          <cell r="MH184" t="str">
            <v>IQ11941870</v>
          </cell>
        </row>
        <row r="185">
          <cell r="MH185" t="str">
            <v>IQ27511217</v>
          </cell>
        </row>
        <row r="186">
          <cell r="MH186" t="str">
            <v>IQ683779</v>
          </cell>
        </row>
        <row r="187">
          <cell r="MH187" t="str">
            <v>IQ27527404</v>
          </cell>
        </row>
        <row r="188">
          <cell r="MH188" t="str">
            <v>IQ44490835</v>
          </cell>
        </row>
        <row r="189">
          <cell r="MH189" t="str">
            <v>IQ36337187</v>
          </cell>
        </row>
        <row r="190">
          <cell r="MH190" t="str">
            <v>IQ45278087</v>
          </cell>
        </row>
        <row r="191">
          <cell r="MH191" t="str">
            <v>IQ5686652</v>
          </cell>
        </row>
        <row r="192">
          <cell r="MH192" t="str">
            <v>IQ38951295</v>
          </cell>
        </row>
        <row r="193">
          <cell r="MH193" t="str">
            <v>IQ47449295</v>
          </cell>
        </row>
        <row r="194">
          <cell r="MH194" t="str">
            <v>IQ985516</v>
          </cell>
        </row>
        <row r="195">
          <cell r="MH195" t="str">
            <v>IQ104805295</v>
          </cell>
        </row>
        <row r="196">
          <cell r="MH196" t="str">
            <v>IQ32570986</v>
          </cell>
        </row>
        <row r="197">
          <cell r="MH197" t="str">
            <v>IQ27482817</v>
          </cell>
        </row>
        <row r="198">
          <cell r="MH198" t="str">
            <v>IQ42158233</v>
          </cell>
        </row>
        <row r="199">
          <cell r="MH199" t="str">
            <v>IQ20443547</v>
          </cell>
        </row>
        <row r="200">
          <cell r="MH200" t="str">
            <v>IQ1197782</v>
          </cell>
        </row>
        <row r="201">
          <cell r="MH201" t="str">
            <v>IQ54227662</v>
          </cell>
        </row>
        <row r="202">
          <cell r="MH202" t="str">
            <v>IQ1726073</v>
          </cell>
        </row>
        <row r="203">
          <cell r="MH203" t="str">
            <v>IQ51618723</v>
          </cell>
        </row>
        <row r="204">
          <cell r="MH204" t="str">
            <v>IQ27349176</v>
          </cell>
        </row>
        <row r="205">
          <cell r="MH205" t="str">
            <v>IQ27831075</v>
          </cell>
        </row>
        <row r="206">
          <cell r="MH206" t="str">
            <v>IQ6453720</v>
          </cell>
        </row>
        <row r="207">
          <cell r="MH207" t="str">
            <v>IQ875919</v>
          </cell>
        </row>
        <row r="208">
          <cell r="MH208" t="str">
            <v>IQ104599802</v>
          </cell>
        </row>
        <row r="209">
          <cell r="MH209" t="str">
            <v>IQ4392711</v>
          </cell>
        </row>
        <row r="210">
          <cell r="MH210" t="str">
            <v>IQ29093072</v>
          </cell>
        </row>
        <row r="211">
          <cell r="MH211" t="str">
            <v>IQ23023177</v>
          </cell>
        </row>
        <row r="212">
          <cell r="MH212" t="str">
            <v>IQ27482681</v>
          </cell>
        </row>
        <row r="213">
          <cell r="MH213" t="str">
            <v>IQ24310409</v>
          </cell>
        </row>
        <row r="214">
          <cell r="MH214" t="str">
            <v>IQ323754148</v>
          </cell>
        </row>
        <row r="215">
          <cell r="MH215" t="str">
            <v>IQ7917221</v>
          </cell>
        </row>
        <row r="216">
          <cell r="MH216" t="str">
            <v>IQ24659968</v>
          </cell>
        </row>
        <row r="217">
          <cell r="MH217" t="str">
            <v>IQ26605337</v>
          </cell>
        </row>
        <row r="218">
          <cell r="MH218" t="str">
            <v>IQ6153575</v>
          </cell>
        </row>
        <row r="219">
          <cell r="MH219" t="str">
            <v>IQ2008054</v>
          </cell>
        </row>
        <row r="220">
          <cell r="MH220" t="str">
            <v>IQ3534580</v>
          </cell>
        </row>
        <row r="221">
          <cell r="MH221" t="str">
            <v>IQ1528387</v>
          </cell>
        </row>
        <row r="222">
          <cell r="MH222" t="str">
            <v>IQ3604511</v>
          </cell>
        </row>
        <row r="223">
          <cell r="MH223" t="str">
            <v>IQ59054128</v>
          </cell>
        </row>
        <row r="224">
          <cell r="MH224" t="str">
            <v>IQ4848961</v>
          </cell>
        </row>
        <row r="225">
          <cell r="MH225" t="str">
            <v>IQ58844948</v>
          </cell>
        </row>
        <row r="226">
          <cell r="MH226" t="str">
            <v>IQ27398259</v>
          </cell>
        </row>
        <row r="227">
          <cell r="MH227" t="str">
            <v>IQ41541995</v>
          </cell>
        </row>
        <row r="228">
          <cell r="MH228" t="str">
            <v>IQ32666160</v>
          </cell>
        </row>
        <row r="229">
          <cell r="MH229" t="str">
            <v>IQ30623139</v>
          </cell>
        </row>
        <row r="230">
          <cell r="MH230" t="str">
            <v>IQ6885887</v>
          </cell>
        </row>
        <row r="231">
          <cell r="MH231" t="str">
            <v>IQ24587069</v>
          </cell>
        </row>
        <row r="232">
          <cell r="MH232" t="str">
            <v>IQ50050872</v>
          </cell>
        </row>
        <row r="233">
          <cell r="MH233" t="str">
            <v>IQ2869854</v>
          </cell>
        </row>
        <row r="234">
          <cell r="MH234" t="str">
            <v>IQ26735811</v>
          </cell>
        </row>
        <row r="235">
          <cell r="MH235" t="str">
            <v>IQ27771658</v>
          </cell>
        </row>
        <row r="236">
          <cell r="MH236" t="str">
            <v>IQ3734323</v>
          </cell>
        </row>
        <row r="237">
          <cell r="MH237" t="str">
            <v>IQ279748192</v>
          </cell>
        </row>
        <row r="238">
          <cell r="MH238" t="str">
            <v>IQ28718075</v>
          </cell>
        </row>
        <row r="239">
          <cell r="MH239" t="str">
            <v>IQ35014371</v>
          </cell>
        </row>
        <row r="240">
          <cell r="MH240" t="str">
            <v>IQ46955322</v>
          </cell>
        </row>
        <row r="241">
          <cell r="MH241" t="str">
            <v>IQ5686337</v>
          </cell>
        </row>
        <row r="242">
          <cell r="MH242" t="str">
            <v>IQ27352091</v>
          </cell>
        </row>
        <row r="243">
          <cell r="MH243" t="str">
            <v>IQ396900</v>
          </cell>
        </row>
        <row r="244">
          <cell r="MH244" t="str">
            <v>IQ4662526</v>
          </cell>
        </row>
        <row r="245">
          <cell r="MH245" t="str">
            <v>IQ27365202</v>
          </cell>
        </row>
        <row r="246">
          <cell r="MH246" t="str">
            <v>IQ26520364</v>
          </cell>
        </row>
        <row r="247">
          <cell r="MH247" t="str">
            <v>IQ27422771</v>
          </cell>
        </row>
        <row r="248">
          <cell r="MH248" t="str">
            <v>IQ260822895</v>
          </cell>
        </row>
        <row r="249">
          <cell r="MH249" t="str">
            <v>IQ618023650</v>
          </cell>
        </row>
        <row r="250">
          <cell r="MH250" t="str">
            <v>IQ145148110</v>
          </cell>
        </row>
        <row r="251">
          <cell r="MH251" t="str">
            <v>IQ3609163</v>
          </cell>
        </row>
        <row r="252">
          <cell r="MH252" t="str">
            <v>IQ49192870</v>
          </cell>
        </row>
        <row r="253">
          <cell r="MH253" t="str">
            <v>IQ41285576</v>
          </cell>
        </row>
        <row r="254">
          <cell r="MH254" t="str">
            <v>IQ5875688</v>
          </cell>
        </row>
        <row r="255">
          <cell r="MH255" t="str">
            <v>IQ7294615</v>
          </cell>
        </row>
        <row r="256">
          <cell r="MH256" t="str">
            <v>IQ35443086</v>
          </cell>
        </row>
        <row r="257">
          <cell r="MH257" t="str">
            <v>IQ27088799</v>
          </cell>
        </row>
        <row r="258">
          <cell r="MH258" t="str">
            <v>IQ50841815</v>
          </cell>
        </row>
        <row r="259">
          <cell r="MH259" t="str">
            <v>IQ134188851</v>
          </cell>
        </row>
        <row r="260">
          <cell r="MH260" t="str">
            <v>IQ50007967</v>
          </cell>
        </row>
        <row r="261">
          <cell r="MH261" t="str">
            <v>IQ26838544</v>
          </cell>
        </row>
        <row r="262">
          <cell r="MH262" t="str">
            <v>IQ27082484</v>
          </cell>
        </row>
        <row r="263">
          <cell r="MH263" t="str">
            <v>IQ99866</v>
          </cell>
        </row>
        <row r="264">
          <cell r="MH264" t="str">
            <v>IQ26524323</v>
          </cell>
        </row>
        <row r="265">
          <cell r="MH265" t="str">
            <v>IQ12505248</v>
          </cell>
        </row>
        <row r="266">
          <cell r="MH266" t="str">
            <v>IQ22686304</v>
          </cell>
        </row>
        <row r="267">
          <cell r="MH267" t="str">
            <v>IQ909581</v>
          </cell>
        </row>
        <row r="268">
          <cell r="MH268" t="str">
            <v>IQ27061317</v>
          </cell>
        </row>
        <row r="269">
          <cell r="MH269" t="str">
            <v>IQ4474438</v>
          </cell>
        </row>
        <row r="270">
          <cell r="MH270" t="str">
            <v>IQ44233762</v>
          </cell>
        </row>
        <row r="271">
          <cell r="MH271" t="str">
            <v>IQ27146689</v>
          </cell>
        </row>
        <row r="272">
          <cell r="MH272" t="str">
            <v>IQ30763919</v>
          </cell>
        </row>
        <row r="273">
          <cell r="MH273" t="str">
            <v>IQ4161650</v>
          </cell>
        </row>
        <row r="274">
          <cell r="MH274" t="str">
            <v>IQ22549101</v>
          </cell>
        </row>
        <row r="275">
          <cell r="MH275" t="str">
            <v>IQ27368370</v>
          </cell>
        </row>
        <row r="276">
          <cell r="MH276" t="str">
            <v>IQ5410027</v>
          </cell>
        </row>
        <row r="277">
          <cell r="MH277" t="str">
            <v>IQ27128112</v>
          </cell>
        </row>
        <row r="278">
          <cell r="MH278" t="str">
            <v>IQ27351085</v>
          </cell>
        </row>
        <row r="279">
          <cell r="MH279" t="str">
            <v>IQ4305940</v>
          </cell>
        </row>
        <row r="280">
          <cell r="MH280" t="str">
            <v>IQ34411683</v>
          </cell>
        </row>
        <row r="281">
          <cell r="MH281" t="str">
            <v>IQ278535849</v>
          </cell>
        </row>
        <row r="282">
          <cell r="MH282" t="str">
            <v>IQ54463251</v>
          </cell>
        </row>
        <row r="283">
          <cell r="MH283" t="str">
            <v>IQ24226907</v>
          </cell>
        </row>
        <row r="284">
          <cell r="MH284" t="str">
            <v>IQ27482820</v>
          </cell>
        </row>
        <row r="285">
          <cell r="MH285" t="str">
            <v>IQ27146918</v>
          </cell>
        </row>
        <row r="286">
          <cell r="MH286" t="str">
            <v>IQ618372767</v>
          </cell>
        </row>
        <row r="287">
          <cell r="MH287" t="str">
            <v>IQ29325212</v>
          </cell>
        </row>
        <row r="288">
          <cell r="MH288" t="str">
            <v>IQ22041815</v>
          </cell>
        </row>
        <row r="289">
          <cell r="MH289" t="str">
            <v>IQ295275761</v>
          </cell>
        </row>
        <row r="290">
          <cell r="MH290" t="str">
            <v>IQ21927523</v>
          </cell>
        </row>
        <row r="291">
          <cell r="MH291" t="str">
            <v>IQ145828297</v>
          </cell>
        </row>
        <row r="292">
          <cell r="MH292" t="str">
            <v>IQ60800587</v>
          </cell>
        </row>
        <row r="293">
          <cell r="MH293" t="str">
            <v>IQ876133</v>
          </cell>
        </row>
        <row r="294">
          <cell r="MH294" t="str">
            <v>IQ27083572</v>
          </cell>
        </row>
        <row r="295">
          <cell r="MH295" t="str">
            <v>IQ118327640</v>
          </cell>
        </row>
        <row r="296">
          <cell r="MH296" t="str">
            <v>IQ39650518</v>
          </cell>
        </row>
        <row r="297">
          <cell r="MH297" t="str">
            <v>IQ34409197</v>
          </cell>
        </row>
        <row r="298">
          <cell r="MH298" t="str">
            <v>IQ39221420</v>
          </cell>
        </row>
        <row r="299">
          <cell r="MH299" t="str">
            <v>IQ384083136</v>
          </cell>
        </row>
        <row r="300">
          <cell r="MH300" t="str">
            <v>IQ27920058</v>
          </cell>
        </row>
        <row r="301">
          <cell r="MH301" t="str">
            <v>IQ938692</v>
          </cell>
        </row>
        <row r="302">
          <cell r="MH302" t="str">
            <v>IQ21766297</v>
          </cell>
        </row>
        <row r="303">
          <cell r="MH303" t="str">
            <v>IQ3534556</v>
          </cell>
        </row>
        <row r="304">
          <cell r="MH304" t="str">
            <v>IQ36655953</v>
          </cell>
        </row>
        <row r="305">
          <cell r="MH305" t="str">
            <v>IQ23609833</v>
          </cell>
        </row>
        <row r="306">
          <cell r="MH306" t="str">
            <v>IQ24948496</v>
          </cell>
        </row>
        <row r="307">
          <cell r="MH307" t="str">
            <v>IQ207293413</v>
          </cell>
        </row>
        <row r="308">
          <cell r="MH308" t="str">
            <v>IQ34033557</v>
          </cell>
        </row>
        <row r="309">
          <cell r="MH309" t="str">
            <v>IQ734203</v>
          </cell>
        </row>
        <row r="310">
          <cell r="MH310" t="str">
            <v>IQ37292135</v>
          </cell>
        </row>
        <row r="311">
          <cell r="MH311" t="str">
            <v>IQ44494019</v>
          </cell>
        </row>
        <row r="312">
          <cell r="MH312" t="str">
            <v>IQ217020922</v>
          </cell>
        </row>
        <row r="313">
          <cell r="MH313" t="str">
            <v>IQ66138102</v>
          </cell>
        </row>
        <row r="314">
          <cell r="MH314" t="str">
            <v>IQ4719735</v>
          </cell>
        </row>
        <row r="315">
          <cell r="MH315" t="str">
            <v>IQ35535821</v>
          </cell>
        </row>
        <row r="316">
          <cell r="MH316" t="str">
            <v>IQ10714231</v>
          </cell>
        </row>
        <row r="317">
          <cell r="MH317" t="str">
            <v>IQ22569683</v>
          </cell>
        </row>
        <row r="318">
          <cell r="MH318" t="str">
            <v>IQ98351399</v>
          </cell>
        </row>
        <row r="319">
          <cell r="MH319" t="str">
            <v>IQ6167587</v>
          </cell>
        </row>
        <row r="320">
          <cell r="MH320" t="str">
            <v>IQ20960674</v>
          </cell>
        </row>
        <row r="321">
          <cell r="MH321" t="str">
            <v>IQ4841764</v>
          </cell>
        </row>
        <row r="322">
          <cell r="MH322" t="str">
            <v>IQ4524016</v>
          </cell>
        </row>
        <row r="323">
          <cell r="MH323" t="str">
            <v>IQ20405404</v>
          </cell>
        </row>
        <row r="324">
          <cell r="MH324" t="str">
            <v>IQ138438</v>
          </cell>
        </row>
        <row r="325">
          <cell r="MH325" t="str">
            <v>IQ919034</v>
          </cell>
        </row>
        <row r="326">
          <cell r="MH326" t="str">
            <v>IQ6958021</v>
          </cell>
        </row>
        <row r="327">
          <cell r="MH327" t="str">
            <v>IQ112942210</v>
          </cell>
        </row>
        <row r="328">
          <cell r="MH328" t="str">
            <v>IQ22946415</v>
          </cell>
        </row>
        <row r="329">
          <cell r="MH329" t="str">
            <v>IQ240291514</v>
          </cell>
        </row>
        <row r="330">
          <cell r="MH330" t="str">
            <v>IQ296684568</v>
          </cell>
        </row>
        <row r="331">
          <cell r="MH331" t="str">
            <v>IQ27528810</v>
          </cell>
        </row>
        <row r="332">
          <cell r="MH332" t="str">
            <v>IQ31093898</v>
          </cell>
        </row>
        <row r="333">
          <cell r="MH333" t="str">
            <v>IQ32341567</v>
          </cell>
        </row>
        <row r="334">
          <cell r="MH334" t="str">
            <v>IQ98000038</v>
          </cell>
        </row>
        <row r="335">
          <cell r="MH335" t="str">
            <v>IQ52379642</v>
          </cell>
        </row>
        <row r="336">
          <cell r="MH336" t="str">
            <v>IQ26841431</v>
          </cell>
        </row>
        <row r="337">
          <cell r="MH337" t="str">
            <v>IQ35194096</v>
          </cell>
        </row>
        <row r="338">
          <cell r="MH338" t="str">
            <v>IQ6463466</v>
          </cell>
        </row>
        <row r="339">
          <cell r="MH339" t="str">
            <v>IQ29162415</v>
          </cell>
        </row>
        <row r="340">
          <cell r="MH340" t="str">
            <v>IQ292167220</v>
          </cell>
        </row>
        <row r="341">
          <cell r="MH341" t="str">
            <v>IQ8975579</v>
          </cell>
        </row>
        <row r="342">
          <cell r="MH342" t="str">
            <v>IQ539782778</v>
          </cell>
        </row>
        <row r="343">
          <cell r="MH343" t="str">
            <v>IQ23106135</v>
          </cell>
        </row>
        <row r="344">
          <cell r="MH344" t="str">
            <v>IQ24791882</v>
          </cell>
        </row>
        <row r="345">
          <cell r="MH345" t="str">
            <v>IQ20703028</v>
          </cell>
        </row>
        <row r="346">
          <cell r="MH346" t="str">
            <v>IQ234698861</v>
          </cell>
        </row>
        <row r="347">
          <cell r="MH347" t="str">
            <v>IQ238956413</v>
          </cell>
        </row>
        <row r="348">
          <cell r="MH348" t="str">
            <v>IQ24548467</v>
          </cell>
        </row>
        <row r="349">
          <cell r="MH349" t="str">
            <v>IQ23976807</v>
          </cell>
        </row>
        <row r="350">
          <cell r="MH350" t="str">
            <v>IQ3110773</v>
          </cell>
        </row>
        <row r="351">
          <cell r="MH351" t="str">
            <v>IQ5113667</v>
          </cell>
        </row>
        <row r="352">
          <cell r="MH352" t="str">
            <v>IQ12505303</v>
          </cell>
        </row>
        <row r="353">
          <cell r="MH353" t="str">
            <v>IQ30488509</v>
          </cell>
        </row>
        <row r="354">
          <cell r="MH354" t="str">
            <v>IQ5073993</v>
          </cell>
        </row>
        <row r="355">
          <cell r="MH355" t="str">
            <v>IQ41842154</v>
          </cell>
        </row>
        <row r="356">
          <cell r="MH356" t="str">
            <v>IQ23751581</v>
          </cell>
        </row>
        <row r="357">
          <cell r="MH357" t="str">
            <v>IQ84294444</v>
          </cell>
        </row>
        <row r="358">
          <cell r="MH358" t="str">
            <v>IQ7827260</v>
          </cell>
        </row>
        <row r="359">
          <cell r="MH359" t="str">
            <v>IQ31139165</v>
          </cell>
        </row>
        <row r="360">
          <cell r="MH360" t="str">
            <v>IQ602923779</v>
          </cell>
        </row>
        <row r="361">
          <cell r="MH361" t="str">
            <v>IQ1541916</v>
          </cell>
        </row>
        <row r="362">
          <cell r="MH362" t="str">
            <v>IQ25045064</v>
          </cell>
        </row>
        <row r="363">
          <cell r="MH363" t="str">
            <v>IQ13394394</v>
          </cell>
        </row>
        <row r="364">
          <cell r="MH364" t="str">
            <v>IQ27128751</v>
          </cell>
        </row>
        <row r="365">
          <cell r="MH365" t="str">
            <v>IQ569797919</v>
          </cell>
        </row>
        <row r="366">
          <cell r="MH366" t="str">
            <v>IQ24934616</v>
          </cell>
        </row>
        <row r="367">
          <cell r="MH367" t="str">
            <v>IQ141003793</v>
          </cell>
        </row>
        <row r="368">
          <cell r="MH368" t="str">
            <v>IQ25855115</v>
          </cell>
        </row>
        <row r="369">
          <cell r="MH369" t="str">
            <v>IQ300146</v>
          </cell>
        </row>
        <row r="370">
          <cell r="MH370" t="str">
            <v>IQ589791544</v>
          </cell>
        </row>
        <row r="371">
          <cell r="MH371" t="str">
            <v>IQ47296561</v>
          </cell>
        </row>
        <row r="372">
          <cell r="MH372" t="str">
            <v>IQ27128130</v>
          </cell>
        </row>
        <row r="373">
          <cell r="MH373" t="str">
            <v>IQ34990175</v>
          </cell>
        </row>
        <row r="374">
          <cell r="MH374" t="str">
            <v>IQ51153067</v>
          </cell>
        </row>
        <row r="375">
          <cell r="MH375" t="str">
            <v>IQ260383261</v>
          </cell>
        </row>
        <row r="376">
          <cell r="MH376" t="str">
            <v>IQ246310330</v>
          </cell>
        </row>
        <row r="377">
          <cell r="MH377" t="str">
            <v>IQ20725420</v>
          </cell>
        </row>
        <row r="378">
          <cell r="MH378" t="str">
            <v>IQ117965502</v>
          </cell>
        </row>
        <row r="379">
          <cell r="MH379" t="str">
            <v>IQ3534915</v>
          </cell>
        </row>
        <row r="380">
          <cell r="MH380" t="str">
            <v>IQ26876113</v>
          </cell>
        </row>
        <row r="381">
          <cell r="MH381" t="str">
            <v>IQ35536975</v>
          </cell>
        </row>
        <row r="382">
          <cell r="MH382" t="str">
            <v>IQ208573156</v>
          </cell>
        </row>
        <row r="383">
          <cell r="MH383" t="str">
            <v>IQ34073124</v>
          </cell>
        </row>
        <row r="384">
          <cell r="MH384" t="str">
            <v>IQ115642098</v>
          </cell>
        </row>
        <row r="385">
          <cell r="MH385" t="str">
            <v>IQ62122329</v>
          </cell>
        </row>
        <row r="386">
          <cell r="MH386" t="str">
            <v>IQ4876464</v>
          </cell>
        </row>
        <row r="387">
          <cell r="MH387" t="str">
            <v>IQ8250628</v>
          </cell>
        </row>
        <row r="388">
          <cell r="MH388" t="str">
            <v>IQ30609287</v>
          </cell>
        </row>
        <row r="389">
          <cell r="MH389" t="str">
            <v>IQ238960997</v>
          </cell>
        </row>
        <row r="390">
          <cell r="MH390" t="str">
            <v>IQ35411111</v>
          </cell>
        </row>
        <row r="391">
          <cell r="MH391" t="str">
            <v>IQ27129696</v>
          </cell>
        </row>
        <row r="392">
          <cell r="MH392" t="str">
            <v>IQ6890229</v>
          </cell>
        </row>
        <row r="393">
          <cell r="MH393" t="str">
            <v>IQ107400</v>
          </cell>
        </row>
        <row r="394">
          <cell r="MH394" t="str">
            <v>IQ31093919</v>
          </cell>
        </row>
        <row r="395">
          <cell r="MH395" t="str">
            <v>IQ228936615</v>
          </cell>
        </row>
        <row r="396">
          <cell r="MH396" t="str">
            <v>IQ23610638</v>
          </cell>
        </row>
        <row r="397">
          <cell r="MH397" t="str">
            <v>IQ215085560</v>
          </cell>
        </row>
        <row r="398">
          <cell r="MH398" t="str">
            <v>IQ51175985</v>
          </cell>
        </row>
        <row r="399">
          <cell r="MH399" t="str">
            <v>IQ51450391</v>
          </cell>
        </row>
        <row r="400">
          <cell r="MH400" t="str">
            <v>IQ5115829</v>
          </cell>
        </row>
        <row r="401">
          <cell r="MH401" t="str">
            <v>IQ36566540</v>
          </cell>
        </row>
        <row r="402">
          <cell r="MH402" t="str">
            <v>IQ2414687</v>
          </cell>
        </row>
        <row r="403">
          <cell r="MH403" t="str">
            <v>IQ30397579</v>
          </cell>
        </row>
        <row r="404">
          <cell r="MH404" t="str">
            <v>IQ415807855</v>
          </cell>
        </row>
        <row r="405">
          <cell r="MH405" t="str">
            <v>IQ111867288</v>
          </cell>
        </row>
        <row r="406">
          <cell r="MH406" t="str">
            <v>IQ83038002</v>
          </cell>
        </row>
        <row r="407">
          <cell r="MH407" t="str">
            <v>IQ6243365</v>
          </cell>
        </row>
        <row r="408">
          <cell r="MH408" t="str">
            <v>IQ45114565</v>
          </cell>
        </row>
        <row r="409">
          <cell r="MH409" t="str">
            <v>IQ3533837</v>
          </cell>
        </row>
        <row r="410">
          <cell r="MH410" t="str">
            <v>IQ39793998</v>
          </cell>
        </row>
        <row r="411">
          <cell r="MH411" t="str">
            <v>IQ4663455</v>
          </cell>
        </row>
        <row r="412">
          <cell r="MH412" t="str">
            <v>IQ957693</v>
          </cell>
        </row>
        <row r="413">
          <cell r="MH413" t="str">
            <v>IQ4332673</v>
          </cell>
        </row>
        <row r="414">
          <cell r="MH414" t="str">
            <v>IQ111220371</v>
          </cell>
        </row>
        <row r="415">
          <cell r="MH415" t="str">
            <v>IQ27670241</v>
          </cell>
        </row>
        <row r="416">
          <cell r="MH416" t="str">
            <v>IQ34360175</v>
          </cell>
        </row>
        <row r="417">
          <cell r="MH417" t="str">
            <v>IQ24495163</v>
          </cell>
        </row>
        <row r="418">
          <cell r="MH418" t="str">
            <v>IQ253522726</v>
          </cell>
        </row>
        <row r="419">
          <cell r="MH419" t="str">
            <v>IQ5504841</v>
          </cell>
        </row>
        <row r="420">
          <cell r="MH420" t="str">
            <v>IQ1060121</v>
          </cell>
        </row>
        <row r="421">
          <cell r="MH421" t="str">
            <v>IQ181991387</v>
          </cell>
        </row>
        <row r="422">
          <cell r="MH422" t="str">
            <v>IQ98972508</v>
          </cell>
        </row>
        <row r="423">
          <cell r="MH423" t="str">
            <v>IQ263917598</v>
          </cell>
        </row>
        <row r="424">
          <cell r="MH424" t="str">
            <v>IQ113331890</v>
          </cell>
        </row>
        <row r="425">
          <cell r="MH425" t="str">
            <v>IQ38615782</v>
          </cell>
        </row>
        <row r="426">
          <cell r="MH426" t="str">
            <v>IQ723661</v>
          </cell>
        </row>
        <row r="427">
          <cell r="MH427" t="str">
            <v>IQ235051526</v>
          </cell>
        </row>
        <row r="428">
          <cell r="MH428" t="str">
            <v>IQ100231</v>
          </cell>
        </row>
        <row r="429">
          <cell r="MH429" t="str">
            <v>IQ57985694</v>
          </cell>
        </row>
        <row r="430">
          <cell r="MH430" t="str">
            <v>IQ33192027</v>
          </cell>
        </row>
        <row r="431">
          <cell r="MH431" t="str">
            <v>IQ5092151</v>
          </cell>
        </row>
        <row r="432">
          <cell r="MH432" t="str">
            <v>IQ105318355</v>
          </cell>
        </row>
        <row r="433">
          <cell r="MH433" t="str">
            <v>IQ12616645</v>
          </cell>
        </row>
        <row r="434">
          <cell r="MH434" t="str">
            <v>IQ49922456</v>
          </cell>
        </row>
        <row r="435">
          <cell r="MH435" t="str">
            <v>IQ4490328</v>
          </cell>
        </row>
        <row r="436">
          <cell r="MH436" t="str">
            <v>IQ10332536</v>
          </cell>
        </row>
        <row r="437">
          <cell r="MH437" t="str">
            <v>IQ28507965</v>
          </cell>
        </row>
        <row r="438">
          <cell r="MH438" t="str">
            <v>IQ24841919</v>
          </cell>
        </row>
        <row r="439">
          <cell r="MH439" t="str">
            <v>IQ4841956</v>
          </cell>
        </row>
        <row r="440">
          <cell r="MH440" t="str">
            <v>IQ109130725</v>
          </cell>
        </row>
        <row r="441">
          <cell r="MH441" t="str">
            <v>IQ34453255</v>
          </cell>
        </row>
        <row r="442">
          <cell r="MH442" t="str">
            <v>IQ46526538</v>
          </cell>
        </row>
        <row r="443">
          <cell r="MH443" t="str">
            <v>IQ127717297</v>
          </cell>
        </row>
        <row r="444">
          <cell r="MH444" t="str">
            <v>IQ21997054</v>
          </cell>
        </row>
        <row r="445">
          <cell r="MH445" t="str">
            <v>IQ292165569</v>
          </cell>
        </row>
        <row r="446">
          <cell r="MH446" t="str">
            <v>IQ25449408</v>
          </cell>
        </row>
        <row r="447">
          <cell r="MH447" t="str">
            <v>IQ27669533</v>
          </cell>
        </row>
        <row r="448">
          <cell r="MH448" t="str">
            <v>IQ180481</v>
          </cell>
        </row>
        <row r="449">
          <cell r="MH449" t="str">
            <v>IQ231616525</v>
          </cell>
        </row>
        <row r="450">
          <cell r="MH450" t="str">
            <v>IQ3610526</v>
          </cell>
        </row>
        <row r="451">
          <cell r="MH451" t="str">
            <v>IQ27161983</v>
          </cell>
        </row>
        <row r="452">
          <cell r="MH452" t="str">
            <v>IQ290495925</v>
          </cell>
        </row>
        <row r="453">
          <cell r="MH453" t="str">
            <v>IQ24806405</v>
          </cell>
        </row>
        <row r="454">
          <cell r="MH454" t="str">
            <v>IQ109131571</v>
          </cell>
        </row>
        <row r="455">
          <cell r="MH455" t="str">
            <v>IQ322045768</v>
          </cell>
        </row>
        <row r="456">
          <cell r="MH456" t="str">
            <v>IQ28760961</v>
          </cell>
        </row>
        <row r="457">
          <cell r="MH457" t="str">
            <v>IQ126978705</v>
          </cell>
        </row>
        <row r="458">
          <cell r="MH458" t="str">
            <v>IQ224648810</v>
          </cell>
        </row>
        <row r="459">
          <cell r="MH459" t="str">
            <v>IQ140707686</v>
          </cell>
        </row>
        <row r="460">
          <cell r="MH460" t="str">
            <v>IQ34668293</v>
          </cell>
        </row>
        <row r="461">
          <cell r="MH461" t="str">
            <v>IQ130703296</v>
          </cell>
        </row>
        <row r="462">
          <cell r="MH462" t="str">
            <v>IQ27364710</v>
          </cell>
        </row>
        <row r="463">
          <cell r="MH463" t="str">
            <v>IQ238712063</v>
          </cell>
        </row>
        <row r="464">
          <cell r="MH464" t="str">
            <v>IQ27163527</v>
          </cell>
        </row>
        <row r="465">
          <cell r="MH465" t="str">
            <v>IQ51302303</v>
          </cell>
        </row>
        <row r="466">
          <cell r="MH466" t="str">
            <v>IQ26491359</v>
          </cell>
        </row>
        <row r="467">
          <cell r="MH467" t="str">
            <v>IQ45815787</v>
          </cell>
        </row>
        <row r="468">
          <cell r="MH468" t="str">
            <v>IQ271153252</v>
          </cell>
        </row>
        <row r="469">
          <cell r="MH469" t="str">
            <v>IQ302140512</v>
          </cell>
        </row>
        <row r="470">
          <cell r="MH470" t="str">
            <v>IQ35536436</v>
          </cell>
        </row>
        <row r="471">
          <cell r="MH471" t="str">
            <v>IQ34594770</v>
          </cell>
        </row>
        <row r="472">
          <cell r="MH472" t="str">
            <v>IQ6036133</v>
          </cell>
        </row>
        <row r="473">
          <cell r="MH473" t="str">
            <v>IQ23478687</v>
          </cell>
        </row>
        <row r="474">
          <cell r="MH474" t="str">
            <v>IQ241626889</v>
          </cell>
        </row>
        <row r="475">
          <cell r="MH475" t="str">
            <v>IQ8003109</v>
          </cell>
        </row>
        <row r="476">
          <cell r="MH476" t="str">
            <v>IQ907219</v>
          </cell>
        </row>
        <row r="477">
          <cell r="MH477" t="str">
            <v>IQ28363594</v>
          </cell>
        </row>
        <row r="478">
          <cell r="MH478" t="str">
            <v>IQ663055252</v>
          </cell>
        </row>
        <row r="479">
          <cell r="MH479" t="str">
            <v>IQ989228</v>
          </cell>
        </row>
        <row r="480">
          <cell r="MH480" t="str">
            <v>IQ236428178</v>
          </cell>
        </row>
        <row r="481">
          <cell r="MH481" t="str">
            <v>IQ5646217</v>
          </cell>
        </row>
        <row r="482">
          <cell r="MH482" t="str">
            <v>IQ27128424</v>
          </cell>
        </row>
        <row r="483">
          <cell r="MH483" t="str">
            <v>IQ58059923</v>
          </cell>
        </row>
        <row r="484">
          <cell r="MH484" t="str">
            <v>IQ10600270</v>
          </cell>
        </row>
        <row r="485">
          <cell r="MH485" t="str">
            <v>IQ51441945</v>
          </cell>
        </row>
        <row r="486">
          <cell r="MH486" t="str">
            <v>IQ23891</v>
          </cell>
        </row>
        <row r="487">
          <cell r="MH487" t="str">
            <v>IQ51537254</v>
          </cell>
        </row>
        <row r="488">
          <cell r="MH488" t="str">
            <v>IQ40980600</v>
          </cell>
        </row>
        <row r="489">
          <cell r="MH489" t="str">
            <v>IQ960588</v>
          </cell>
        </row>
        <row r="490">
          <cell r="MH490" t="str">
            <v>IQ3534299</v>
          </cell>
        </row>
        <row r="491">
          <cell r="MH491" t="str">
            <v>IQ293480965</v>
          </cell>
        </row>
        <row r="492">
          <cell r="MH492" t="str">
            <v>IQ530031087</v>
          </cell>
        </row>
        <row r="493">
          <cell r="MH493" t="str">
            <v>IQ34541686</v>
          </cell>
        </row>
        <row r="494">
          <cell r="MH494" t="str">
            <v>IQ50210435</v>
          </cell>
        </row>
        <row r="495">
          <cell r="MH495" t="str">
            <v>IQ631755800</v>
          </cell>
        </row>
        <row r="496">
          <cell r="MH496" t="str">
            <v>IQ36032313</v>
          </cell>
        </row>
        <row r="497">
          <cell r="MH497" t="str">
            <v>IQ58319262</v>
          </cell>
        </row>
        <row r="498">
          <cell r="MH498" t="str">
            <v>IQ111582503</v>
          </cell>
        </row>
        <row r="499">
          <cell r="MH499" t="str">
            <v>IQ27084152</v>
          </cell>
        </row>
        <row r="500">
          <cell r="MH500" t="str">
            <v>IQ587997861</v>
          </cell>
        </row>
        <row r="501">
          <cell r="MH501" t="str">
            <v>IQ42435200</v>
          </cell>
        </row>
        <row r="502">
          <cell r="MH502" t="str">
            <v>IQ83821289</v>
          </cell>
        </row>
        <row r="503">
          <cell r="MH503" t="str">
            <v>IQ237820077</v>
          </cell>
        </row>
        <row r="504">
          <cell r="MH504" t="str">
            <v>IQ106408707</v>
          </cell>
        </row>
        <row r="505">
          <cell r="MH505" t="str">
            <v>IQ557007663</v>
          </cell>
        </row>
        <row r="506">
          <cell r="MH506" t="str">
            <v>IQ10530937</v>
          </cell>
        </row>
        <row r="507">
          <cell r="MH507" t="str">
            <v>IQ239942874</v>
          </cell>
        </row>
        <row r="508">
          <cell r="MH508" t="str">
            <v>IQ5073808</v>
          </cell>
        </row>
        <row r="509">
          <cell r="MH509" t="str">
            <v>IQ43883031</v>
          </cell>
        </row>
        <row r="510">
          <cell r="MH510" t="str">
            <v>IQ3375244</v>
          </cell>
        </row>
        <row r="511">
          <cell r="MH511" t="str">
            <v>IQ283863621</v>
          </cell>
        </row>
        <row r="512">
          <cell r="MH512" t="str">
            <v>IQ45593444</v>
          </cell>
        </row>
        <row r="513">
          <cell r="MH513" t="str">
            <v>IQ36113087</v>
          </cell>
        </row>
        <row r="514">
          <cell r="MH514" t="str">
            <v>IQ60839208</v>
          </cell>
        </row>
        <row r="515">
          <cell r="MH515" t="str">
            <v>IQ301930004</v>
          </cell>
        </row>
        <row r="516">
          <cell r="MH516" t="str">
            <v>IQ24931380</v>
          </cell>
        </row>
        <row r="517">
          <cell r="MH517" t="str">
            <v>IQ239330790</v>
          </cell>
        </row>
        <row r="518">
          <cell r="MH518" t="str">
            <v>IQ6167099</v>
          </cell>
        </row>
        <row r="519">
          <cell r="MH519" t="str">
            <v>IQ4663068</v>
          </cell>
        </row>
        <row r="520">
          <cell r="MH520" t="str">
            <v>IQ22838672</v>
          </cell>
        </row>
        <row r="521">
          <cell r="MH521" t="str">
            <v>IQ27061560</v>
          </cell>
        </row>
        <row r="522">
          <cell r="MH522" t="str">
            <v>IQ247930767</v>
          </cell>
        </row>
        <row r="523">
          <cell r="MH523" t="str">
            <v>IQ3648309</v>
          </cell>
        </row>
        <row r="524">
          <cell r="MH524" t="str">
            <v>IQ28562772</v>
          </cell>
        </row>
        <row r="525">
          <cell r="MH525" t="str">
            <v>IQ249798888</v>
          </cell>
        </row>
        <row r="526">
          <cell r="MH526" t="str">
            <v>IQ280105967</v>
          </cell>
        </row>
        <row r="527">
          <cell r="MH527" t="str">
            <v>IQ282291552</v>
          </cell>
        </row>
        <row r="528">
          <cell r="MH528" t="str">
            <v>IQ54408470</v>
          </cell>
        </row>
        <row r="529">
          <cell r="MH529" t="str">
            <v>IQ30586765</v>
          </cell>
        </row>
        <row r="530">
          <cell r="MH530" t="str">
            <v>IQ227979725</v>
          </cell>
        </row>
        <row r="531">
          <cell r="MH531" t="str">
            <v>IQ285433394</v>
          </cell>
        </row>
        <row r="532">
          <cell r="MH532" t="str">
            <v>IQ8405409</v>
          </cell>
        </row>
        <row r="533">
          <cell r="MH533" t="str">
            <v>IQ40997322</v>
          </cell>
        </row>
        <row r="534">
          <cell r="MH534" t="str">
            <v>IQ34481169</v>
          </cell>
        </row>
        <row r="535">
          <cell r="MH535" t="str">
            <v>IQ38306653</v>
          </cell>
        </row>
        <row r="536">
          <cell r="MH536" t="str">
            <v>IQ532151836</v>
          </cell>
        </row>
        <row r="537">
          <cell r="MH537" t="str">
            <v>IQ46266918</v>
          </cell>
        </row>
        <row r="538">
          <cell r="MH538" t="str">
            <v>IQ12632780</v>
          </cell>
        </row>
        <row r="539">
          <cell r="MH539" t="str">
            <v>IQ280086265</v>
          </cell>
        </row>
        <row r="540">
          <cell r="MH540" t="str">
            <v>IQ27367388</v>
          </cell>
        </row>
        <row r="541">
          <cell r="MH541" t="str">
            <v>IQ869097</v>
          </cell>
        </row>
        <row r="542">
          <cell r="MH542" t="str">
            <v>IQ555488193</v>
          </cell>
        </row>
        <row r="543">
          <cell r="MH543" t="str">
            <v>IQ22194688</v>
          </cell>
        </row>
        <row r="544">
          <cell r="MH544" t="str">
            <v>IQ138954872</v>
          </cell>
        </row>
        <row r="545">
          <cell r="MH545" t="str">
            <v>IQ4840171</v>
          </cell>
        </row>
        <row r="546">
          <cell r="MH546" t="str">
            <v>IQ3604814</v>
          </cell>
        </row>
        <row r="547">
          <cell r="MH547" t="str">
            <v>IQ7691485</v>
          </cell>
        </row>
        <row r="548">
          <cell r="MH548" t="str">
            <v>IQ4005140</v>
          </cell>
        </row>
        <row r="549">
          <cell r="MH549" t="str">
            <v>IQ23409727</v>
          </cell>
        </row>
        <row r="550">
          <cell r="MH550" t="str">
            <v>IQ34410278</v>
          </cell>
        </row>
        <row r="551">
          <cell r="MH551" t="str">
            <v>IQ239038764</v>
          </cell>
        </row>
        <row r="552">
          <cell r="MH552" t="str">
            <v>IQ139018733</v>
          </cell>
        </row>
        <row r="553">
          <cell r="MH553" t="str">
            <v>IQ24084714</v>
          </cell>
        </row>
        <row r="554">
          <cell r="MH554" t="str">
            <v>IQ27085047</v>
          </cell>
        </row>
        <row r="555">
          <cell r="MH555" t="str">
            <v>IQ27768537</v>
          </cell>
        </row>
        <row r="556">
          <cell r="MH556" t="str">
            <v>IQ23333832</v>
          </cell>
        </row>
        <row r="557">
          <cell r="MH557" t="str">
            <v>IQ426805205</v>
          </cell>
        </row>
        <row r="558">
          <cell r="MH558" t="str">
            <v>IQ27266151</v>
          </cell>
        </row>
        <row r="559">
          <cell r="MH559" t="str">
            <v>IQ27061615</v>
          </cell>
        </row>
        <row r="560">
          <cell r="MH560" t="str">
            <v>IQ7009087</v>
          </cell>
        </row>
        <row r="561">
          <cell r="MH561" t="str">
            <v>IQ37135428</v>
          </cell>
        </row>
        <row r="562">
          <cell r="MH562" t="str">
            <v>IQ327642781</v>
          </cell>
        </row>
        <row r="563">
          <cell r="MH563" t="str">
            <v>IQ6462239</v>
          </cell>
        </row>
        <row r="564">
          <cell r="MH564" t="str">
            <v>IQ6019800</v>
          </cell>
        </row>
        <row r="565">
          <cell r="MH565" t="str">
            <v>IQ42998528</v>
          </cell>
        </row>
        <row r="566">
          <cell r="MH566" t="str">
            <v>IQ133890824</v>
          </cell>
        </row>
        <row r="567">
          <cell r="MH567" t="str">
            <v>IQ560115141</v>
          </cell>
        </row>
        <row r="568">
          <cell r="MH568" t="str">
            <v>IQ3649267</v>
          </cell>
        </row>
        <row r="569">
          <cell r="MH569" t="str">
            <v>IQ24378033</v>
          </cell>
        </row>
        <row r="570">
          <cell r="MH570" t="str">
            <v>IQ99154071</v>
          </cell>
        </row>
        <row r="571">
          <cell r="MH571" t="str">
            <v>IQ35669871</v>
          </cell>
        </row>
        <row r="572">
          <cell r="MH572" t="str">
            <v>IQ127126990</v>
          </cell>
        </row>
        <row r="573">
          <cell r="MH573" t="str">
            <v>IQ4717013</v>
          </cell>
        </row>
        <row r="574">
          <cell r="MH574" t="str">
            <v>IQ154133528</v>
          </cell>
        </row>
        <row r="575">
          <cell r="MH575" t="str">
            <v>IQ41356201</v>
          </cell>
        </row>
        <row r="576">
          <cell r="MH576" t="str">
            <v>IQ27083429</v>
          </cell>
        </row>
        <row r="577">
          <cell r="MH577" t="str">
            <v>IQ41700419</v>
          </cell>
        </row>
        <row r="578">
          <cell r="MH578" t="str">
            <v>IQ27128869</v>
          </cell>
        </row>
        <row r="579">
          <cell r="MH579" t="str">
            <v>IQ109224383</v>
          </cell>
        </row>
        <row r="580">
          <cell r="MH580" t="str">
            <v>IQ23675879</v>
          </cell>
        </row>
        <row r="581">
          <cell r="MH581" t="str">
            <v>IQ45986023</v>
          </cell>
        </row>
        <row r="582">
          <cell r="MH582" t="str">
            <v>IQ163719678</v>
          </cell>
        </row>
        <row r="583">
          <cell r="MH583" t="str">
            <v>IQ6477411</v>
          </cell>
        </row>
        <row r="584">
          <cell r="MH584" t="str">
            <v>IQ278605132</v>
          </cell>
        </row>
        <row r="585">
          <cell r="MH585" t="str">
            <v>IQ22727510</v>
          </cell>
        </row>
        <row r="586">
          <cell r="MH586" t="str">
            <v>IQ240059094</v>
          </cell>
        </row>
        <row r="587">
          <cell r="MH587" t="str">
            <v>IQ560115160</v>
          </cell>
        </row>
        <row r="588">
          <cell r="MH588" t="str">
            <v>IQ1082551</v>
          </cell>
        </row>
        <row r="589">
          <cell r="MH589" t="str">
            <v>IQ3659223</v>
          </cell>
        </row>
        <row r="590">
          <cell r="MH590" t="str">
            <v>IQ269268706</v>
          </cell>
        </row>
        <row r="591">
          <cell r="MH591" t="str">
            <v>IQ228936606</v>
          </cell>
        </row>
        <row r="592">
          <cell r="MH592" t="str">
            <v>IQ430222202</v>
          </cell>
        </row>
        <row r="593">
          <cell r="MH593" t="str">
            <v>IQ278301598</v>
          </cell>
        </row>
        <row r="594">
          <cell r="MH594" t="str">
            <v>IQ130413771</v>
          </cell>
        </row>
        <row r="595">
          <cell r="MH595" t="str">
            <v>IQ43921099</v>
          </cell>
        </row>
        <row r="596">
          <cell r="MH596" t="str">
            <v>IQ99042036</v>
          </cell>
        </row>
        <row r="597">
          <cell r="MH597" t="str">
            <v>IQ227952638</v>
          </cell>
        </row>
        <row r="598">
          <cell r="MH598" t="str">
            <v>IQ100603137</v>
          </cell>
        </row>
        <row r="599">
          <cell r="MH599" t="str">
            <v>IQ22684486</v>
          </cell>
        </row>
        <row r="600">
          <cell r="MH600" t="str">
            <v>IQ54724733</v>
          </cell>
        </row>
        <row r="601">
          <cell r="MH601" t="str">
            <v>IQ41355347</v>
          </cell>
        </row>
        <row r="602">
          <cell r="MH602" t="str">
            <v>IQ29945163</v>
          </cell>
        </row>
        <row r="603">
          <cell r="MH603" t="str">
            <v>IQ21905857</v>
          </cell>
        </row>
        <row r="604">
          <cell r="MH604" t="str">
            <v>IQ254503332</v>
          </cell>
        </row>
        <row r="605">
          <cell r="MH605" t="str">
            <v>IQ548221128</v>
          </cell>
        </row>
        <row r="606">
          <cell r="MH606" t="str">
            <v>IQ34071719</v>
          </cell>
        </row>
        <row r="607">
          <cell r="MH607" t="str">
            <v>IQ41620476</v>
          </cell>
        </row>
        <row r="608">
          <cell r="MH608" t="str">
            <v>IQ27526669</v>
          </cell>
        </row>
        <row r="609">
          <cell r="MH609" t="str">
            <v>IQ312095694</v>
          </cell>
        </row>
        <row r="610">
          <cell r="MH610" t="str">
            <v>IQ34281698</v>
          </cell>
        </row>
        <row r="611">
          <cell r="MH611" t="str">
            <v>IQ35561016</v>
          </cell>
        </row>
        <row r="612">
          <cell r="MH612" t="str">
            <v>IQ48814198</v>
          </cell>
        </row>
        <row r="613">
          <cell r="MH613" t="str">
            <v>IQ35372179</v>
          </cell>
        </row>
        <row r="614">
          <cell r="MH614" t="str">
            <v>IQ239951848</v>
          </cell>
        </row>
        <row r="615">
          <cell r="MH615" t="str">
            <v>IQ20962409</v>
          </cell>
        </row>
        <row r="616">
          <cell r="MH616" t="str">
            <v>IQ39127042</v>
          </cell>
        </row>
        <row r="617">
          <cell r="MH617" t="str">
            <v>IQ20476710</v>
          </cell>
        </row>
        <row r="618">
          <cell r="MH618" t="str">
            <v>IQ533960576</v>
          </cell>
        </row>
        <row r="619">
          <cell r="MH619" t="str">
            <v>IQ23109</v>
          </cell>
        </row>
        <row r="620">
          <cell r="MH620" t="str">
            <v>IQ27081503</v>
          </cell>
        </row>
        <row r="621">
          <cell r="MH621" t="str">
            <v>IQ26763006</v>
          </cell>
        </row>
        <row r="622">
          <cell r="MH622" t="str">
            <v>IQ43249334</v>
          </cell>
        </row>
        <row r="623">
          <cell r="MH623" t="str">
            <v>IQ623290749</v>
          </cell>
        </row>
        <row r="624">
          <cell r="MH624" t="str">
            <v>IQ290195378</v>
          </cell>
        </row>
        <row r="625">
          <cell r="MH625" t="str">
            <v>IQ27085653</v>
          </cell>
        </row>
        <row r="626">
          <cell r="MH626" t="str">
            <v>IQ2000777</v>
          </cell>
        </row>
        <row r="627">
          <cell r="MH627" t="str">
            <v>IQ5479354</v>
          </cell>
        </row>
        <row r="628">
          <cell r="MH628" t="str">
            <v>IQ4663975</v>
          </cell>
        </row>
        <row r="629">
          <cell r="MH629" t="str">
            <v>IQ183418682</v>
          </cell>
        </row>
        <row r="630">
          <cell r="MH630" t="str">
            <v>IQ35197552</v>
          </cell>
        </row>
        <row r="631">
          <cell r="MH631" t="str">
            <v>IQ4848662</v>
          </cell>
        </row>
        <row r="632">
          <cell r="MH632" t="str">
            <v>IQ243336559</v>
          </cell>
        </row>
        <row r="633">
          <cell r="MH633" t="str">
            <v>IQ5642826</v>
          </cell>
        </row>
        <row r="634">
          <cell r="MH634" t="str">
            <v>IQ111261879</v>
          </cell>
        </row>
        <row r="635">
          <cell r="MH635" t="str">
            <v>IQ51310786</v>
          </cell>
        </row>
        <row r="636">
          <cell r="MH636" t="str">
            <v>IQ27145597</v>
          </cell>
        </row>
        <row r="637">
          <cell r="MH637" t="str">
            <v>IQ4664846</v>
          </cell>
        </row>
        <row r="638">
          <cell r="MH638" t="str">
            <v>IQ29004864</v>
          </cell>
        </row>
        <row r="639">
          <cell r="MH639" t="str">
            <v>IQ270187166</v>
          </cell>
        </row>
        <row r="640">
          <cell r="MH640" t="str">
            <v>IQ60771590</v>
          </cell>
        </row>
        <row r="641">
          <cell r="MH641" t="str">
            <v>IQ13718029</v>
          </cell>
        </row>
        <row r="642">
          <cell r="MH642" t="str">
            <v>IQ208573768</v>
          </cell>
        </row>
        <row r="643">
          <cell r="MH643" t="str">
            <v>IQ2914330</v>
          </cell>
        </row>
        <row r="644">
          <cell r="MH644" t="str">
            <v>IQ3597558</v>
          </cell>
        </row>
        <row r="645">
          <cell r="MH645" t="str">
            <v>IQ679572</v>
          </cell>
        </row>
        <row r="646">
          <cell r="MH646" t="str">
            <v>IQ735590</v>
          </cell>
        </row>
        <row r="647">
          <cell r="MH647" t="str">
            <v>IQ24951373</v>
          </cell>
        </row>
        <row r="648">
          <cell r="MH648" t="str">
            <v>IQ33797689</v>
          </cell>
        </row>
        <row r="649">
          <cell r="MH649" t="str">
            <v>IQ955817</v>
          </cell>
        </row>
        <row r="650">
          <cell r="MH650" t="str">
            <v>IQ27061239</v>
          </cell>
        </row>
        <row r="651">
          <cell r="MH651" t="str">
            <v>IQ4534057</v>
          </cell>
        </row>
        <row r="652">
          <cell r="MH652" t="str">
            <v>IQ253523195</v>
          </cell>
        </row>
        <row r="653">
          <cell r="MH653" t="str">
            <v>IQ51598471</v>
          </cell>
        </row>
        <row r="654">
          <cell r="MH654" t="str">
            <v>IQ35271614</v>
          </cell>
        </row>
        <row r="655">
          <cell r="MH655" t="str">
            <v>IQ40786191</v>
          </cell>
        </row>
        <row r="656">
          <cell r="MH656" t="str">
            <v>IQ310951845</v>
          </cell>
        </row>
        <row r="657">
          <cell r="MH657" t="str">
            <v>IQ24163319</v>
          </cell>
        </row>
        <row r="658">
          <cell r="MH658" t="str">
            <v>IQ4029936</v>
          </cell>
        </row>
        <row r="659">
          <cell r="MH659" t="str">
            <v>IQ4849059</v>
          </cell>
        </row>
        <row r="660">
          <cell r="MH660" t="str">
            <v>IQ254932990</v>
          </cell>
        </row>
        <row r="661">
          <cell r="MH661" t="str">
            <v>IQ109221279</v>
          </cell>
        </row>
        <row r="662">
          <cell r="MH662" t="str">
            <v>IQ27463404</v>
          </cell>
        </row>
        <row r="663">
          <cell r="MH663" t="str">
            <v>IQ27399608</v>
          </cell>
        </row>
        <row r="664">
          <cell r="MH664" t="str">
            <v>IQ544088665</v>
          </cell>
        </row>
        <row r="665">
          <cell r="MH665" t="str">
            <v>IQ27407040</v>
          </cell>
        </row>
        <row r="666">
          <cell r="MH666" t="str">
            <v>IQ13226707</v>
          </cell>
        </row>
        <row r="667">
          <cell r="MH667" t="str">
            <v>IQ411828783</v>
          </cell>
        </row>
        <row r="668">
          <cell r="MH668" t="str">
            <v>IQ9588430</v>
          </cell>
        </row>
        <row r="669">
          <cell r="MH669" t="str">
            <v>IQ520372</v>
          </cell>
        </row>
        <row r="670">
          <cell r="MH670" t="str">
            <v>IQ576952112</v>
          </cell>
        </row>
        <row r="671">
          <cell r="MH671" t="str">
            <v>IQ4032076</v>
          </cell>
        </row>
        <row r="672">
          <cell r="MH672" t="str">
            <v>IQ61478175</v>
          </cell>
        </row>
        <row r="673">
          <cell r="MH673" t="str">
            <v>IQ231008562</v>
          </cell>
        </row>
        <row r="674">
          <cell r="MH674" t="str">
            <v>IQ548428725</v>
          </cell>
        </row>
        <row r="675">
          <cell r="MH675" t="str">
            <v>IQ208441208</v>
          </cell>
        </row>
        <row r="676">
          <cell r="MH676" t="str">
            <v>IQ30838215</v>
          </cell>
        </row>
        <row r="677">
          <cell r="MH677" t="str">
            <v>IQ42647077</v>
          </cell>
        </row>
        <row r="678">
          <cell r="MH678" t="str">
            <v>IQ263530924</v>
          </cell>
        </row>
        <row r="679">
          <cell r="MH679" t="str">
            <v>IQ330259680</v>
          </cell>
        </row>
        <row r="680">
          <cell r="MH680" t="str">
            <v>IQ244198396</v>
          </cell>
        </row>
        <row r="681">
          <cell r="MH681" t="str">
            <v>IQ154048800</v>
          </cell>
        </row>
        <row r="682">
          <cell r="MH682" t="str">
            <v>IQ52776005</v>
          </cell>
        </row>
        <row r="683">
          <cell r="MH683" t="str">
            <v>IQ69090959</v>
          </cell>
        </row>
        <row r="684">
          <cell r="MH684" t="str">
            <v>IQ237789991</v>
          </cell>
        </row>
        <row r="685">
          <cell r="MH685" t="str">
            <v>IQ8159726</v>
          </cell>
        </row>
        <row r="686">
          <cell r="MH686" t="str">
            <v>IQ6907927</v>
          </cell>
        </row>
        <row r="687">
          <cell r="MH687" t="str">
            <v>IQ301513280</v>
          </cell>
        </row>
        <row r="688">
          <cell r="MH688" t="str">
            <v>IQ5644742</v>
          </cell>
        </row>
        <row r="689">
          <cell r="MH689" t="str">
            <v>IQ6490602</v>
          </cell>
        </row>
        <row r="690">
          <cell r="MH690" t="str">
            <v>IQ301326389</v>
          </cell>
        </row>
        <row r="691">
          <cell r="MH691" t="str">
            <v>IQ281779894</v>
          </cell>
        </row>
        <row r="692">
          <cell r="MH692" t="str">
            <v>IQ27128739</v>
          </cell>
        </row>
        <row r="693">
          <cell r="MH693" t="str">
            <v>IQ323605028</v>
          </cell>
        </row>
        <row r="694">
          <cell r="MH694" t="str">
            <v>IQ7886076</v>
          </cell>
        </row>
        <row r="695">
          <cell r="MH695" t="str">
            <v>IQ529566728</v>
          </cell>
        </row>
        <row r="696">
          <cell r="MH696" t="str">
            <v>IQ560115129</v>
          </cell>
        </row>
        <row r="697">
          <cell r="MH697" t="str">
            <v>IQ24210652</v>
          </cell>
        </row>
        <row r="698">
          <cell r="MH698" t="str">
            <v>IQ432624629</v>
          </cell>
        </row>
        <row r="699">
          <cell r="MH699" t="str">
            <v>IQ84134769</v>
          </cell>
        </row>
        <row r="700">
          <cell r="MH700" t="str">
            <v>IQ424882400</v>
          </cell>
        </row>
        <row r="701">
          <cell r="MH701" t="str">
            <v>IQ27143856</v>
          </cell>
        </row>
        <row r="702">
          <cell r="MH702" t="str">
            <v>IQ29326294</v>
          </cell>
        </row>
        <row r="703">
          <cell r="MH703" t="str">
            <v>IQ23753262</v>
          </cell>
        </row>
        <row r="704">
          <cell r="MH704" t="str">
            <v>IQ224055425</v>
          </cell>
        </row>
        <row r="705">
          <cell r="MH705" t="str">
            <v>IQ22262799</v>
          </cell>
        </row>
        <row r="706">
          <cell r="MH706" t="str">
            <v>IQ43180759</v>
          </cell>
        </row>
        <row r="707">
          <cell r="MH707" t="str">
            <v>IQ27409772</v>
          </cell>
        </row>
        <row r="708">
          <cell r="MH708" t="str">
            <v>IQ574988026</v>
          </cell>
        </row>
        <row r="709">
          <cell r="MH709" t="str">
            <v>IQ62079237</v>
          </cell>
        </row>
        <row r="710">
          <cell r="MH710" t="str">
            <v>IQ253906098</v>
          </cell>
        </row>
        <row r="711">
          <cell r="MH711" t="str">
            <v>IQ35622070</v>
          </cell>
        </row>
        <row r="712">
          <cell r="MH712" t="str">
            <v>IQ145004018</v>
          </cell>
        </row>
        <row r="713">
          <cell r="MH713" t="str">
            <v>IQ924187</v>
          </cell>
        </row>
        <row r="714">
          <cell r="MH714" t="str">
            <v>IQ53746890</v>
          </cell>
        </row>
        <row r="715">
          <cell r="MH715" t="str">
            <v>IQ24021590</v>
          </cell>
        </row>
        <row r="716">
          <cell r="MH716" t="str">
            <v>IQ6868588</v>
          </cell>
        </row>
        <row r="717">
          <cell r="MH717" t="str">
            <v>IQ308524175</v>
          </cell>
        </row>
        <row r="718">
          <cell r="MH718" t="str">
            <v>IQ231871426</v>
          </cell>
        </row>
        <row r="719">
          <cell r="MH719" t="str">
            <v>IQ291374317</v>
          </cell>
        </row>
        <row r="720">
          <cell r="MH720" t="str">
            <v>IQ24020984</v>
          </cell>
        </row>
        <row r="721">
          <cell r="MH721" t="str">
            <v>IQ34278902</v>
          </cell>
        </row>
        <row r="722">
          <cell r="MH722" t="str">
            <v>IQ24902103</v>
          </cell>
        </row>
        <row r="723">
          <cell r="MH723" t="str">
            <v>IQ600421890</v>
          </cell>
        </row>
        <row r="724">
          <cell r="MH724" t="str">
            <v>IQ291032842</v>
          </cell>
        </row>
        <row r="725">
          <cell r="MH725" t="str">
            <v>IQ247448266</v>
          </cell>
        </row>
        <row r="726">
          <cell r="MH726" t="str">
            <v>IQ127039833</v>
          </cell>
        </row>
        <row r="727">
          <cell r="MH727" t="str">
            <v>IQ27771645</v>
          </cell>
        </row>
        <row r="728">
          <cell r="MH728" t="str">
            <v>IQ26467233</v>
          </cell>
        </row>
        <row r="729">
          <cell r="MH729" t="str">
            <v>IQ142847147</v>
          </cell>
        </row>
        <row r="730">
          <cell r="MH730" t="str">
            <v>IQ23614643</v>
          </cell>
        </row>
        <row r="731">
          <cell r="MH731" t="str">
            <v>IQ254108308</v>
          </cell>
        </row>
        <row r="732">
          <cell r="MH732" t="str">
            <v>IQ90485406</v>
          </cell>
        </row>
        <row r="733">
          <cell r="MH733" t="str">
            <v>IQ427187452</v>
          </cell>
        </row>
        <row r="734">
          <cell r="MH734" t="str">
            <v>IQ301054734</v>
          </cell>
        </row>
        <row r="735">
          <cell r="MH735" t="str">
            <v>IQ4522628</v>
          </cell>
        </row>
        <row r="736">
          <cell r="MH736" t="str">
            <v>IQ35506143</v>
          </cell>
        </row>
        <row r="737">
          <cell r="MH737" t="str">
            <v>IQ256907316</v>
          </cell>
        </row>
        <row r="738">
          <cell r="MH738" t="str">
            <v>IQ33757556</v>
          </cell>
        </row>
        <row r="739">
          <cell r="MH739" t="str">
            <v>IQ173616946</v>
          </cell>
        </row>
        <row r="740">
          <cell r="MH740" t="str">
            <v>IQ4612155</v>
          </cell>
        </row>
        <row r="741">
          <cell r="MH741" t="str">
            <v>IQ85066887</v>
          </cell>
        </row>
        <row r="742">
          <cell r="MH742" t="str">
            <v>IQ301487581</v>
          </cell>
        </row>
        <row r="743">
          <cell r="MH743" t="str">
            <v>IQ23756621</v>
          </cell>
        </row>
        <row r="744">
          <cell r="MH744" t="str">
            <v>IQ5113717</v>
          </cell>
        </row>
        <row r="745">
          <cell r="MH745" t="str">
            <v>IQ27084443</v>
          </cell>
        </row>
        <row r="746">
          <cell r="MH746" t="str">
            <v>IQ44700775</v>
          </cell>
        </row>
        <row r="747">
          <cell r="MH747" t="str">
            <v>IQ13335226</v>
          </cell>
        </row>
        <row r="748">
          <cell r="MH748" t="str">
            <v>IQ24191079</v>
          </cell>
        </row>
        <row r="749">
          <cell r="MH749" t="str">
            <v>IQ4581971</v>
          </cell>
        </row>
        <row r="750">
          <cell r="MH750" t="str">
            <v>IQ282286952</v>
          </cell>
        </row>
        <row r="751">
          <cell r="MH751" t="str">
            <v>IQ1911408</v>
          </cell>
        </row>
        <row r="752">
          <cell r="MH752" t="str">
            <v>IQ23813071</v>
          </cell>
        </row>
        <row r="753">
          <cell r="MH753" t="str">
            <v>IQ115832337</v>
          </cell>
        </row>
        <row r="754">
          <cell r="MH754" t="str">
            <v>IQ53062683</v>
          </cell>
        </row>
        <row r="755">
          <cell r="MH755" t="str">
            <v>IQ9441296</v>
          </cell>
        </row>
        <row r="756">
          <cell r="MH756" t="str">
            <v>IQ128521693</v>
          </cell>
        </row>
        <row r="757">
          <cell r="MH757" t="str">
            <v>IQ284602056</v>
          </cell>
        </row>
        <row r="758">
          <cell r="MH758" t="str">
            <v>IQ381442800</v>
          </cell>
        </row>
        <row r="759">
          <cell r="MH759" t="str">
            <v>IQ27482018</v>
          </cell>
        </row>
        <row r="760">
          <cell r="MH760" t="str">
            <v>IQ23645529</v>
          </cell>
        </row>
        <row r="761">
          <cell r="MH761" t="str">
            <v>IQ24113196</v>
          </cell>
        </row>
        <row r="762">
          <cell r="MH762" t="str">
            <v>IQ292660177</v>
          </cell>
        </row>
        <row r="763">
          <cell r="MH763" t="str">
            <v>IQ277816429</v>
          </cell>
        </row>
        <row r="764">
          <cell r="MH764" t="str">
            <v>IQ11869782</v>
          </cell>
        </row>
        <row r="765">
          <cell r="MH765" t="str">
            <v>IQ54834174</v>
          </cell>
        </row>
        <row r="766">
          <cell r="MH766" t="str">
            <v>IQ1828664</v>
          </cell>
        </row>
        <row r="767">
          <cell r="MH767" t="str">
            <v>IQ28957367</v>
          </cell>
        </row>
        <row r="768">
          <cell r="MH768" t="str">
            <v>IQ244597163</v>
          </cell>
        </row>
        <row r="769">
          <cell r="MH769" t="str">
            <v>IQ264193756</v>
          </cell>
        </row>
        <row r="770">
          <cell r="MH770" t="str">
            <v>IQ27461208</v>
          </cell>
        </row>
        <row r="771">
          <cell r="MH771" t="str">
            <v>IQ434005180</v>
          </cell>
        </row>
        <row r="772">
          <cell r="MH772" t="str">
            <v>IQ23597723</v>
          </cell>
        </row>
        <row r="773">
          <cell r="MH773" t="str">
            <v>IQ44541360</v>
          </cell>
        </row>
        <row r="774">
          <cell r="MH774" t="str">
            <v>IQ20463464</v>
          </cell>
        </row>
        <row r="775">
          <cell r="MH775" t="str">
            <v>IQ27146758</v>
          </cell>
        </row>
        <row r="776">
          <cell r="MH776" t="str">
            <v>IQ6093751</v>
          </cell>
        </row>
        <row r="777">
          <cell r="MH777" t="str">
            <v>IQ112716030</v>
          </cell>
        </row>
        <row r="778">
          <cell r="MH778" t="str">
            <v>IQ106415595</v>
          </cell>
        </row>
        <row r="779">
          <cell r="MH779" t="str">
            <v>IQ125673</v>
          </cell>
        </row>
        <row r="780">
          <cell r="MH780" t="str">
            <v>IQ53885100</v>
          </cell>
        </row>
        <row r="781">
          <cell r="MH781" t="str">
            <v>IQ33876394</v>
          </cell>
        </row>
        <row r="782">
          <cell r="MH782" t="str">
            <v>IQ291386612</v>
          </cell>
        </row>
        <row r="783">
          <cell r="MH783" t="str">
            <v>IQ24792911</v>
          </cell>
        </row>
        <row r="784">
          <cell r="MH784" t="str">
            <v>IQ79724355</v>
          </cell>
        </row>
        <row r="785">
          <cell r="MH785" t="str">
            <v>IQ44927822</v>
          </cell>
        </row>
        <row r="786">
          <cell r="MH786" t="str">
            <v>IQ569871128</v>
          </cell>
        </row>
        <row r="787">
          <cell r="MH787" t="str">
            <v>IQ140486585</v>
          </cell>
        </row>
        <row r="788">
          <cell r="MH788" t="str">
            <v>IQ35619785</v>
          </cell>
        </row>
        <row r="789">
          <cell r="MH789" t="str">
            <v>IQ253308974</v>
          </cell>
        </row>
        <row r="790">
          <cell r="MH790" t="str">
            <v>IQ208499061</v>
          </cell>
        </row>
        <row r="791">
          <cell r="MH791" t="str">
            <v>IQ140960641</v>
          </cell>
        </row>
        <row r="792">
          <cell r="MH792" t="str">
            <v>IQ243867877</v>
          </cell>
        </row>
        <row r="793">
          <cell r="MH793" t="str">
            <v>IQ34698933</v>
          </cell>
        </row>
        <row r="794">
          <cell r="MH794" t="str">
            <v>IQ34281664</v>
          </cell>
        </row>
        <row r="795">
          <cell r="MH795" t="str">
            <v>IQ540013608</v>
          </cell>
        </row>
        <row r="796">
          <cell r="MH796" t="str">
            <v>IQ319623829</v>
          </cell>
        </row>
        <row r="797">
          <cell r="MH797" t="str">
            <v>IQ44517940</v>
          </cell>
        </row>
        <row r="798">
          <cell r="MH798" t="str">
            <v>IQ263394385</v>
          </cell>
        </row>
        <row r="799">
          <cell r="MH799" t="str">
            <v>IQ27084734</v>
          </cell>
        </row>
        <row r="800">
          <cell r="MH800" t="str">
            <v>IQ581555830</v>
          </cell>
        </row>
        <row r="801">
          <cell r="MH801" t="str">
            <v>IQ37790679</v>
          </cell>
        </row>
        <row r="802">
          <cell r="MH802" t="str">
            <v>IQ26885169</v>
          </cell>
        </row>
        <row r="803">
          <cell r="MH803" t="str">
            <v>IQ27146667</v>
          </cell>
        </row>
        <row r="804">
          <cell r="MH804" t="str">
            <v>IQ42463679</v>
          </cell>
        </row>
        <row r="805">
          <cell r="MH805" t="str">
            <v>IQ372810776</v>
          </cell>
        </row>
        <row r="806">
          <cell r="MH806" t="str">
            <v>IQ291266926</v>
          </cell>
        </row>
        <row r="807">
          <cell r="MH807" t="str">
            <v>IQ24067389</v>
          </cell>
        </row>
        <row r="808">
          <cell r="MH808" t="str">
            <v>IQ27147400</v>
          </cell>
        </row>
        <row r="809">
          <cell r="MH809" t="str">
            <v>IQ255682624</v>
          </cell>
        </row>
        <row r="810">
          <cell r="MH810" t="str">
            <v>IQ551747702</v>
          </cell>
        </row>
        <row r="811">
          <cell r="MH811" t="str">
            <v>IQ734240</v>
          </cell>
        </row>
        <row r="812">
          <cell r="MH812" t="str">
            <v>IQ22261503</v>
          </cell>
        </row>
        <row r="813">
          <cell r="MH813" t="str">
            <v>IQ34485383</v>
          </cell>
        </row>
        <row r="814">
          <cell r="MH814" t="str">
            <v>IQ505870</v>
          </cell>
        </row>
        <row r="815">
          <cell r="MH815" t="str">
            <v>IQ650453</v>
          </cell>
        </row>
        <row r="816">
          <cell r="MH816" t="str">
            <v>IQ127135339</v>
          </cell>
        </row>
        <row r="817">
          <cell r="MH817" t="str">
            <v>IQ216260819</v>
          </cell>
        </row>
        <row r="818">
          <cell r="MH818" t="str">
            <v>IQ23553068</v>
          </cell>
        </row>
        <row r="819">
          <cell r="MH819" t="str">
            <v>IQ543175555</v>
          </cell>
        </row>
        <row r="820">
          <cell r="MH820" t="str">
            <v>IQ5103370</v>
          </cell>
        </row>
        <row r="821">
          <cell r="MH821" t="str">
            <v>IQ522842</v>
          </cell>
        </row>
        <row r="822">
          <cell r="MH822" t="str">
            <v>IQ215868932</v>
          </cell>
        </row>
        <row r="823">
          <cell r="MH823" t="str">
            <v>IQ27082108</v>
          </cell>
        </row>
        <row r="824">
          <cell r="MH824" t="str">
            <v>IQ215832965</v>
          </cell>
        </row>
        <row r="825">
          <cell r="MH825" t="str">
            <v>IQ231841365</v>
          </cell>
        </row>
        <row r="826">
          <cell r="MH826" t="str">
            <v>IQ43970186</v>
          </cell>
        </row>
        <row r="827">
          <cell r="MH827" t="str">
            <v>IQ262130690</v>
          </cell>
        </row>
        <row r="828">
          <cell r="MH828" t="str">
            <v>IQ295492950</v>
          </cell>
        </row>
        <row r="829">
          <cell r="MH829" t="str">
            <v>IQ129358790</v>
          </cell>
        </row>
        <row r="830">
          <cell r="MH830" t="str">
            <v>IQ683768</v>
          </cell>
        </row>
        <row r="831">
          <cell r="MH831" t="str">
            <v>IQ226584605</v>
          </cell>
        </row>
        <row r="832">
          <cell r="MH832" t="str">
            <v>IQ28244144</v>
          </cell>
        </row>
        <row r="833">
          <cell r="MH833" t="str">
            <v>IQ92002</v>
          </cell>
        </row>
        <row r="834">
          <cell r="MH834" t="str">
            <v>IQ23698889</v>
          </cell>
        </row>
        <row r="835">
          <cell r="MH835" t="str">
            <v>IQ27422903</v>
          </cell>
        </row>
        <row r="836">
          <cell r="MH836" t="str">
            <v>IQ548453894</v>
          </cell>
        </row>
        <row r="837">
          <cell r="MH837" t="str">
            <v>IQ276688708</v>
          </cell>
        </row>
        <row r="838">
          <cell r="MH838" t="str">
            <v>IQ9250581</v>
          </cell>
        </row>
        <row r="839">
          <cell r="MH839" t="str">
            <v>IQ24011944</v>
          </cell>
        </row>
        <row r="840">
          <cell r="MH840" t="str">
            <v>IQ27351964</v>
          </cell>
        </row>
        <row r="841">
          <cell r="MH841" t="str">
            <v>IQ145391468</v>
          </cell>
        </row>
        <row r="842">
          <cell r="MH842" t="str">
            <v>IQ325821517</v>
          </cell>
        </row>
        <row r="843">
          <cell r="MH843" t="str">
            <v>IQ433881563</v>
          </cell>
        </row>
        <row r="844">
          <cell r="MH844" t="str">
            <v>IQ228065879</v>
          </cell>
        </row>
        <row r="845">
          <cell r="MH845" t="str">
            <v>IQ346215319</v>
          </cell>
        </row>
        <row r="846">
          <cell r="MH846" t="str">
            <v>IQ5092719</v>
          </cell>
        </row>
        <row r="847">
          <cell r="MH847" t="str">
            <v>IQ975519</v>
          </cell>
        </row>
        <row r="848">
          <cell r="MH848" t="str">
            <v>IQ61760494</v>
          </cell>
        </row>
        <row r="849">
          <cell r="MH849" t="str">
            <v>IQ31017803</v>
          </cell>
        </row>
        <row r="850">
          <cell r="MH850" t="str">
            <v>IQ27084429</v>
          </cell>
        </row>
        <row r="851">
          <cell r="MH851" t="str">
            <v>IQ59287298</v>
          </cell>
        </row>
        <row r="852">
          <cell r="MH852" t="str">
            <v>IQ302522502</v>
          </cell>
        </row>
        <row r="853">
          <cell r="MH853" t="str">
            <v>IQ9831206</v>
          </cell>
        </row>
        <row r="854">
          <cell r="MH854" t="str">
            <v>IQ257106772</v>
          </cell>
        </row>
        <row r="855">
          <cell r="MH855" t="str">
            <v>IQ99572154</v>
          </cell>
        </row>
        <row r="856">
          <cell r="MH856" t="str">
            <v>IQ41260360</v>
          </cell>
        </row>
        <row r="857">
          <cell r="MH857" t="str">
            <v>IQ257107758</v>
          </cell>
        </row>
        <row r="858">
          <cell r="MH858" t="str">
            <v>IQ27351090</v>
          </cell>
        </row>
        <row r="859">
          <cell r="MH859" t="str">
            <v>IQ345498640</v>
          </cell>
        </row>
        <row r="860">
          <cell r="MH860" t="str">
            <v>IQ38948683</v>
          </cell>
        </row>
        <row r="861">
          <cell r="MH861" t="str">
            <v>IQ133258893</v>
          </cell>
        </row>
        <row r="862">
          <cell r="MH862" t="str">
            <v>IQ48989415</v>
          </cell>
        </row>
        <row r="863">
          <cell r="MH863" t="str">
            <v>IQ26790668</v>
          </cell>
        </row>
        <row r="864">
          <cell r="MH864" t="str">
            <v>IQ42681952</v>
          </cell>
        </row>
        <row r="865">
          <cell r="MH865" t="str">
            <v>IQ33799940</v>
          </cell>
        </row>
        <row r="866">
          <cell r="MH866" t="str">
            <v>IQ424213628</v>
          </cell>
        </row>
        <row r="867">
          <cell r="MH867" t="str">
            <v>IQ302736681</v>
          </cell>
        </row>
        <row r="868">
          <cell r="MH868" t="str">
            <v>IQ23898742</v>
          </cell>
        </row>
        <row r="869">
          <cell r="MH869" t="str">
            <v>IQ300944584</v>
          </cell>
        </row>
        <row r="870">
          <cell r="MH870" t="str">
            <v>IQ34277244</v>
          </cell>
        </row>
        <row r="871">
          <cell r="MH871" t="str">
            <v>IQ27363947</v>
          </cell>
        </row>
        <row r="872">
          <cell r="MH872" t="str">
            <v>IQ35230859</v>
          </cell>
        </row>
        <row r="873">
          <cell r="MH873" t="str">
            <v>IQ429925243</v>
          </cell>
        </row>
        <row r="874">
          <cell r="MH874" t="str">
            <v>IQ246735609</v>
          </cell>
        </row>
        <row r="875">
          <cell r="MH875" t="str">
            <v>IQ27128413</v>
          </cell>
        </row>
        <row r="876">
          <cell r="MH876" t="str">
            <v>IQ98235088</v>
          </cell>
        </row>
        <row r="877">
          <cell r="MH877" t="str">
            <v>IQ302195387</v>
          </cell>
        </row>
        <row r="878">
          <cell r="MH878" t="str">
            <v>IQ317729894</v>
          </cell>
        </row>
        <row r="879">
          <cell r="MH879" t="str">
            <v>IQ5303220</v>
          </cell>
        </row>
        <row r="880">
          <cell r="MH880" t="str">
            <v>IQ22781267</v>
          </cell>
        </row>
        <row r="881">
          <cell r="MH881" t="str">
            <v>IQ37124408</v>
          </cell>
        </row>
        <row r="882">
          <cell r="MH882" t="str">
            <v>IQ697623</v>
          </cell>
        </row>
        <row r="883">
          <cell r="MH883" t="str">
            <v>IQ60537049</v>
          </cell>
        </row>
        <row r="884">
          <cell r="MH884" t="str">
            <v>IQ283189842</v>
          </cell>
        </row>
        <row r="885">
          <cell r="MH885" t="str">
            <v>IQ53181367</v>
          </cell>
        </row>
        <row r="886">
          <cell r="MH886" t="str">
            <v>IQ319100573</v>
          </cell>
        </row>
        <row r="887">
          <cell r="MH887" t="str">
            <v>IQ35538436</v>
          </cell>
        </row>
        <row r="888">
          <cell r="MH888" t="str">
            <v>IQ1019671</v>
          </cell>
        </row>
        <row r="889">
          <cell r="MH889" t="str">
            <v>IQ383656946</v>
          </cell>
        </row>
        <row r="890">
          <cell r="MH890" t="str">
            <v>IQ11186714</v>
          </cell>
        </row>
        <row r="891">
          <cell r="MH891" t="str">
            <v>IQ28676282</v>
          </cell>
        </row>
        <row r="892">
          <cell r="MH892" t="str">
            <v>IQ27936387</v>
          </cell>
        </row>
        <row r="893">
          <cell r="MH893" t="str">
            <v>IQ254256547</v>
          </cell>
        </row>
        <row r="894">
          <cell r="MH894" t="str">
            <v>IQ159233</v>
          </cell>
        </row>
        <row r="895">
          <cell r="MH895" t="str">
            <v>IQ43251526</v>
          </cell>
        </row>
        <row r="896">
          <cell r="MH896" t="str">
            <v>IQ207032794</v>
          </cell>
        </row>
        <row r="897">
          <cell r="MH897" t="str">
            <v>IQ38781405</v>
          </cell>
        </row>
        <row r="898">
          <cell r="MH898" t="str">
            <v>IQ23609327</v>
          </cell>
        </row>
        <row r="899">
          <cell r="MH899" t="str">
            <v>IQ7641592</v>
          </cell>
        </row>
        <row r="900">
          <cell r="MH900" t="str">
            <v>IQ51588181</v>
          </cell>
        </row>
        <row r="901">
          <cell r="MH901" t="str">
            <v>IQ24548544</v>
          </cell>
        </row>
        <row r="902">
          <cell r="MH902" t="str">
            <v>IQ32676532</v>
          </cell>
        </row>
        <row r="903">
          <cell r="MH903" t="str">
            <v>IQ39092613</v>
          </cell>
        </row>
        <row r="904">
          <cell r="MH904" t="str">
            <v>IQ533961568</v>
          </cell>
        </row>
        <row r="905">
          <cell r="MH905" t="str">
            <v>IQ23797640</v>
          </cell>
        </row>
        <row r="906">
          <cell r="MH906" t="str">
            <v>IQ116511152</v>
          </cell>
        </row>
        <row r="907">
          <cell r="MH907" t="str">
            <v>IQ424423451</v>
          </cell>
        </row>
        <row r="908">
          <cell r="MH908" t="str">
            <v>IQ285959409</v>
          </cell>
        </row>
        <row r="909">
          <cell r="MH909" t="str">
            <v>IQ607674706</v>
          </cell>
        </row>
        <row r="910">
          <cell r="MH910" t="str">
            <v>IQ4590071</v>
          </cell>
        </row>
        <row r="911">
          <cell r="MH911" t="str">
            <v>IQ27368120</v>
          </cell>
        </row>
        <row r="912">
          <cell r="MH912" t="str">
            <v>IQ5074176</v>
          </cell>
        </row>
        <row r="913">
          <cell r="MH913" t="str">
            <v>IQ254033706</v>
          </cell>
        </row>
        <row r="914">
          <cell r="MH914" t="str">
            <v>IQ584998847</v>
          </cell>
        </row>
        <row r="915">
          <cell r="MH915" t="str">
            <v>IQ409228541</v>
          </cell>
        </row>
        <row r="916">
          <cell r="MH916" t="str">
            <v>IQ372817789</v>
          </cell>
        </row>
        <row r="917">
          <cell r="MH917" t="str">
            <v>IQ35697613</v>
          </cell>
        </row>
        <row r="918">
          <cell r="MH918" t="str">
            <v>IQ224024664</v>
          </cell>
        </row>
        <row r="919">
          <cell r="MH919" t="str">
            <v>IQ20750898</v>
          </cell>
        </row>
        <row r="920">
          <cell r="MH920" t="str">
            <v>IQ85215500</v>
          </cell>
        </row>
        <row r="921">
          <cell r="MH921" t="str">
            <v>IQ285326692</v>
          </cell>
        </row>
        <row r="922">
          <cell r="MH922" t="str">
            <v>IQ23813074</v>
          </cell>
        </row>
        <row r="923">
          <cell r="MH923" t="str">
            <v>IQ11941971</v>
          </cell>
        </row>
        <row r="924">
          <cell r="MH924" t="str">
            <v>IQ53885061</v>
          </cell>
        </row>
        <row r="925">
          <cell r="MH925" t="str">
            <v>IQ291415935</v>
          </cell>
        </row>
        <row r="926">
          <cell r="MH926" t="str">
            <v>IQ302213674</v>
          </cell>
        </row>
        <row r="927">
          <cell r="MH927" t="str">
            <v>IQ30124556</v>
          </cell>
        </row>
        <row r="928">
          <cell r="MH928" t="str">
            <v>IQ274840963</v>
          </cell>
        </row>
        <row r="929">
          <cell r="MH929" t="str">
            <v>IQ217281992</v>
          </cell>
        </row>
        <row r="930">
          <cell r="MH930" t="str">
            <v>IQ291395236</v>
          </cell>
        </row>
        <row r="931">
          <cell r="MH931" t="str">
            <v>IQ12438645</v>
          </cell>
        </row>
        <row r="932">
          <cell r="MH932" t="str">
            <v>IQ237361238</v>
          </cell>
        </row>
        <row r="933">
          <cell r="MH933" t="str">
            <v>IQ23529471</v>
          </cell>
        </row>
        <row r="934">
          <cell r="MH934" t="str">
            <v>IQ705931</v>
          </cell>
        </row>
        <row r="935">
          <cell r="MH935" t="str">
            <v>IQ319548365</v>
          </cell>
        </row>
        <row r="936">
          <cell r="MH936" t="str">
            <v>IQ765134</v>
          </cell>
        </row>
        <row r="937">
          <cell r="MH937" t="str">
            <v>IQ241348182</v>
          </cell>
        </row>
        <row r="938">
          <cell r="MH938" t="str">
            <v>IQ319365835</v>
          </cell>
        </row>
        <row r="939">
          <cell r="MH939" t="str">
            <v>IQ23133922</v>
          </cell>
        </row>
        <row r="940">
          <cell r="MH940" t="str">
            <v>IQ291374092</v>
          </cell>
        </row>
        <row r="941">
          <cell r="MH941" t="str">
            <v>IQ573105973</v>
          </cell>
        </row>
        <row r="942">
          <cell r="MH942" t="str">
            <v>IQ23613063</v>
          </cell>
        </row>
        <row r="943">
          <cell r="MH943" t="str">
            <v>IQ1516071</v>
          </cell>
        </row>
        <row r="944">
          <cell r="MH944" t="str">
            <v>IQ20460758</v>
          </cell>
        </row>
        <row r="945">
          <cell r="MH945" t="str">
            <v>IQ134729611</v>
          </cell>
        </row>
        <row r="946">
          <cell r="MH946" t="str">
            <v>IQ27130292</v>
          </cell>
        </row>
        <row r="947">
          <cell r="MH947" t="str">
            <v>IQ11479694</v>
          </cell>
        </row>
        <row r="948">
          <cell r="MH948" t="str">
            <v>IQ35106235</v>
          </cell>
        </row>
        <row r="949">
          <cell r="MH949" t="str">
            <v>IQ4857025</v>
          </cell>
        </row>
        <row r="950">
          <cell r="MH950" t="str">
            <v>IQ37081295</v>
          </cell>
        </row>
        <row r="951">
          <cell r="MH951" t="str">
            <v>IQ204555690</v>
          </cell>
        </row>
        <row r="952">
          <cell r="MH952" t="str">
            <v>IQ46496898</v>
          </cell>
        </row>
        <row r="953">
          <cell r="MH953" t="str">
            <v>IQ4074143</v>
          </cell>
        </row>
        <row r="954">
          <cell r="MH954" t="str">
            <v>IQ535796418</v>
          </cell>
        </row>
        <row r="955">
          <cell r="MH955" t="str">
            <v>IQ31046144</v>
          </cell>
        </row>
        <row r="956">
          <cell r="MH956" t="str">
            <v>IQ208496723</v>
          </cell>
        </row>
        <row r="957">
          <cell r="MH957" t="str">
            <v>IQ430198997</v>
          </cell>
        </row>
        <row r="958">
          <cell r="MH958" t="str">
            <v>IQ622486065</v>
          </cell>
        </row>
        <row r="959">
          <cell r="MH959" t="str">
            <v>IQ38553961</v>
          </cell>
        </row>
        <row r="960">
          <cell r="MH960" t="str">
            <v>IQ24399832</v>
          </cell>
        </row>
        <row r="961">
          <cell r="MH961" t="str">
            <v>IQ27083842</v>
          </cell>
        </row>
        <row r="962">
          <cell r="MH962" t="str">
            <v>IQ27083509</v>
          </cell>
        </row>
        <row r="963">
          <cell r="MH963" t="str">
            <v>IQ128915442</v>
          </cell>
        </row>
        <row r="964">
          <cell r="MH964" t="str">
            <v>IQ216603218</v>
          </cell>
        </row>
        <row r="965">
          <cell r="MH965" t="str">
            <v>IQ139759634</v>
          </cell>
        </row>
        <row r="966">
          <cell r="MH966" t="str">
            <v>IQ291375606</v>
          </cell>
        </row>
        <row r="967">
          <cell r="MH967" t="str">
            <v>IQ170198298</v>
          </cell>
        </row>
        <row r="968">
          <cell r="MH968" t="str">
            <v>IQ4876418</v>
          </cell>
        </row>
        <row r="969">
          <cell r="MH969" t="str">
            <v>IQ2042587</v>
          </cell>
        </row>
        <row r="970">
          <cell r="MH970" t="str">
            <v>IQ284859483</v>
          </cell>
        </row>
        <row r="971">
          <cell r="MH971" t="str">
            <v>IQ642863546</v>
          </cell>
        </row>
        <row r="972">
          <cell r="MH972" t="str">
            <v>IQ7997569</v>
          </cell>
        </row>
        <row r="973">
          <cell r="MH973" t="str">
            <v>IQ134235125</v>
          </cell>
        </row>
        <row r="974">
          <cell r="MH974" t="str">
            <v>IQ383220215</v>
          </cell>
        </row>
        <row r="975">
          <cell r="MH975" t="str">
            <v>IQ59677041</v>
          </cell>
        </row>
        <row r="976">
          <cell r="MH976" t="str">
            <v>IQ262833297</v>
          </cell>
        </row>
        <row r="977">
          <cell r="MH977" t="str">
            <v>IQ30181474</v>
          </cell>
        </row>
        <row r="978">
          <cell r="MH978" t="str">
            <v>IQ27294090</v>
          </cell>
        </row>
        <row r="979">
          <cell r="MH979" t="str">
            <v>IQ301314139</v>
          </cell>
        </row>
        <row r="980">
          <cell r="MH980" t="str">
            <v>IQ106632944</v>
          </cell>
        </row>
        <row r="981">
          <cell r="MH981" t="str">
            <v>IQ254487776</v>
          </cell>
        </row>
        <row r="982">
          <cell r="MH982" t="str">
            <v>IQ33779147</v>
          </cell>
        </row>
        <row r="983">
          <cell r="MH983" t="str">
            <v>IQ5103439</v>
          </cell>
        </row>
        <row r="984">
          <cell r="MH984" t="str">
            <v>IQ140426170</v>
          </cell>
        </row>
        <row r="985">
          <cell r="MH985" t="str">
            <v>IQ27936378</v>
          </cell>
        </row>
        <row r="986">
          <cell r="MH986" t="str">
            <v>IQ20704360</v>
          </cell>
        </row>
        <row r="987">
          <cell r="MH987" t="str">
            <v>IQ300933056</v>
          </cell>
        </row>
        <row r="988">
          <cell r="MH988" t="str">
            <v>IQ141202831</v>
          </cell>
        </row>
        <row r="989">
          <cell r="MH989" t="str">
            <v>IQ108509982</v>
          </cell>
        </row>
        <row r="990">
          <cell r="MH990" t="str">
            <v>IQ34724441</v>
          </cell>
        </row>
        <row r="991">
          <cell r="MH991" t="str">
            <v>IQ128871872</v>
          </cell>
        </row>
        <row r="992">
          <cell r="MH992" t="str">
            <v>IQ301793614</v>
          </cell>
        </row>
        <row r="993">
          <cell r="MH993" t="str">
            <v>IQ25169397</v>
          </cell>
        </row>
        <row r="994">
          <cell r="MH994" t="str">
            <v>IQ555722988</v>
          </cell>
        </row>
        <row r="995">
          <cell r="MH995" t="str">
            <v>IQ22743624</v>
          </cell>
        </row>
        <row r="996">
          <cell r="MH996" t="str">
            <v>IQ274468871</v>
          </cell>
        </row>
        <row r="997">
          <cell r="MH997" t="str">
            <v>IQ292672070</v>
          </cell>
        </row>
        <row r="998">
          <cell r="MH998" t="str">
            <v>IQ290737980</v>
          </cell>
        </row>
        <row r="999">
          <cell r="MH999" t="str">
            <v>IQ431476369</v>
          </cell>
        </row>
        <row r="1000">
          <cell r="MH1000" t="str">
            <v>IQ27146537</v>
          </cell>
        </row>
        <row r="1001">
          <cell r="MH1001" t="str">
            <v>IQ49755222</v>
          </cell>
        </row>
        <row r="1002">
          <cell r="MH1002" t="str">
            <v>IQ320144339</v>
          </cell>
        </row>
        <row r="1003">
          <cell r="MH1003" t="str">
            <v>IQ44148997</v>
          </cell>
        </row>
        <row r="1004">
          <cell r="MH1004" t="str">
            <v>IQ53064146</v>
          </cell>
        </row>
        <row r="1005">
          <cell r="MH1005" t="str">
            <v>IQ246298079</v>
          </cell>
        </row>
        <row r="1006">
          <cell r="MH1006" t="str">
            <v>IQ79640572</v>
          </cell>
        </row>
        <row r="1007">
          <cell r="MH1007" t="str">
            <v>IQ30588953</v>
          </cell>
        </row>
        <row r="1008">
          <cell r="MH1008" t="str">
            <v>IQ6233369</v>
          </cell>
        </row>
        <row r="1009">
          <cell r="MH1009" t="str">
            <v>IQ112341248</v>
          </cell>
        </row>
        <row r="1010">
          <cell r="MH1010" t="str">
            <v>IQ261482757</v>
          </cell>
        </row>
        <row r="1011">
          <cell r="MH1011" t="str">
            <v>IQ114769281</v>
          </cell>
        </row>
        <row r="1012">
          <cell r="MH1012" t="str">
            <v>IQ313254065</v>
          </cell>
        </row>
        <row r="1013">
          <cell r="MH1013" t="str">
            <v>IQ246313854</v>
          </cell>
        </row>
        <row r="1014">
          <cell r="MH1014" t="str">
            <v>IQ253961599</v>
          </cell>
        </row>
        <row r="1015">
          <cell r="MH1015" t="str">
            <v>IQ4613435</v>
          </cell>
        </row>
        <row r="1016">
          <cell r="MH1016" t="str">
            <v>IQ420120554</v>
          </cell>
        </row>
        <row r="1017">
          <cell r="MH1017" t="str">
            <v>IQ320345796</v>
          </cell>
        </row>
        <row r="1018">
          <cell r="MH1018" t="str">
            <v>IQ290195485</v>
          </cell>
        </row>
        <row r="1019">
          <cell r="MH1019" t="str">
            <v>IQ27485566</v>
          </cell>
        </row>
        <row r="1020">
          <cell r="MH1020" t="str">
            <v>IQ935621</v>
          </cell>
        </row>
        <row r="1021">
          <cell r="MH1021" t="str">
            <v>IQ618750262</v>
          </cell>
        </row>
        <row r="1022">
          <cell r="MH1022" t="str">
            <v>IQ293539463</v>
          </cell>
        </row>
        <row r="1023">
          <cell r="MH1023" t="str">
            <v>IQ27484829</v>
          </cell>
        </row>
        <row r="1024">
          <cell r="MH1024" t="str">
            <v>IQ380525</v>
          </cell>
        </row>
        <row r="1025">
          <cell r="MH1025" t="str">
            <v>IQ560139235</v>
          </cell>
        </row>
        <row r="1026">
          <cell r="MH1026" t="str">
            <v>IQ35541310</v>
          </cell>
        </row>
        <row r="1027">
          <cell r="MH1027" t="str">
            <v>IQ90680778</v>
          </cell>
        </row>
        <row r="1028">
          <cell r="MH1028" t="str">
            <v>IQ27770032</v>
          </cell>
        </row>
        <row r="1029">
          <cell r="MH1029" t="str">
            <v>IQ32858154</v>
          </cell>
        </row>
        <row r="1030">
          <cell r="MH1030" t="str">
            <v>IQ9450317</v>
          </cell>
        </row>
        <row r="1031">
          <cell r="MH1031" t="str">
            <v>IQ422554161</v>
          </cell>
        </row>
        <row r="1032">
          <cell r="MH1032" t="str">
            <v>IQ29666737</v>
          </cell>
        </row>
        <row r="1033">
          <cell r="MH1033" t="str">
            <v>IQ547889123</v>
          </cell>
        </row>
        <row r="1034">
          <cell r="MH1034" t="str">
            <v>IQ22536499</v>
          </cell>
        </row>
        <row r="1035">
          <cell r="MH1035" t="str">
            <v>IQ46235243</v>
          </cell>
        </row>
        <row r="1036">
          <cell r="MH1036" t="str">
            <v>IQ39263767</v>
          </cell>
        </row>
        <row r="1037">
          <cell r="MH1037" t="str">
            <v>IQ254946648</v>
          </cell>
        </row>
        <row r="1038">
          <cell r="MH1038" t="str">
            <v>IQ272165764</v>
          </cell>
        </row>
        <row r="1039">
          <cell r="MH1039" t="str">
            <v>IQ26735873</v>
          </cell>
        </row>
        <row r="1040">
          <cell r="MH1040" t="str">
            <v>IQ11461684</v>
          </cell>
        </row>
        <row r="1041">
          <cell r="MH1041" t="str">
            <v>IQ139024674</v>
          </cell>
        </row>
        <row r="1042">
          <cell r="MH1042" t="str">
            <v>IQ30180119</v>
          </cell>
        </row>
        <row r="1043">
          <cell r="MH1043" t="str">
            <v>IQ417656968</v>
          </cell>
        </row>
        <row r="1044">
          <cell r="MH1044" t="str">
            <v>IQ551820878</v>
          </cell>
        </row>
        <row r="1045">
          <cell r="MH1045" t="str">
            <v>IQ37414017</v>
          </cell>
        </row>
        <row r="1046">
          <cell r="MH1046" t="str">
            <v>IQ8239743</v>
          </cell>
        </row>
        <row r="1047">
          <cell r="MH1047" t="str">
            <v>IQ551928652</v>
          </cell>
        </row>
        <row r="1048">
          <cell r="MH1048" t="str">
            <v>IQ302480614</v>
          </cell>
        </row>
        <row r="1049">
          <cell r="MH1049" t="str">
            <v>IQ36660773</v>
          </cell>
        </row>
        <row r="1050">
          <cell r="MH1050" t="str">
            <v>IQ291115707</v>
          </cell>
        </row>
        <row r="1051">
          <cell r="MH1051" t="str">
            <v>IQ433881087</v>
          </cell>
        </row>
        <row r="1052">
          <cell r="MH1052" t="str">
            <v>IQ291404854</v>
          </cell>
        </row>
        <row r="1053">
          <cell r="MH1053" t="str">
            <v>IQ51709714</v>
          </cell>
        </row>
        <row r="1054">
          <cell r="MH1054" t="str">
            <v>IQ297159103</v>
          </cell>
        </row>
        <row r="1055">
          <cell r="MH1055" t="str">
            <v>IQ261233635</v>
          </cell>
        </row>
        <row r="1056">
          <cell r="MH1056" t="str">
            <v>IQ562683986</v>
          </cell>
        </row>
        <row r="1057">
          <cell r="MH1057" t="str">
            <v>IQ557996999</v>
          </cell>
        </row>
        <row r="1058">
          <cell r="MH1058" t="str">
            <v>IQ291112439</v>
          </cell>
        </row>
        <row r="1059">
          <cell r="MH1059" t="str">
            <v>IQ27128174</v>
          </cell>
        </row>
        <row r="1060">
          <cell r="MH1060" t="str">
            <v>IQ8734280</v>
          </cell>
        </row>
        <row r="1061">
          <cell r="MH1061" t="str">
            <v>IQ911845</v>
          </cell>
        </row>
        <row r="1062">
          <cell r="MH1062" t="str">
            <v>IQ132900472</v>
          </cell>
        </row>
        <row r="1063">
          <cell r="MH1063" t="str">
            <v>IQ27223800</v>
          </cell>
        </row>
        <row r="1064">
          <cell r="MH1064" t="str">
            <v>IQ42628062</v>
          </cell>
        </row>
        <row r="1065">
          <cell r="MH1065" t="str">
            <v>IQ43212226</v>
          </cell>
        </row>
        <row r="1066">
          <cell r="MH1066" t="str">
            <v>IQ99504367</v>
          </cell>
        </row>
        <row r="1067">
          <cell r="MH1067" t="str">
            <v>IQ153996239</v>
          </cell>
        </row>
        <row r="1068">
          <cell r="MH1068" t="str">
            <v>IQ291404195</v>
          </cell>
        </row>
        <row r="1069">
          <cell r="MH1069" t="str">
            <v>IQ79120701</v>
          </cell>
        </row>
        <row r="1070">
          <cell r="MH1070" t="str">
            <v>IQ23751471</v>
          </cell>
        </row>
        <row r="1071">
          <cell r="MH1071" t="str">
            <v>IQ241514882</v>
          </cell>
        </row>
        <row r="1072">
          <cell r="MH1072" t="str">
            <v>IQ183928915</v>
          </cell>
        </row>
        <row r="1073">
          <cell r="MH1073" t="str">
            <v>IQ9588835</v>
          </cell>
        </row>
        <row r="1074">
          <cell r="MH1074" t="str">
            <v>IQ52887287</v>
          </cell>
        </row>
        <row r="1075">
          <cell r="MH1075" t="str">
            <v>IQ212411497</v>
          </cell>
        </row>
        <row r="1076">
          <cell r="MH1076" t="str">
            <v>IQ302730046</v>
          </cell>
        </row>
        <row r="1077">
          <cell r="MH1077" t="str">
            <v>IQ23896067</v>
          </cell>
        </row>
        <row r="1078">
          <cell r="MH1078" t="str">
            <v>IQ269955441</v>
          </cell>
        </row>
        <row r="1079">
          <cell r="MH1079" t="str">
            <v>IQ318749039</v>
          </cell>
        </row>
        <row r="1080">
          <cell r="MH1080" t="str">
            <v>IQ22508041</v>
          </cell>
        </row>
        <row r="1081">
          <cell r="MH1081" t="str">
            <v>IQ59209421</v>
          </cell>
        </row>
        <row r="1082">
          <cell r="MH1082" t="str">
            <v>IQ140961067</v>
          </cell>
        </row>
        <row r="1083">
          <cell r="MH1083" t="str">
            <v>IQ301794751</v>
          </cell>
        </row>
        <row r="1084">
          <cell r="MH1084" t="str">
            <v>IQ292660833</v>
          </cell>
        </row>
        <row r="1085">
          <cell r="MH1085" t="str">
            <v>IQ228294035</v>
          </cell>
        </row>
        <row r="1086">
          <cell r="MH1086" t="str">
            <v>IQ1911473</v>
          </cell>
        </row>
        <row r="1087">
          <cell r="MH1087" t="str">
            <v>IQ4841442</v>
          </cell>
        </row>
        <row r="1088">
          <cell r="MH1088" t="str">
            <v>IQ301491559</v>
          </cell>
        </row>
        <row r="1089">
          <cell r="MH1089" t="str">
            <v>IQ256972123</v>
          </cell>
        </row>
        <row r="1090">
          <cell r="MH1090" t="str">
            <v>IQ13057110</v>
          </cell>
        </row>
        <row r="1091">
          <cell r="MH1091" t="str">
            <v>IQ433880863</v>
          </cell>
        </row>
        <row r="1092">
          <cell r="MH1092" t="str">
            <v>IQ35250905</v>
          </cell>
        </row>
        <row r="1093">
          <cell r="MH1093" t="str">
            <v>IQ23553566</v>
          </cell>
        </row>
        <row r="1094">
          <cell r="MH1094" t="str">
            <v>IQ22412898</v>
          </cell>
        </row>
        <row r="1095">
          <cell r="MH1095" t="str">
            <v>IQ931386</v>
          </cell>
        </row>
        <row r="1096">
          <cell r="MH1096" t="str">
            <v>IQ170228158</v>
          </cell>
        </row>
        <row r="1097">
          <cell r="MH1097" t="str">
            <v>IQ49254931</v>
          </cell>
        </row>
        <row r="1098">
          <cell r="MH1098" t="str">
            <v>IQ8358085</v>
          </cell>
        </row>
        <row r="1099">
          <cell r="MH1099" t="str">
            <v>IQ23897556</v>
          </cell>
        </row>
        <row r="1100">
          <cell r="MH1100" t="str">
            <v>IQ215654033</v>
          </cell>
        </row>
        <row r="1101">
          <cell r="MH1101" t="str">
            <v>IQ279554086</v>
          </cell>
        </row>
        <row r="1102">
          <cell r="MH1102" t="str">
            <v>IQ319365666</v>
          </cell>
        </row>
        <row r="1103">
          <cell r="MH1103" t="str">
            <v>IQ41356232</v>
          </cell>
        </row>
        <row r="1104">
          <cell r="MH1104" t="str">
            <v>IQ300449064</v>
          </cell>
        </row>
        <row r="1105">
          <cell r="MH1105" t="str">
            <v>IQ170922137</v>
          </cell>
        </row>
        <row r="1106">
          <cell r="MH1106" t="str">
            <v>IQ300917666</v>
          </cell>
        </row>
        <row r="1107">
          <cell r="MH1107" t="str">
            <v>IQ369810480</v>
          </cell>
        </row>
        <row r="1108">
          <cell r="MH1108" t="str">
            <v>IQ256403535</v>
          </cell>
        </row>
        <row r="1109">
          <cell r="MH1109" t="str">
            <v>IQ284958837</v>
          </cell>
        </row>
        <row r="1110">
          <cell r="MH1110" t="str">
            <v>IQ35620684</v>
          </cell>
        </row>
        <row r="1111">
          <cell r="MH1111" t="str">
            <v>IQ170250232</v>
          </cell>
        </row>
        <row r="1112">
          <cell r="MH1112" t="str">
            <v>IQ35112309</v>
          </cell>
        </row>
        <row r="1113">
          <cell r="MH1113" t="str">
            <v>IQ24320382</v>
          </cell>
        </row>
        <row r="1114">
          <cell r="MH1114" t="str">
            <v>IQ608606637</v>
          </cell>
        </row>
        <row r="1115">
          <cell r="MH1115" t="str">
            <v>IQ51732295</v>
          </cell>
        </row>
        <row r="1116">
          <cell r="MH1116" t="str">
            <v>IQ27771668</v>
          </cell>
        </row>
        <row r="1117">
          <cell r="MH1117" t="str">
            <v>IQ145481913</v>
          </cell>
        </row>
        <row r="1118">
          <cell r="MH1118" t="str">
            <v>IQ290581337</v>
          </cell>
        </row>
        <row r="1119">
          <cell r="MH1119" t="str">
            <v>IQ22210758</v>
          </cell>
        </row>
        <row r="1120">
          <cell r="MH1120" t="str">
            <v>IQ24548847</v>
          </cell>
        </row>
        <row r="1121">
          <cell r="MH1121" t="str">
            <v>IQ264509358</v>
          </cell>
        </row>
        <row r="1122">
          <cell r="MH1122" t="str">
            <v>IQ27265901</v>
          </cell>
        </row>
        <row r="1123">
          <cell r="MH1123" t="str">
            <v>IQ242575867</v>
          </cell>
        </row>
        <row r="1124">
          <cell r="MH1124" t="str">
            <v>IQ24559132</v>
          </cell>
        </row>
        <row r="1125">
          <cell r="MH1125" t="str">
            <v>IQ319628583</v>
          </cell>
        </row>
        <row r="1126">
          <cell r="MH1126" t="str">
            <v>IQ302271961</v>
          </cell>
        </row>
        <row r="1127">
          <cell r="MH1127" t="str">
            <v>IQ555496521</v>
          </cell>
        </row>
        <row r="1128">
          <cell r="MH1128" t="str">
            <v>IQ99944936</v>
          </cell>
        </row>
        <row r="1129">
          <cell r="MH1129" t="str">
            <v>IQ426362464</v>
          </cell>
        </row>
        <row r="1130">
          <cell r="MH1130" t="str">
            <v>IQ83751374</v>
          </cell>
        </row>
        <row r="1131">
          <cell r="MH1131" t="str">
            <v>IQ38801028</v>
          </cell>
        </row>
        <row r="1132">
          <cell r="MH1132" t="str">
            <v>IQ302795703</v>
          </cell>
        </row>
        <row r="1133">
          <cell r="MH1133" t="str">
            <v>IQ291513945</v>
          </cell>
        </row>
        <row r="1134">
          <cell r="MH1134" t="str">
            <v>IQ272967879</v>
          </cell>
        </row>
        <row r="1135">
          <cell r="MH1135" t="str">
            <v>IQ259753945</v>
          </cell>
        </row>
        <row r="1136">
          <cell r="MH1136" t="str">
            <v>IQ32584689</v>
          </cell>
        </row>
        <row r="1137">
          <cell r="MH1137" t="str">
            <v>IQ260140856</v>
          </cell>
        </row>
        <row r="1138">
          <cell r="MH1138" t="str">
            <v>IQ639253182</v>
          </cell>
        </row>
        <row r="1139">
          <cell r="MH1139" t="str">
            <v>IQ428040633</v>
          </cell>
        </row>
        <row r="1140">
          <cell r="MH1140" t="str">
            <v>IQ290619598</v>
          </cell>
        </row>
        <row r="1141">
          <cell r="MH1141" t="str">
            <v>IQ291054147</v>
          </cell>
        </row>
        <row r="1142">
          <cell r="MH1142" t="str">
            <v>IQ24226640</v>
          </cell>
        </row>
        <row r="1143">
          <cell r="MH1143" t="str">
            <v>IQ297094761</v>
          </cell>
        </row>
        <row r="1144">
          <cell r="MH1144" t="str">
            <v>IQ11941998</v>
          </cell>
        </row>
        <row r="1145">
          <cell r="MH1145" t="str">
            <v>IQ379884010</v>
          </cell>
        </row>
        <row r="1146">
          <cell r="MH1146" t="str">
            <v>IQ23886485</v>
          </cell>
        </row>
        <row r="1147">
          <cell r="MH1147" t="str">
            <v>IQ654339926</v>
          </cell>
        </row>
        <row r="1148">
          <cell r="MH1148" t="str">
            <v>IQ228294284</v>
          </cell>
        </row>
        <row r="1149">
          <cell r="MH1149" t="str">
            <v>IQ323653795</v>
          </cell>
        </row>
        <row r="1150">
          <cell r="MH1150" t="str">
            <v>IQ11929032</v>
          </cell>
        </row>
        <row r="1151">
          <cell r="MH1151" t="str">
            <v>IQ170898453</v>
          </cell>
        </row>
        <row r="1152">
          <cell r="MH1152" t="str">
            <v>IQ228294079</v>
          </cell>
        </row>
        <row r="1153">
          <cell r="MH1153" t="str">
            <v>IQ302183853</v>
          </cell>
        </row>
        <row r="1154">
          <cell r="MH1154" t="str">
            <v>IQ24438444</v>
          </cell>
        </row>
        <row r="1155">
          <cell r="MH1155" t="str">
            <v>IQ600899509</v>
          </cell>
        </row>
        <row r="1156">
          <cell r="MH1156" t="str">
            <v>IQ552072833</v>
          </cell>
        </row>
        <row r="1157">
          <cell r="MH1157" t="str">
            <v>IQ292173232</v>
          </cell>
        </row>
        <row r="1158">
          <cell r="MH1158" t="str">
            <v>IQ24083976</v>
          </cell>
        </row>
        <row r="1159">
          <cell r="MH1159" t="str">
            <v>IQ126978407</v>
          </cell>
        </row>
        <row r="1160">
          <cell r="MH1160" t="str">
            <v>IQ27130425</v>
          </cell>
        </row>
        <row r="1161">
          <cell r="MH1161" t="str">
            <v>IQ24674136</v>
          </cell>
        </row>
        <row r="1162">
          <cell r="MH1162" t="str">
            <v>IQ45272208</v>
          </cell>
        </row>
        <row r="1163">
          <cell r="MH1163" t="str">
            <v>IQ43323707</v>
          </cell>
        </row>
        <row r="1164">
          <cell r="MH1164" t="str">
            <v>IQ300665510</v>
          </cell>
        </row>
        <row r="1165">
          <cell r="MH1165" t="str">
            <v>IQ24862252</v>
          </cell>
        </row>
        <row r="1166">
          <cell r="MH1166" t="str">
            <v>IQ59167242</v>
          </cell>
        </row>
        <row r="1167">
          <cell r="MH1167" t="str">
            <v>IQ404281716</v>
          </cell>
        </row>
        <row r="1168">
          <cell r="MH1168" t="str">
            <v>IQ408398678</v>
          </cell>
        </row>
        <row r="1169">
          <cell r="MH1169" t="str">
            <v>IQ45791462</v>
          </cell>
        </row>
        <row r="1170">
          <cell r="MH1170" t="str">
            <v>IQ11810215</v>
          </cell>
        </row>
        <row r="1171">
          <cell r="MH1171" t="str">
            <v>IQ2444938</v>
          </cell>
        </row>
        <row r="1172">
          <cell r="MH1172" t="str">
            <v>IQ97933775</v>
          </cell>
        </row>
        <row r="1173">
          <cell r="MH1173" t="str">
            <v>IQ12453506</v>
          </cell>
        </row>
        <row r="1174">
          <cell r="MH1174" t="str">
            <v>IQ226910859</v>
          </cell>
        </row>
        <row r="1175">
          <cell r="MH1175" t="str">
            <v>IQ529551288</v>
          </cell>
        </row>
        <row r="1176">
          <cell r="MH1176" t="str">
            <v>IQ98129268</v>
          </cell>
        </row>
        <row r="1177">
          <cell r="MH1177" t="str">
            <v>IQ36663021</v>
          </cell>
        </row>
        <row r="1178">
          <cell r="MH1178" t="str">
            <v>IQ291107390</v>
          </cell>
        </row>
        <row r="1179">
          <cell r="MH1179" t="str">
            <v>IQ228065139</v>
          </cell>
        </row>
        <row r="1180">
          <cell r="MH1180" t="str">
            <v>IQ33571535</v>
          </cell>
        </row>
        <row r="1181">
          <cell r="MH1181" t="str">
            <v>IQ290441601</v>
          </cell>
        </row>
        <row r="1182">
          <cell r="MH1182" t="str">
            <v>IQ292790741</v>
          </cell>
        </row>
        <row r="1183">
          <cell r="MH1183" t="str">
            <v>IQ290713263</v>
          </cell>
        </row>
        <row r="1184">
          <cell r="MH1184" t="str">
            <v>IQ208537216</v>
          </cell>
        </row>
        <row r="1185">
          <cell r="MH1185" t="str">
            <v>IQ249908093</v>
          </cell>
        </row>
        <row r="1186">
          <cell r="MH1186" t="str">
            <v>IQ537642419</v>
          </cell>
        </row>
        <row r="1187">
          <cell r="MH1187" t="str">
            <v>IQ9845224</v>
          </cell>
        </row>
        <row r="1188">
          <cell r="MH1188" t="str">
            <v>IQ59181140</v>
          </cell>
        </row>
        <row r="1189">
          <cell r="MH1189" t="str">
            <v>IQ144056880</v>
          </cell>
        </row>
        <row r="1190">
          <cell r="MH1190" t="str">
            <v>IQ113742958</v>
          </cell>
        </row>
        <row r="1191">
          <cell r="MH1191" t="str">
            <v>IQ256851341</v>
          </cell>
        </row>
        <row r="1192">
          <cell r="MH1192" t="str">
            <v>IQ98129030</v>
          </cell>
        </row>
        <row r="1193">
          <cell r="MH1193" t="str">
            <v>IQ26916831</v>
          </cell>
        </row>
        <row r="1194">
          <cell r="MH1194" t="str">
            <v>IQ244083665</v>
          </cell>
        </row>
        <row r="1195">
          <cell r="MH1195" t="str">
            <v>IQ6871130</v>
          </cell>
        </row>
        <row r="1196">
          <cell r="MH1196" t="str">
            <v>IQ302195492</v>
          </cell>
        </row>
        <row r="1197">
          <cell r="MH1197" t="str">
            <v>IQ50322737</v>
          </cell>
        </row>
        <row r="1198">
          <cell r="MH1198" t="str">
            <v>IQ96498892</v>
          </cell>
        </row>
        <row r="1199">
          <cell r="MH1199" t="str">
            <v>IQ302365691</v>
          </cell>
        </row>
        <row r="1200">
          <cell r="MH1200" t="str">
            <v>IQ292533249</v>
          </cell>
        </row>
        <row r="1201">
          <cell r="MH1201" t="str">
            <v>IQ26837567</v>
          </cell>
        </row>
        <row r="1202">
          <cell r="MH1202" t="str">
            <v>IQ319728243</v>
          </cell>
        </row>
        <row r="1203">
          <cell r="MH1203" t="str">
            <v>IQ556143543</v>
          </cell>
        </row>
        <row r="1204">
          <cell r="MH1204" t="str">
            <v>IQ430939556</v>
          </cell>
        </row>
        <row r="1205">
          <cell r="MH1205" t="str">
            <v>IQ27083752</v>
          </cell>
        </row>
        <row r="1206">
          <cell r="MH1206" t="str">
            <v>IQ4577960</v>
          </cell>
        </row>
        <row r="1207">
          <cell r="MH1207" t="str">
            <v>IQ542529773</v>
          </cell>
        </row>
        <row r="1208">
          <cell r="MH1208" t="str">
            <v>IQ41384527</v>
          </cell>
        </row>
        <row r="1209">
          <cell r="MH1209" t="str">
            <v>IQ671980</v>
          </cell>
        </row>
        <row r="1210">
          <cell r="MH1210" t="str">
            <v>IQ50239714</v>
          </cell>
        </row>
        <row r="1211">
          <cell r="MH1211" t="str">
            <v>IQ268130178</v>
          </cell>
        </row>
        <row r="1212">
          <cell r="MH1212" t="str">
            <v>IQ975327</v>
          </cell>
        </row>
        <row r="1213">
          <cell r="MH1213" t="str">
            <v>IQ41586737</v>
          </cell>
        </row>
        <row r="1214">
          <cell r="MH1214" t="str">
            <v>IQ45466394</v>
          </cell>
        </row>
        <row r="1215">
          <cell r="MH1215" t="str">
            <v>IQ46011726</v>
          </cell>
        </row>
        <row r="1216">
          <cell r="MH1216" t="str">
            <v>IQ30305026</v>
          </cell>
        </row>
        <row r="1217">
          <cell r="MH1217" t="str">
            <v>IQ252543558</v>
          </cell>
        </row>
        <row r="1218">
          <cell r="MH1218" t="str">
            <v>IQ4562178</v>
          </cell>
        </row>
        <row r="1219">
          <cell r="MH1219" t="str">
            <v>IQ6313664</v>
          </cell>
        </row>
        <row r="1220">
          <cell r="MH1220" t="str">
            <v>IQ23378621</v>
          </cell>
        </row>
        <row r="1221">
          <cell r="MH1221" t="str">
            <v>IQ20373934</v>
          </cell>
        </row>
        <row r="1222">
          <cell r="MH1222" t="str">
            <v>IQ3065028</v>
          </cell>
        </row>
        <row r="1223">
          <cell r="MH1223" t="str">
            <v>IQ4315103</v>
          </cell>
        </row>
        <row r="1224">
          <cell r="MH1224" t="str">
            <v>IQ297826300</v>
          </cell>
        </row>
        <row r="1225">
          <cell r="MH1225" t="str">
            <v>IQ292056382</v>
          </cell>
        </row>
        <row r="1226">
          <cell r="MH1226" t="str">
            <v>IQ433841156</v>
          </cell>
        </row>
        <row r="1227">
          <cell r="MH1227" t="str">
            <v>IQ660915</v>
          </cell>
        </row>
        <row r="1228">
          <cell r="MH1228" t="str">
            <v>IQ1208753</v>
          </cell>
        </row>
        <row r="1229">
          <cell r="MH1229" t="str">
            <v>IQ13613427</v>
          </cell>
        </row>
        <row r="1230">
          <cell r="MH1230" t="str">
            <v>IQ37379209</v>
          </cell>
        </row>
        <row r="1231">
          <cell r="MH1231" t="str">
            <v>IQ4788716</v>
          </cell>
        </row>
        <row r="1232">
          <cell r="MH1232" t="str">
            <v>IQ36826752</v>
          </cell>
        </row>
        <row r="1233">
          <cell r="MH1233" t="str">
            <v>IQ41951543</v>
          </cell>
        </row>
        <row r="1234">
          <cell r="MH1234" t="str">
            <v>IQ3536216</v>
          </cell>
        </row>
        <row r="1235">
          <cell r="MH1235" t="str">
            <v>IQ35227658</v>
          </cell>
        </row>
        <row r="1236">
          <cell r="MH1236" t="str">
            <v>IQ877264</v>
          </cell>
        </row>
        <row r="1237">
          <cell r="MH1237" t="str">
            <v>IQ9900012</v>
          </cell>
        </row>
        <row r="1238">
          <cell r="MH1238" t="str">
            <v>IQ27084278</v>
          </cell>
        </row>
        <row r="1239">
          <cell r="MH1239" t="str">
            <v>IQ3534293</v>
          </cell>
        </row>
        <row r="1240">
          <cell r="MH1240" t="str">
            <v>IQ35485203</v>
          </cell>
        </row>
        <row r="1241">
          <cell r="MH1241" t="str">
            <v>IQ20902825</v>
          </cell>
        </row>
        <row r="1242">
          <cell r="MH1242" t="str">
            <v>IQ27260230</v>
          </cell>
        </row>
        <row r="1243">
          <cell r="MH1243" t="str">
            <v>IQ54620175</v>
          </cell>
        </row>
        <row r="1244">
          <cell r="MH1244" t="str">
            <v>IQ32688305</v>
          </cell>
        </row>
        <row r="1245">
          <cell r="MH1245" t="str">
            <v>IQ51046764</v>
          </cell>
        </row>
        <row r="1246">
          <cell r="MH1246" t="str">
            <v>IQ52424962</v>
          </cell>
        </row>
        <row r="1247">
          <cell r="MH1247" t="str">
            <v>IQ8794212</v>
          </cell>
        </row>
        <row r="1248">
          <cell r="MH1248" t="str">
            <v>IQ43185338</v>
          </cell>
        </row>
        <row r="1249">
          <cell r="MH1249" t="str">
            <v>IQ2688860</v>
          </cell>
        </row>
        <row r="1250">
          <cell r="MH1250" t="str">
            <v>IQ26506477</v>
          </cell>
        </row>
        <row r="1251">
          <cell r="MH1251" t="str">
            <v>IQ34282914</v>
          </cell>
        </row>
        <row r="1252">
          <cell r="MH1252" t="str">
            <v>IQ115089996</v>
          </cell>
        </row>
        <row r="1253">
          <cell r="MH1253" t="str">
            <v>IQ225440768</v>
          </cell>
        </row>
        <row r="1254">
          <cell r="MH1254" t="str">
            <v>IQ286728796</v>
          </cell>
        </row>
        <row r="1255">
          <cell r="MH1255" t="str">
            <v>IQ9009587</v>
          </cell>
        </row>
        <row r="1256">
          <cell r="MH1256" t="str">
            <v>IQ29572751</v>
          </cell>
        </row>
        <row r="1257">
          <cell r="MH1257" t="str">
            <v>IQ21820603</v>
          </cell>
        </row>
        <row r="1258">
          <cell r="MH1258" t="str">
            <v>IQ140171062</v>
          </cell>
        </row>
        <row r="1259">
          <cell r="MH1259" t="str">
            <v>IQ34029765</v>
          </cell>
        </row>
        <row r="1260">
          <cell r="MH1260" t="str">
            <v>IQ20725005</v>
          </cell>
        </row>
        <row r="1261">
          <cell r="MH1261" t="str">
            <v>IQ84294101</v>
          </cell>
        </row>
        <row r="1262">
          <cell r="MH1262" t="str">
            <v>IQ2011452</v>
          </cell>
        </row>
        <row r="1263">
          <cell r="MH1263" t="str">
            <v>IQ257106624</v>
          </cell>
        </row>
        <row r="1264">
          <cell r="MH1264" t="str">
            <v>IQ691801</v>
          </cell>
        </row>
        <row r="1265">
          <cell r="MH1265" t="str">
            <v>IQ27422887</v>
          </cell>
        </row>
        <row r="1266">
          <cell r="MH1266" t="str">
            <v>IQ589491090</v>
          </cell>
        </row>
        <row r="1267">
          <cell r="MH1267" t="str">
            <v>IQ246783243</v>
          </cell>
        </row>
        <row r="1268">
          <cell r="MH1268" t="str">
            <v>IQ182866874</v>
          </cell>
        </row>
        <row r="1269">
          <cell r="MH1269" t="str">
            <v>IQ27333047</v>
          </cell>
        </row>
        <row r="1270">
          <cell r="MH1270" t="str">
            <v>IQ264504996</v>
          </cell>
        </row>
        <row r="1271">
          <cell r="MH1271" t="str">
            <v>IQ27482295</v>
          </cell>
        </row>
        <row r="1272">
          <cell r="MH1272" t="str">
            <v>IQ41265641</v>
          </cell>
        </row>
        <row r="1273">
          <cell r="MH1273" t="str">
            <v>IQ20384738</v>
          </cell>
        </row>
        <row r="1274">
          <cell r="MH1274" t="str">
            <v>IQ98648171</v>
          </cell>
        </row>
        <row r="1275">
          <cell r="MH1275" t="str">
            <v>IQ562684218</v>
          </cell>
        </row>
        <row r="1276">
          <cell r="MH1276" t="str">
            <v>IQ371717115</v>
          </cell>
        </row>
        <row r="1277">
          <cell r="MH1277" t="str">
            <v>IQ1611908</v>
          </cell>
        </row>
        <row r="1278">
          <cell r="MH1278" t="str">
            <v>IQ666691442</v>
          </cell>
        </row>
        <row r="1279">
          <cell r="MH1279" t="str">
            <v>IQ27130102</v>
          </cell>
        </row>
        <row r="1280">
          <cell r="MH1280" t="str">
            <v>IQ24398305</v>
          </cell>
        </row>
        <row r="1281">
          <cell r="MH1281" t="str">
            <v>IQ12037535</v>
          </cell>
        </row>
        <row r="1282">
          <cell r="MH1282" t="str">
            <v>IQ319604320</v>
          </cell>
        </row>
        <row r="1283">
          <cell r="MH1283" t="str">
            <v>IQ27332018</v>
          </cell>
        </row>
        <row r="1284">
          <cell r="MH1284" t="str">
            <v>IQ285430608</v>
          </cell>
        </row>
        <row r="1285">
          <cell r="MH1285" t="str">
            <v>IQ112573505</v>
          </cell>
        </row>
        <row r="1286">
          <cell r="MH1286" t="str">
            <v>IQ36632278</v>
          </cell>
        </row>
        <row r="1287">
          <cell r="MH1287" t="str">
            <v>IQ36436039</v>
          </cell>
        </row>
        <row r="1288">
          <cell r="MH1288" t="str">
            <v>IQ9549930</v>
          </cell>
        </row>
        <row r="1289">
          <cell r="MH1289" t="str">
            <v>IQ276591764</v>
          </cell>
        </row>
        <row r="1290">
          <cell r="MH1290" t="str">
            <v>IQ24398506</v>
          </cell>
        </row>
        <row r="1291">
          <cell r="MH1291" t="str">
            <v>IQ129800899</v>
          </cell>
        </row>
        <row r="1292">
          <cell r="MH1292" t="str">
            <v>IQ23038925</v>
          </cell>
        </row>
        <row r="1293">
          <cell r="MH1293" t="str">
            <v>IQ419023301</v>
          </cell>
        </row>
        <row r="1294">
          <cell r="MH1294" t="str">
            <v>IQ163963625</v>
          </cell>
        </row>
        <row r="1295">
          <cell r="MH1295" t="str">
            <v>IQ44523356</v>
          </cell>
        </row>
        <row r="1296">
          <cell r="MH1296" t="str">
            <v>IQ256898455</v>
          </cell>
        </row>
        <row r="1297">
          <cell r="MH1297" t="str">
            <v>IQ661578</v>
          </cell>
        </row>
        <row r="1298">
          <cell r="MH1298" t="str">
            <v>IQ241745540</v>
          </cell>
        </row>
        <row r="1299">
          <cell r="MH1299" t="str">
            <v>IQ207234754</v>
          </cell>
        </row>
        <row r="1300">
          <cell r="MH1300" t="str">
            <v>IQ41319532</v>
          </cell>
        </row>
        <row r="1301">
          <cell r="MH1301" t="str">
            <v>IQ7770117</v>
          </cell>
        </row>
        <row r="1302">
          <cell r="MH1302" t="str">
            <v>IQ169622871</v>
          </cell>
        </row>
        <row r="1303">
          <cell r="MH1303" t="str">
            <v>IQ543832133</v>
          </cell>
        </row>
        <row r="1304">
          <cell r="MH1304" t="str">
            <v>IQ552771848</v>
          </cell>
        </row>
        <row r="1305">
          <cell r="MH1305" t="str">
            <v>IQ224548251</v>
          </cell>
        </row>
        <row r="1306">
          <cell r="MH1306" t="str">
            <v>IQ24003842</v>
          </cell>
        </row>
        <row r="1307">
          <cell r="MH1307" t="str">
            <v>IQ99357729</v>
          </cell>
        </row>
        <row r="1308">
          <cell r="MH1308" t="str">
            <v>IQ576206075</v>
          </cell>
        </row>
        <row r="1309">
          <cell r="MH1309" t="str">
            <v>IQ7704331</v>
          </cell>
        </row>
        <row r="1310">
          <cell r="MH1310" t="str">
            <v>IQ235630906</v>
          </cell>
        </row>
        <row r="1311">
          <cell r="MH1311" t="str">
            <v>IQ284643423</v>
          </cell>
        </row>
        <row r="1312">
          <cell r="MH1312" t="str">
            <v>IQ30381144</v>
          </cell>
        </row>
        <row r="1313">
          <cell r="MH1313" t="str">
            <v>IQ46694327</v>
          </cell>
        </row>
        <row r="1314">
          <cell r="MH1314" t="str">
            <v>IQ127130432</v>
          </cell>
        </row>
        <row r="1315">
          <cell r="MH1315" t="str">
            <v>IQ652944342</v>
          </cell>
        </row>
        <row r="1316">
          <cell r="MH1316" t="str">
            <v>IQ26763138</v>
          </cell>
        </row>
        <row r="1317">
          <cell r="MH1317" t="str">
            <v>IQ26918448</v>
          </cell>
        </row>
        <row r="1318">
          <cell r="MH1318" t="str">
            <v>IQ411282703</v>
          </cell>
        </row>
        <row r="1319">
          <cell r="MH1319" t="str">
            <v>IQ284826486</v>
          </cell>
        </row>
        <row r="1320">
          <cell r="MH1320" t="str">
            <v>IQ272545664</v>
          </cell>
        </row>
        <row r="1321">
          <cell r="MH1321" t="str">
            <v>IQ35113460</v>
          </cell>
        </row>
        <row r="1322">
          <cell r="MH1322" t="str">
            <v>IQ132946885</v>
          </cell>
        </row>
        <row r="1323">
          <cell r="MH1323" t="str">
            <v>IQ99986914</v>
          </cell>
        </row>
        <row r="1324">
          <cell r="MH1324" t="str">
            <v>IQ302729279</v>
          </cell>
        </row>
        <row r="1325">
          <cell r="MH1325" t="str">
            <v>IQ27146751</v>
          </cell>
        </row>
        <row r="1326">
          <cell r="MH1326" t="str">
            <v>IQ631754331</v>
          </cell>
        </row>
        <row r="1327">
          <cell r="MH1327" t="str">
            <v>IQ300563497</v>
          </cell>
        </row>
        <row r="1328">
          <cell r="MH1328" t="str">
            <v>IQ542559690</v>
          </cell>
        </row>
        <row r="1329">
          <cell r="MH1329" t="str">
            <v>IQ23775945</v>
          </cell>
        </row>
        <row r="1330">
          <cell r="MH1330" t="str">
            <v>IQ223916822</v>
          </cell>
        </row>
        <row r="1331">
          <cell r="MH1331" t="str">
            <v>IQ24067942</v>
          </cell>
        </row>
        <row r="1332">
          <cell r="MH1332" t="str">
            <v>IQ127374573</v>
          </cell>
        </row>
        <row r="1333">
          <cell r="MH1333" t="str">
            <v>IQ369772110</v>
          </cell>
        </row>
        <row r="1334">
          <cell r="MH1334" t="str">
            <v>IQ564929898</v>
          </cell>
        </row>
        <row r="1335">
          <cell r="MH1335" t="str">
            <v>IQ291280736</v>
          </cell>
        </row>
        <row r="1336">
          <cell r="MH1336" t="str">
            <v>IQ116692566</v>
          </cell>
        </row>
        <row r="1337">
          <cell r="MH1337" t="str">
            <v>IQ346813275</v>
          </cell>
        </row>
        <row r="1338">
          <cell r="MH1338" t="str">
            <v>IQ254720751</v>
          </cell>
        </row>
        <row r="1339">
          <cell r="MH1339" t="str">
            <v>IQ330632526</v>
          </cell>
        </row>
        <row r="1340">
          <cell r="MH1340" t="str">
            <v>IQ618416095</v>
          </cell>
        </row>
        <row r="1341">
          <cell r="MH1341" t="str">
            <v>IQ213559175</v>
          </cell>
        </row>
        <row r="1342">
          <cell r="MH1342" t="str">
            <v>IQ300954616</v>
          </cell>
        </row>
        <row r="1343">
          <cell r="MH1343" t="str">
            <v>IQ291419910</v>
          </cell>
        </row>
        <row r="1344">
          <cell r="MH1344" t="str">
            <v>IQ270299732</v>
          </cell>
        </row>
        <row r="1345">
          <cell r="MH1345" t="str">
            <v>IQ256963640</v>
          </cell>
        </row>
        <row r="1346">
          <cell r="MH1346" t="str">
            <v>IQ168555</v>
          </cell>
        </row>
        <row r="1347">
          <cell r="MH1347" t="str">
            <v>IQ534913959</v>
          </cell>
        </row>
        <row r="1348">
          <cell r="MH1348" t="str">
            <v>IQ27399713</v>
          </cell>
        </row>
        <row r="1349">
          <cell r="MH1349" t="str">
            <v>IQ422110728</v>
          </cell>
        </row>
        <row r="1350">
          <cell r="MH1350" t="str">
            <v>IQ223988589</v>
          </cell>
        </row>
        <row r="1351">
          <cell r="MH1351" t="str">
            <v>IQ24765759</v>
          </cell>
        </row>
        <row r="1352">
          <cell r="MH1352" t="str">
            <v>IQ45315550</v>
          </cell>
        </row>
        <row r="1353">
          <cell r="MH1353" t="str">
            <v>IQ1001996</v>
          </cell>
        </row>
        <row r="1354">
          <cell r="MH1354" t="str">
            <v>IQ35508663</v>
          </cell>
        </row>
        <row r="1355">
          <cell r="MH1355" t="str">
            <v>IQ108451104</v>
          </cell>
        </row>
        <row r="1356">
          <cell r="MH1356" t="str">
            <v>IQ133672885</v>
          </cell>
        </row>
        <row r="1357">
          <cell r="MH1357" t="str">
            <v>IQ2334713</v>
          </cell>
        </row>
        <row r="1358">
          <cell r="MH1358" t="str">
            <v>IQ91753</v>
          </cell>
        </row>
        <row r="1359">
          <cell r="MH1359" t="str">
            <v>IQ228342441</v>
          </cell>
        </row>
        <row r="1360">
          <cell r="MH1360" t="str">
            <v>IQ84149779</v>
          </cell>
        </row>
        <row r="1361">
          <cell r="MH1361" t="str">
            <v>IQ61015581</v>
          </cell>
        </row>
        <row r="1362">
          <cell r="MH1362" t="str">
            <v>IQ26520490</v>
          </cell>
        </row>
        <row r="1363">
          <cell r="MH1363" t="str">
            <v>IQ991882</v>
          </cell>
        </row>
        <row r="1364">
          <cell r="MH1364" t="str">
            <v>IQ2985480</v>
          </cell>
        </row>
        <row r="1365">
          <cell r="MH1365" t="str">
            <v>IQ5875849</v>
          </cell>
        </row>
        <row r="1366">
          <cell r="MH1366" t="str">
            <v>IQ109124781</v>
          </cell>
        </row>
        <row r="1367">
          <cell r="MH1367" t="str">
            <v>IQ35786375</v>
          </cell>
        </row>
        <row r="1368">
          <cell r="MH1368" t="str">
            <v>IQ25039891</v>
          </cell>
        </row>
        <row r="1369">
          <cell r="MH1369" t="str">
            <v>IQ554511203</v>
          </cell>
        </row>
        <row r="1370">
          <cell r="MH1370" t="str">
            <v>IQ243949082</v>
          </cell>
        </row>
        <row r="1371">
          <cell r="MH1371" t="str">
            <v>IQ22397032</v>
          </cell>
        </row>
        <row r="1372">
          <cell r="MH1372" t="str">
            <v>IQ27776545</v>
          </cell>
        </row>
        <row r="1373">
          <cell r="MH1373" t="str">
            <v>IQ35196580</v>
          </cell>
        </row>
        <row r="1374">
          <cell r="MH1374" t="str">
            <v>IQ285964987</v>
          </cell>
        </row>
        <row r="1375">
          <cell r="MH1375" t="str">
            <v>IQ4876383</v>
          </cell>
        </row>
        <row r="1376">
          <cell r="MH1376" t="str">
            <v>IQ256586380</v>
          </cell>
        </row>
        <row r="1377">
          <cell r="MH1377" t="str">
            <v>IQ22140145</v>
          </cell>
        </row>
        <row r="1378">
          <cell r="MH1378" t="str">
            <v>IQ36180648</v>
          </cell>
        </row>
        <row r="1379">
          <cell r="MH1379" t="str">
            <v>IQ27083055</v>
          </cell>
        </row>
        <row r="1380">
          <cell r="MH1380" t="str">
            <v>IQ34581619</v>
          </cell>
        </row>
        <row r="1381">
          <cell r="MH1381" t="str">
            <v>IQ4877824</v>
          </cell>
        </row>
        <row r="1382">
          <cell r="MH1382" t="str">
            <v>IQ27485497</v>
          </cell>
        </row>
        <row r="1383">
          <cell r="MH1383" t="str">
            <v>IQ3026254</v>
          </cell>
        </row>
        <row r="1384">
          <cell r="MH1384" t="str">
            <v>IQ333456970</v>
          </cell>
        </row>
        <row r="1385">
          <cell r="MH1385" t="str">
            <v>IQ30311711</v>
          </cell>
        </row>
        <row r="1386">
          <cell r="MH1386" t="str">
            <v>IQ4509118</v>
          </cell>
        </row>
        <row r="1387">
          <cell r="MH1387" t="str">
            <v>IQ332084999</v>
          </cell>
        </row>
        <row r="1388">
          <cell r="MH1388" t="str">
            <v>IQ119042228</v>
          </cell>
        </row>
        <row r="1389">
          <cell r="MH1389" t="str">
            <v>IQ48994756</v>
          </cell>
        </row>
        <row r="1390">
          <cell r="MH1390" t="str">
            <v>IQ111392877</v>
          </cell>
        </row>
        <row r="1391">
          <cell r="MH1391" t="str">
            <v>IQ26821503</v>
          </cell>
        </row>
        <row r="1392">
          <cell r="MH1392" t="str">
            <v>IQ104715235</v>
          </cell>
        </row>
        <row r="1393">
          <cell r="MH1393" t="str">
            <v>IQ217670153</v>
          </cell>
        </row>
        <row r="1394">
          <cell r="MH1394" t="str">
            <v>IQ35201365</v>
          </cell>
        </row>
        <row r="1395">
          <cell r="MH1395" t="str">
            <v>IQ646955677</v>
          </cell>
        </row>
        <row r="1396">
          <cell r="MH1396" t="str">
            <v>IQ207360807</v>
          </cell>
        </row>
        <row r="1397">
          <cell r="MH1397" t="str">
            <v>IQ27597739</v>
          </cell>
        </row>
        <row r="1398">
          <cell r="MH1398" t="str">
            <v>IQ208494168</v>
          </cell>
        </row>
        <row r="1399">
          <cell r="MH1399" t="str">
            <v>IQ285173852</v>
          </cell>
        </row>
        <row r="1400">
          <cell r="MH1400" t="str">
            <v>IQ47347323</v>
          </cell>
        </row>
        <row r="1401">
          <cell r="MH1401" t="str">
            <v>IQ287576398</v>
          </cell>
        </row>
        <row r="1402">
          <cell r="MH1402" t="str">
            <v>IQ4492002</v>
          </cell>
        </row>
        <row r="1403">
          <cell r="MH1403" t="str">
            <v>IQ206894286</v>
          </cell>
        </row>
        <row r="1404">
          <cell r="MH1404" t="str">
            <v>IQ23529513</v>
          </cell>
        </row>
        <row r="1405">
          <cell r="MH1405" t="str">
            <v>IQ285416376</v>
          </cell>
        </row>
        <row r="1406">
          <cell r="MH1406" t="str">
            <v>IQ22612853</v>
          </cell>
        </row>
        <row r="1407">
          <cell r="MH1407" t="str">
            <v>IQ37896876</v>
          </cell>
        </row>
        <row r="1408">
          <cell r="MH1408" t="str">
            <v>IQ543641657</v>
          </cell>
        </row>
        <row r="1409">
          <cell r="MH1409" t="str">
            <v>IQ427504005</v>
          </cell>
        </row>
        <row r="1410">
          <cell r="MH1410" t="str">
            <v>IQ32676596</v>
          </cell>
        </row>
        <row r="1411">
          <cell r="MH1411" t="str">
            <v>IQ24390136</v>
          </cell>
        </row>
        <row r="1412">
          <cell r="MH1412" t="str">
            <v>IQ23712032</v>
          </cell>
        </row>
        <row r="1413">
          <cell r="MH1413" t="str">
            <v>IQ45819520</v>
          </cell>
        </row>
        <row r="1414">
          <cell r="MH1414" t="str">
            <v>IQ31157051</v>
          </cell>
        </row>
        <row r="1415">
          <cell r="MH1415" t="str">
            <v>IQ269734430</v>
          </cell>
        </row>
        <row r="1416">
          <cell r="MH1416" t="str">
            <v>IQ26748710</v>
          </cell>
        </row>
        <row r="1417">
          <cell r="MH1417" t="str">
            <v>IQ170260911</v>
          </cell>
        </row>
        <row r="1418">
          <cell r="MH1418" t="str">
            <v>IQ260591773</v>
          </cell>
        </row>
        <row r="1419">
          <cell r="MH1419" t="str">
            <v>IQ36634387</v>
          </cell>
        </row>
        <row r="1420">
          <cell r="MH1420" t="str">
            <v>IQ302742565</v>
          </cell>
        </row>
        <row r="1421">
          <cell r="MH1421" t="str">
            <v>IQ41321388</v>
          </cell>
        </row>
        <row r="1422">
          <cell r="MH1422" t="str">
            <v>IQ27129124</v>
          </cell>
        </row>
        <row r="1423">
          <cell r="MH1423" t="str">
            <v>IQ539811627</v>
          </cell>
        </row>
        <row r="1424">
          <cell r="MH1424" t="str">
            <v>IQ579982670</v>
          </cell>
        </row>
        <row r="1425">
          <cell r="MH1425" t="str">
            <v>IQ25140627</v>
          </cell>
        </row>
        <row r="1426">
          <cell r="MH1426" t="str">
            <v>IQ35196201</v>
          </cell>
        </row>
        <row r="1427">
          <cell r="MH1427" t="str">
            <v>IQ3646011</v>
          </cell>
        </row>
        <row r="1428">
          <cell r="MH1428" t="str">
            <v>IQ301561515</v>
          </cell>
        </row>
        <row r="1429">
          <cell r="MH1429" t="str">
            <v>IQ24457629</v>
          </cell>
        </row>
        <row r="1430">
          <cell r="MH1430" t="str">
            <v>IQ214244117</v>
          </cell>
        </row>
        <row r="1431">
          <cell r="MH1431" t="str">
            <v>IQ29382889</v>
          </cell>
        </row>
        <row r="1432">
          <cell r="MH1432" t="str">
            <v>IQ580217926</v>
          </cell>
        </row>
        <row r="1433">
          <cell r="MH1433" t="str">
            <v>IQ214347388</v>
          </cell>
        </row>
        <row r="1434">
          <cell r="MH1434" t="str">
            <v>IQ291945153</v>
          </cell>
        </row>
        <row r="1435">
          <cell r="MH1435" t="str">
            <v>IQ99491760</v>
          </cell>
        </row>
        <row r="1436">
          <cell r="MH1436" t="str">
            <v>IQ24176963</v>
          </cell>
        </row>
        <row r="1437">
          <cell r="MH1437" t="str">
            <v>IQ302141558</v>
          </cell>
        </row>
        <row r="1438">
          <cell r="MH1438" t="str">
            <v>IQ300557356</v>
          </cell>
        </row>
        <row r="1439">
          <cell r="MH1439" t="str">
            <v>IQ320020876</v>
          </cell>
        </row>
        <row r="1440">
          <cell r="MH1440" t="str">
            <v>IQ254866852</v>
          </cell>
        </row>
        <row r="1441">
          <cell r="MH1441" t="str">
            <v>IQ291562179</v>
          </cell>
        </row>
        <row r="1442">
          <cell r="MH1442" t="str">
            <v>IQ653991636</v>
          </cell>
        </row>
        <row r="1443">
          <cell r="MH1443" t="str">
            <v>IQ319710233</v>
          </cell>
        </row>
        <row r="1444">
          <cell r="MH1444" t="str">
            <v>IQ542447105</v>
          </cell>
        </row>
        <row r="1445">
          <cell r="MH1445" t="str">
            <v>IQ24113768</v>
          </cell>
        </row>
        <row r="1446">
          <cell r="MH1446" t="str">
            <v>IQ612217027</v>
          </cell>
        </row>
        <row r="1447">
          <cell r="MH1447" t="str">
            <v>IQ129563342</v>
          </cell>
        </row>
        <row r="1448">
          <cell r="MH1448" t="str">
            <v>IQ270299729</v>
          </cell>
        </row>
        <row r="1449">
          <cell r="MH1449" t="str">
            <v>IQ238002949</v>
          </cell>
        </row>
        <row r="1450">
          <cell r="MH1450" t="str">
            <v>IQ302187281</v>
          </cell>
        </row>
        <row r="1451">
          <cell r="MH1451" t="str">
            <v>IQ44151165</v>
          </cell>
        </row>
        <row r="1452">
          <cell r="MH1452" t="str">
            <v>IQ244597021</v>
          </cell>
        </row>
        <row r="1453">
          <cell r="MH1453" t="str">
            <v>IQ552326851</v>
          </cell>
        </row>
        <row r="1454">
          <cell r="MH1454" t="str">
            <v>IQ618370388</v>
          </cell>
        </row>
        <row r="1455">
          <cell r="MH1455" t="str">
            <v>IQ301756773</v>
          </cell>
        </row>
        <row r="1456">
          <cell r="MH1456" t="str">
            <v>IQ585212371</v>
          </cell>
        </row>
        <row r="1457">
          <cell r="MH1457" t="str">
            <v>IQ98122413</v>
          </cell>
        </row>
        <row r="1458">
          <cell r="MH1458" t="str">
            <v>IQ536053721</v>
          </cell>
        </row>
        <row r="1459">
          <cell r="MH1459" t="str">
            <v>IQ271749618</v>
          </cell>
        </row>
        <row r="1460">
          <cell r="MH1460" t="str">
            <v>IQ26914859</v>
          </cell>
        </row>
        <row r="1461">
          <cell r="MH1461" t="str">
            <v>IQ21823280</v>
          </cell>
        </row>
        <row r="1462">
          <cell r="MH1462" t="str">
            <v>IQ260137590</v>
          </cell>
        </row>
        <row r="1463">
          <cell r="MH1463" t="str">
            <v>IQ542528630</v>
          </cell>
        </row>
        <row r="1464">
          <cell r="MH1464" t="str">
            <v>IQ49329722</v>
          </cell>
        </row>
        <row r="1465">
          <cell r="MH1465" t="str">
            <v>IQ29052864</v>
          </cell>
        </row>
        <row r="1466">
          <cell r="MH1466" t="str">
            <v>IQ1565638</v>
          </cell>
        </row>
        <row r="1467">
          <cell r="MH1467" t="str">
            <v>IQ79319638</v>
          </cell>
        </row>
        <row r="1468">
          <cell r="MH1468" t="str">
            <v>IQ326086831</v>
          </cell>
        </row>
        <row r="1469">
          <cell r="MH1469" t="str">
            <v>IQ257121584</v>
          </cell>
        </row>
        <row r="1470">
          <cell r="MH1470" t="str">
            <v>IQ51473972</v>
          </cell>
        </row>
        <row r="1471">
          <cell r="MH1471" t="str">
            <v>IQ29270043</v>
          </cell>
        </row>
        <row r="1472">
          <cell r="MH1472" t="str">
            <v>IQ20410979</v>
          </cell>
        </row>
        <row r="1473">
          <cell r="MH1473" t="str">
            <v>IQ53027666</v>
          </cell>
        </row>
        <row r="1474">
          <cell r="MH1474" t="str">
            <v>IQ206790278</v>
          </cell>
        </row>
        <row r="1475">
          <cell r="MH1475" t="str">
            <v>IQ22298044</v>
          </cell>
        </row>
        <row r="1476">
          <cell r="MH1476" t="str">
            <v>IQ104805064</v>
          </cell>
        </row>
        <row r="1477">
          <cell r="MH1477" t="str">
            <v>IQ47727455</v>
          </cell>
        </row>
        <row r="1478">
          <cell r="MH1478" t="str">
            <v>IQ41595637</v>
          </cell>
        </row>
        <row r="1479">
          <cell r="MH1479" t="str">
            <v>IQ26880429</v>
          </cell>
        </row>
        <row r="1480">
          <cell r="MH1480" t="str">
            <v>IQ346196624</v>
          </cell>
        </row>
        <row r="1481">
          <cell r="MH1481" t="str">
            <v>IQ129464045</v>
          </cell>
        </row>
        <row r="1482">
          <cell r="MH1482" t="str">
            <v>IQ27064878</v>
          </cell>
        </row>
        <row r="1483">
          <cell r="MH1483" t="str">
            <v>IQ51152861</v>
          </cell>
        </row>
        <row r="1484">
          <cell r="MH1484" t="str">
            <v>IQ611133733</v>
          </cell>
        </row>
        <row r="1485">
          <cell r="MH1485" t="str">
            <v>IQ25103747</v>
          </cell>
        </row>
        <row r="1486">
          <cell r="MH1486" t="str">
            <v>IQ915182</v>
          </cell>
        </row>
        <row r="1487">
          <cell r="MH1487" t="str">
            <v>IQ6243355</v>
          </cell>
        </row>
        <row r="1488">
          <cell r="MH1488" t="str">
            <v>IQ27129277</v>
          </cell>
        </row>
        <row r="1489">
          <cell r="MH1489" t="str">
            <v>IQ427977753</v>
          </cell>
        </row>
        <row r="1490">
          <cell r="MH1490" t="str">
            <v>IQ574664331</v>
          </cell>
        </row>
        <row r="1491">
          <cell r="MH1491" t="str">
            <v>IQ37311443</v>
          </cell>
        </row>
        <row r="1492">
          <cell r="MH1492" t="str">
            <v>IQ4594131</v>
          </cell>
        </row>
        <row r="1493">
          <cell r="MH1493" t="str">
            <v>IQ3535038</v>
          </cell>
        </row>
        <row r="1494">
          <cell r="MH1494" t="str">
            <v>IQ22142837</v>
          </cell>
        </row>
        <row r="1495">
          <cell r="MH1495" t="str">
            <v>IQ419968151</v>
          </cell>
        </row>
        <row r="1496">
          <cell r="MH1496" t="str">
            <v>IQ517678</v>
          </cell>
        </row>
        <row r="1497">
          <cell r="MH1497" t="str">
            <v>IQ160048706</v>
          </cell>
        </row>
        <row r="1498">
          <cell r="MH1498" t="str">
            <v>IQ30823303</v>
          </cell>
        </row>
        <row r="1499">
          <cell r="MH1499" t="str">
            <v>IQ27544241</v>
          </cell>
        </row>
        <row r="1500">
          <cell r="MH1500" t="str">
            <v>IQ302194611</v>
          </cell>
        </row>
        <row r="1501">
          <cell r="MH1501" t="str">
            <v>IQ27146335</v>
          </cell>
        </row>
        <row r="1502">
          <cell r="MH1502" t="str">
            <v>IQ214226023</v>
          </cell>
        </row>
        <row r="1503">
          <cell r="MH1503" t="str">
            <v>IQ24208801</v>
          </cell>
        </row>
        <row r="1504">
          <cell r="MH1504" t="str">
            <v>IQ246887356</v>
          </cell>
        </row>
        <row r="1505">
          <cell r="MH1505" t="str">
            <v>IQ9639029</v>
          </cell>
        </row>
        <row r="1506">
          <cell r="MH1506" t="str">
            <v>IQ529674788</v>
          </cell>
        </row>
        <row r="1507">
          <cell r="MH1507" t="str">
            <v>IQ228238903</v>
          </cell>
        </row>
        <row r="1508">
          <cell r="MH1508" t="str">
            <v>IQ261565993</v>
          </cell>
        </row>
        <row r="1509">
          <cell r="MH1509" t="str">
            <v>IQ24495687</v>
          </cell>
        </row>
        <row r="1510">
          <cell r="MH1510" t="str">
            <v>IQ10072174</v>
          </cell>
        </row>
        <row r="1511">
          <cell r="MH1511" t="str">
            <v>IQ5092315</v>
          </cell>
        </row>
        <row r="1512">
          <cell r="MH1512" t="str">
            <v>IQ50984548</v>
          </cell>
        </row>
        <row r="1513">
          <cell r="MH1513" t="str">
            <v>IQ35347900</v>
          </cell>
        </row>
        <row r="1514">
          <cell r="MH1514" t="str">
            <v>IQ27146706</v>
          </cell>
        </row>
        <row r="1515">
          <cell r="MH1515" t="str">
            <v>IQ23628357</v>
          </cell>
        </row>
        <row r="1516">
          <cell r="MH1516" t="str">
            <v>IQ144259684</v>
          </cell>
        </row>
        <row r="1517">
          <cell r="MH1517" t="str">
            <v>IQ11929037</v>
          </cell>
        </row>
        <row r="1518">
          <cell r="MH1518" t="str">
            <v>IQ301060094</v>
          </cell>
        </row>
        <row r="1519">
          <cell r="MH1519" t="str">
            <v>IQ183288134</v>
          </cell>
        </row>
        <row r="1520">
          <cell r="MH1520" t="str">
            <v>IQ20391972</v>
          </cell>
        </row>
        <row r="1521">
          <cell r="MH1521" t="str">
            <v>IQ61379018</v>
          </cell>
        </row>
        <row r="1522">
          <cell r="MH1522" t="str">
            <v>IQ53062605</v>
          </cell>
        </row>
        <row r="1523">
          <cell r="MH1523" t="str">
            <v>IQ556138922</v>
          </cell>
        </row>
        <row r="1524">
          <cell r="MH1524" t="str">
            <v>IQ409297408</v>
          </cell>
        </row>
        <row r="1525">
          <cell r="MH1525" t="str">
            <v>IQ300922689</v>
          </cell>
        </row>
        <row r="1526">
          <cell r="MH1526" t="str">
            <v>IQ182798209</v>
          </cell>
        </row>
        <row r="1527">
          <cell r="MH1527" t="str">
            <v>IQ302732046</v>
          </cell>
        </row>
        <row r="1528">
          <cell r="MH1528" t="str">
            <v>IQ302278210</v>
          </cell>
        </row>
        <row r="1529">
          <cell r="MH1529" t="str">
            <v>IQ552498711</v>
          </cell>
        </row>
        <row r="1530">
          <cell r="MH1530" t="str">
            <v>IQ296267640</v>
          </cell>
        </row>
        <row r="1531">
          <cell r="MH1531" t="str">
            <v>IQ228038992</v>
          </cell>
        </row>
        <row r="1532">
          <cell r="MH1532" t="str">
            <v>IQ24114696</v>
          </cell>
        </row>
        <row r="1533">
          <cell r="MH1533" t="str">
            <v>IQ404446031</v>
          </cell>
        </row>
        <row r="1534">
          <cell r="MH1534" t="str">
            <v>IQ127040546</v>
          </cell>
        </row>
        <row r="1535">
          <cell r="MH1535" t="str">
            <v>IQ302794724</v>
          </cell>
        </row>
        <row r="1536">
          <cell r="MH1536" t="str">
            <v>IQ28717743</v>
          </cell>
        </row>
        <row r="1537">
          <cell r="MH1537" t="str">
            <v>IQ1029378</v>
          </cell>
        </row>
        <row r="1538">
          <cell r="MH1538" t="str">
            <v>IQ254776780</v>
          </cell>
        </row>
        <row r="1539">
          <cell r="MH1539" t="str">
            <v>IQ23779539</v>
          </cell>
        </row>
        <row r="1540">
          <cell r="MH1540" t="str">
            <v>IQ4472719</v>
          </cell>
        </row>
        <row r="1541">
          <cell r="MH1541" t="str">
            <v>IQ8105022</v>
          </cell>
        </row>
        <row r="1542">
          <cell r="MH1542" t="str">
            <v>IQ10198746</v>
          </cell>
        </row>
        <row r="1543">
          <cell r="MH1543" t="str">
            <v>IQ35493896</v>
          </cell>
        </row>
        <row r="1544">
          <cell r="MH1544" t="str">
            <v>IQ41632108</v>
          </cell>
        </row>
        <row r="1545">
          <cell r="MH1545" t="str">
            <v>IQ13290986</v>
          </cell>
        </row>
        <row r="1546">
          <cell r="MH1546" t="str">
            <v>IQ109017743</v>
          </cell>
        </row>
        <row r="1547">
          <cell r="MH1547" t="str">
            <v>IQ6980391</v>
          </cell>
        </row>
        <row r="1548">
          <cell r="MH1548" t="str">
            <v>IQ23379113</v>
          </cell>
        </row>
        <row r="1549">
          <cell r="MH1549" t="str">
            <v>IQ41951421</v>
          </cell>
        </row>
        <row r="1550">
          <cell r="MH1550" t="str">
            <v>IQ799979</v>
          </cell>
        </row>
        <row r="1551">
          <cell r="MH1551" t="str">
            <v>IQ12199102</v>
          </cell>
        </row>
        <row r="1552">
          <cell r="MH1552" t="str">
            <v>IQ131013412</v>
          </cell>
        </row>
        <row r="1553">
          <cell r="MH1553" t="str">
            <v>IQ51755348</v>
          </cell>
        </row>
        <row r="1554">
          <cell r="MH1554" t="str">
            <v>IQ27484376</v>
          </cell>
        </row>
        <row r="1555">
          <cell r="MH1555" t="str">
            <v>IQ54398126</v>
          </cell>
        </row>
        <row r="1556">
          <cell r="MH1556" t="str">
            <v>IQ301509435</v>
          </cell>
        </row>
        <row r="1557">
          <cell r="MH1557" t="str">
            <v>IQ23898489</v>
          </cell>
        </row>
        <row r="1558">
          <cell r="MH1558" t="str">
            <v>IQ26896635</v>
          </cell>
        </row>
        <row r="1559">
          <cell r="MH1559" t="str">
            <v>IQ26559057</v>
          </cell>
        </row>
        <row r="1560">
          <cell r="MH1560" t="str">
            <v>IQ27527769</v>
          </cell>
        </row>
        <row r="1561">
          <cell r="MH1561" t="str">
            <v>IQ129781463</v>
          </cell>
        </row>
        <row r="1562">
          <cell r="MH1562" t="str">
            <v>IQ9994991</v>
          </cell>
        </row>
        <row r="1563">
          <cell r="MH1563" t="str">
            <v>IQ593243643</v>
          </cell>
        </row>
        <row r="1564">
          <cell r="MH1564" t="str">
            <v>IQ61107385</v>
          </cell>
        </row>
        <row r="1565">
          <cell r="MH1565" t="str">
            <v>IQ1210417</v>
          </cell>
        </row>
        <row r="1566">
          <cell r="MH1566" t="str">
            <v>IQ239931532</v>
          </cell>
        </row>
        <row r="1567">
          <cell r="MH1567" t="str">
            <v>IQ28943530</v>
          </cell>
        </row>
        <row r="1568">
          <cell r="MH1568" t="str">
            <v>IQ49925219</v>
          </cell>
        </row>
        <row r="1569">
          <cell r="MH1569" t="str">
            <v>IQ11793240</v>
          </cell>
        </row>
        <row r="1570">
          <cell r="MH1570" t="str">
            <v>IQ54266948</v>
          </cell>
        </row>
        <row r="1571">
          <cell r="MH1571" t="str">
            <v>IQ4807230</v>
          </cell>
        </row>
        <row r="1572">
          <cell r="MH1572" t="str">
            <v>IQ3687133</v>
          </cell>
        </row>
        <row r="1573">
          <cell r="MH1573" t="str">
            <v>IQ229556953</v>
          </cell>
        </row>
        <row r="1574">
          <cell r="MH1574" t="str">
            <v>IQ114068192</v>
          </cell>
        </row>
        <row r="1575">
          <cell r="MH1575" t="str">
            <v>IQ184463161</v>
          </cell>
        </row>
        <row r="1576">
          <cell r="MH1576" t="str">
            <v>IQ127015</v>
          </cell>
        </row>
        <row r="1577">
          <cell r="MH1577" t="str">
            <v>IQ49067585</v>
          </cell>
        </row>
        <row r="1578">
          <cell r="MH1578" t="str">
            <v>IQ27084270</v>
          </cell>
        </row>
        <row r="1579">
          <cell r="MH1579" t="str">
            <v>IQ24468546</v>
          </cell>
        </row>
        <row r="1580">
          <cell r="MH1580" t="str">
            <v>IQ168083</v>
          </cell>
        </row>
        <row r="1581">
          <cell r="MH1581" t="str">
            <v>IQ285412859</v>
          </cell>
        </row>
        <row r="1582">
          <cell r="MH1582" t="str">
            <v>IQ23709936</v>
          </cell>
        </row>
        <row r="1583">
          <cell r="MH1583" t="str">
            <v>IQ228848731</v>
          </cell>
        </row>
        <row r="1584">
          <cell r="MH1584" t="str">
            <v>IQ3009373</v>
          </cell>
        </row>
        <row r="1585">
          <cell r="MH1585" t="str">
            <v>IQ27529715</v>
          </cell>
        </row>
        <row r="1586">
          <cell r="MH1586" t="str">
            <v>IQ1691077</v>
          </cell>
        </row>
        <row r="1587">
          <cell r="MH1587" t="str">
            <v>IQ270170523</v>
          </cell>
        </row>
        <row r="1588">
          <cell r="MH1588" t="str">
            <v>IQ22336544</v>
          </cell>
        </row>
        <row r="1589">
          <cell r="MH1589" t="str">
            <v>IQ23610373</v>
          </cell>
        </row>
        <row r="1590">
          <cell r="MH1590" t="str">
            <v>IQ27129392</v>
          </cell>
        </row>
        <row r="1591">
          <cell r="MH1591" t="str">
            <v>IQ106680831</v>
          </cell>
        </row>
        <row r="1592">
          <cell r="MH1592" t="str">
            <v>IQ39269330</v>
          </cell>
        </row>
        <row r="1593">
          <cell r="MH1593" t="str">
            <v>IQ107892521</v>
          </cell>
        </row>
        <row r="1594">
          <cell r="MH1594" t="str">
            <v>IQ12531616</v>
          </cell>
        </row>
        <row r="1595">
          <cell r="MH1595" t="str">
            <v>IQ24084344</v>
          </cell>
        </row>
        <row r="1596">
          <cell r="MH1596" t="str">
            <v>IQ372443</v>
          </cell>
        </row>
        <row r="1597">
          <cell r="MH1597" t="str">
            <v>IQ263921015</v>
          </cell>
        </row>
        <row r="1598">
          <cell r="MH1598" t="str">
            <v>IQ13334913</v>
          </cell>
        </row>
        <row r="1599">
          <cell r="MH1599" t="str">
            <v>IQ256565906</v>
          </cell>
        </row>
        <row r="1600">
          <cell r="MH1600" t="str">
            <v>IQ208497670</v>
          </cell>
        </row>
        <row r="1601">
          <cell r="MH1601" t="str">
            <v>IQ23502492</v>
          </cell>
        </row>
        <row r="1602">
          <cell r="MH1602" t="str">
            <v>IQ263582533</v>
          </cell>
        </row>
        <row r="1603">
          <cell r="MH1603" t="str">
            <v>IQ118422223</v>
          </cell>
        </row>
        <row r="1604">
          <cell r="MH1604" t="str">
            <v>IQ302218741</v>
          </cell>
        </row>
        <row r="1605">
          <cell r="MH1605" t="str">
            <v>IQ373548280</v>
          </cell>
        </row>
        <row r="1606">
          <cell r="MH1606" t="str">
            <v>IQ113274034</v>
          </cell>
        </row>
        <row r="1607">
          <cell r="MH1607" t="str">
            <v>IQ317710</v>
          </cell>
        </row>
        <row r="1608">
          <cell r="MH1608" t="str">
            <v>IQ11831928</v>
          </cell>
        </row>
        <row r="1609">
          <cell r="MH1609" t="str">
            <v>IQ316412552</v>
          </cell>
        </row>
        <row r="1610">
          <cell r="MH1610" t="str">
            <v>IQ30416784</v>
          </cell>
        </row>
        <row r="1611">
          <cell r="MH1611" t="str">
            <v>IQ308494950</v>
          </cell>
        </row>
        <row r="1612">
          <cell r="MH1612" t="str">
            <v>IQ285434639</v>
          </cell>
        </row>
        <row r="1613">
          <cell r="MH1613" t="str">
            <v>IQ214201716</v>
          </cell>
        </row>
        <row r="1614">
          <cell r="MH1614" t="str">
            <v>IQ330260186</v>
          </cell>
        </row>
        <row r="1615">
          <cell r="MH1615" t="str">
            <v>IQ213540237</v>
          </cell>
        </row>
        <row r="1616">
          <cell r="MH1616" t="str">
            <v>IQ301513439</v>
          </cell>
        </row>
        <row r="1617">
          <cell r="MH1617" t="str">
            <v>IQ256681076</v>
          </cell>
        </row>
        <row r="1618">
          <cell r="MH1618" t="str">
            <v>IQ24548318</v>
          </cell>
        </row>
        <row r="1619">
          <cell r="MH1619" t="str">
            <v>IQ24162565</v>
          </cell>
        </row>
        <row r="1620">
          <cell r="MH1620" t="str">
            <v>IQ427189581</v>
          </cell>
        </row>
        <row r="1621">
          <cell r="MH1621" t="str">
            <v>IQ302734279</v>
          </cell>
        </row>
        <row r="1622">
          <cell r="MH1622" t="str">
            <v>IQ533910380</v>
          </cell>
        </row>
        <row r="1623">
          <cell r="MH1623" t="str">
            <v>IQ208500499</v>
          </cell>
        </row>
        <row r="1624">
          <cell r="MH1624" t="str">
            <v>IQ32844869</v>
          </cell>
        </row>
        <row r="1625">
          <cell r="MH1625" t="str">
            <v>IQ23775578</v>
          </cell>
        </row>
        <row r="1626">
          <cell r="MH1626" t="str">
            <v>IQ240089490</v>
          </cell>
        </row>
        <row r="1627">
          <cell r="MH1627" t="str">
            <v>IQ301580944</v>
          </cell>
        </row>
        <row r="1628">
          <cell r="MH1628" t="str">
            <v>IQ280095596</v>
          </cell>
        </row>
        <row r="1629">
          <cell r="MH1629" t="str">
            <v>IQ23756826</v>
          </cell>
        </row>
        <row r="1630">
          <cell r="MH1630" t="str">
            <v>IQ27129708</v>
          </cell>
        </row>
        <row r="1631">
          <cell r="MH1631" t="str">
            <v>IQ6481329</v>
          </cell>
        </row>
        <row r="1632">
          <cell r="MH1632" t="str">
            <v>IQ45788516</v>
          </cell>
        </row>
        <row r="1633">
          <cell r="MH1633" t="str">
            <v>IQ5399204</v>
          </cell>
        </row>
        <row r="1634">
          <cell r="MH1634" t="str">
            <v>IQ52035022</v>
          </cell>
        </row>
        <row r="1635">
          <cell r="MH1635" t="str">
            <v>IQ23898399</v>
          </cell>
        </row>
        <row r="1636">
          <cell r="MH1636" t="str">
            <v>IQ37415031</v>
          </cell>
        </row>
        <row r="1637">
          <cell r="MH1637" t="str">
            <v>IQ33713656</v>
          </cell>
        </row>
        <row r="1638">
          <cell r="MH1638" t="str">
            <v>IQ27420889</v>
          </cell>
        </row>
        <row r="1639">
          <cell r="MH1639" t="str">
            <v>IQ34953078</v>
          </cell>
        </row>
        <row r="1640">
          <cell r="MH1640" t="str">
            <v>IQ50327277</v>
          </cell>
        </row>
        <row r="1641">
          <cell r="MH1641" t="str">
            <v>IQ41597436</v>
          </cell>
        </row>
        <row r="1642">
          <cell r="MH1642" t="str">
            <v>IQ3611816</v>
          </cell>
        </row>
        <row r="1643">
          <cell r="MH1643" t="str">
            <v>IQ296428299</v>
          </cell>
        </row>
        <row r="1644">
          <cell r="MH1644" t="str">
            <v>IQ53342476</v>
          </cell>
        </row>
        <row r="1645">
          <cell r="MH1645" t="str">
            <v>IQ34598743</v>
          </cell>
        </row>
        <row r="1646">
          <cell r="MH1646" t="str">
            <v>IQ1472406</v>
          </cell>
        </row>
        <row r="1647">
          <cell r="MH1647" t="str">
            <v>IQ27332196</v>
          </cell>
        </row>
        <row r="1648">
          <cell r="MH1648" t="str">
            <v>IQ34207867</v>
          </cell>
        </row>
        <row r="1649">
          <cell r="MH1649" t="str">
            <v>IQ226675538</v>
          </cell>
        </row>
        <row r="1650">
          <cell r="MH1650" t="str">
            <v>IQ104930019</v>
          </cell>
        </row>
        <row r="1651">
          <cell r="MH1651" t="str">
            <v>IQ10837322</v>
          </cell>
        </row>
        <row r="1652">
          <cell r="MH1652" t="str">
            <v>IQ402451836</v>
          </cell>
        </row>
        <row r="1653">
          <cell r="MH1653" t="str">
            <v>IQ223210616</v>
          </cell>
        </row>
        <row r="1654">
          <cell r="MH1654" t="str">
            <v>IQ38945567</v>
          </cell>
        </row>
        <row r="1655">
          <cell r="MH1655" t="str">
            <v>IQ27366997</v>
          </cell>
        </row>
        <row r="1656">
          <cell r="MH1656" t="str">
            <v>IQ316442973</v>
          </cell>
        </row>
        <row r="1657">
          <cell r="MH1657" t="str">
            <v>IQ238696833</v>
          </cell>
        </row>
        <row r="1658">
          <cell r="MH1658" t="str">
            <v>IQ290100867</v>
          </cell>
        </row>
        <row r="1659">
          <cell r="MH1659" t="str">
            <v>IQ285325667</v>
          </cell>
        </row>
        <row r="1660">
          <cell r="MH1660" t="str">
            <v>IQ372819635</v>
          </cell>
        </row>
        <row r="1661">
          <cell r="MH1661" t="str">
            <v>IQ275571383</v>
          </cell>
        </row>
        <row r="1662">
          <cell r="MH1662" t="str">
            <v>IQ42193025</v>
          </cell>
        </row>
        <row r="1663">
          <cell r="MH1663" t="str">
            <v>IQ27084418</v>
          </cell>
        </row>
        <row r="1664">
          <cell r="MH1664" t="str">
            <v>IQ3278006</v>
          </cell>
        </row>
        <row r="1665">
          <cell r="MH1665" t="str">
            <v>IQ27144849</v>
          </cell>
        </row>
        <row r="1666">
          <cell r="MH1666" t="str">
            <v>IQ27143524</v>
          </cell>
        </row>
        <row r="1667">
          <cell r="MH1667" t="str">
            <v>IQ116633756</v>
          </cell>
        </row>
        <row r="1668">
          <cell r="MH1668" t="str">
            <v>IQ412919388</v>
          </cell>
        </row>
        <row r="1669">
          <cell r="MH1669" t="str">
            <v>IQ25812838</v>
          </cell>
        </row>
        <row r="1670">
          <cell r="MH1670" t="str">
            <v>IQ26745854</v>
          </cell>
        </row>
        <row r="1671">
          <cell r="MH1671" t="str">
            <v>IQ24901674</v>
          </cell>
        </row>
        <row r="1672">
          <cell r="MH1672" t="str">
            <v>IQ45111622</v>
          </cell>
        </row>
        <row r="1673">
          <cell r="MH1673" t="str">
            <v>IQ22166973</v>
          </cell>
        </row>
        <row r="1674">
          <cell r="MH1674" t="str">
            <v>IQ104600613</v>
          </cell>
        </row>
        <row r="1675">
          <cell r="MH1675" t="str">
            <v>IQ308491386</v>
          </cell>
        </row>
        <row r="1676">
          <cell r="MH1676" t="str">
            <v>IQ109375275</v>
          </cell>
        </row>
        <row r="1677">
          <cell r="MH1677" t="str">
            <v>IQ26898173</v>
          </cell>
        </row>
        <row r="1678">
          <cell r="MH1678" t="str">
            <v>IQ7818219</v>
          </cell>
        </row>
        <row r="1679">
          <cell r="MH1679" t="str">
            <v>IQ11866715</v>
          </cell>
        </row>
        <row r="1680">
          <cell r="MH1680" t="str">
            <v>IQ284792651</v>
          </cell>
        </row>
        <row r="1681">
          <cell r="MH1681" t="str">
            <v>IQ133270150</v>
          </cell>
        </row>
        <row r="1682">
          <cell r="MH1682" t="str">
            <v>IQ559102875</v>
          </cell>
        </row>
        <row r="1683">
          <cell r="MH1683" t="str">
            <v>IQ27127556</v>
          </cell>
        </row>
        <row r="1684">
          <cell r="MH1684" t="str">
            <v>IQ3178834</v>
          </cell>
        </row>
        <row r="1685">
          <cell r="MH1685" t="str">
            <v>IQ534914058</v>
          </cell>
        </row>
        <row r="1686">
          <cell r="MH1686" t="str">
            <v>IQ5103030</v>
          </cell>
        </row>
        <row r="1687">
          <cell r="MH1687" t="str">
            <v>IQ35582231</v>
          </cell>
        </row>
        <row r="1688">
          <cell r="MH1688" t="str">
            <v>IQ27083468</v>
          </cell>
        </row>
        <row r="1689">
          <cell r="MH1689" t="str">
            <v>IQ132823515</v>
          </cell>
        </row>
        <row r="1690">
          <cell r="MH1690" t="str">
            <v>IQ23825542</v>
          </cell>
        </row>
        <row r="1691">
          <cell r="MH1691" t="str">
            <v>IQ28633151</v>
          </cell>
        </row>
        <row r="1692">
          <cell r="MH1692" t="str">
            <v>IQ107992424</v>
          </cell>
        </row>
        <row r="1693">
          <cell r="MH1693" t="str">
            <v>IQ23710955</v>
          </cell>
        </row>
        <row r="1694">
          <cell r="MH1694" t="str">
            <v>IQ256686613</v>
          </cell>
        </row>
        <row r="1695">
          <cell r="MH1695" t="str">
            <v>IQ24066665</v>
          </cell>
        </row>
        <row r="1696">
          <cell r="MH1696" t="str">
            <v>IQ426811313</v>
          </cell>
        </row>
        <row r="1697">
          <cell r="MH1697" t="str">
            <v>IQ26811382</v>
          </cell>
        </row>
        <row r="1698">
          <cell r="MH1698" t="str">
            <v>IQ320171974</v>
          </cell>
        </row>
        <row r="1699">
          <cell r="MH1699" t="str">
            <v>IQ54506609</v>
          </cell>
        </row>
        <row r="1700">
          <cell r="MH1700" t="str">
            <v>IQ8927791</v>
          </cell>
        </row>
        <row r="1701">
          <cell r="MH1701" t="str">
            <v>IQ3688865</v>
          </cell>
        </row>
        <row r="1702">
          <cell r="MH1702" t="str">
            <v>IQ272303319</v>
          </cell>
        </row>
        <row r="1703">
          <cell r="MH1703" t="str">
            <v>IQ11766948</v>
          </cell>
        </row>
        <row r="1704">
          <cell r="MH1704" t="str">
            <v>IQ326071942</v>
          </cell>
        </row>
        <row r="1705">
          <cell r="MH1705" t="str">
            <v>IQ33332383</v>
          </cell>
        </row>
        <row r="1706">
          <cell r="MH1706" t="str">
            <v>IQ430230181</v>
          </cell>
        </row>
        <row r="1707">
          <cell r="MH1707" t="str">
            <v>IQ600178396</v>
          </cell>
        </row>
        <row r="1708">
          <cell r="MH1708" t="str">
            <v>IQ24425574</v>
          </cell>
        </row>
        <row r="1709">
          <cell r="MH1709" t="str">
            <v>IQ301183077</v>
          </cell>
        </row>
        <row r="1710">
          <cell r="MH1710" t="str">
            <v>IQ431333746</v>
          </cell>
        </row>
        <row r="1711">
          <cell r="MH1711" t="str">
            <v>IQ32749669</v>
          </cell>
        </row>
        <row r="1712">
          <cell r="MH1712" t="str">
            <v>IQ24573651</v>
          </cell>
        </row>
        <row r="1713">
          <cell r="MH1713" t="str">
            <v>IQ300915249</v>
          </cell>
        </row>
        <row r="1714">
          <cell r="MH1714" t="str">
            <v>IQ265434663</v>
          </cell>
        </row>
        <row r="1715">
          <cell r="MH1715" t="str">
            <v>IQ33015433</v>
          </cell>
        </row>
        <row r="1716">
          <cell r="MH1716" t="str">
            <v>IQ106488806</v>
          </cell>
        </row>
        <row r="1717">
          <cell r="MH1717" t="str">
            <v>IQ69453290</v>
          </cell>
        </row>
        <row r="1718">
          <cell r="MH1718" t="str">
            <v>IQ228922784</v>
          </cell>
        </row>
        <row r="1719">
          <cell r="MH1719" t="str">
            <v>IQ99160697</v>
          </cell>
        </row>
        <row r="1720">
          <cell r="MH1720" t="str">
            <v>IQ12668461</v>
          </cell>
        </row>
        <row r="1721">
          <cell r="MH1721" t="str">
            <v>IQ210036156</v>
          </cell>
        </row>
        <row r="1722">
          <cell r="MH1722" t="str">
            <v>IQ322119775</v>
          </cell>
        </row>
        <row r="1723">
          <cell r="MH1723" t="str">
            <v>IQ290890120</v>
          </cell>
        </row>
        <row r="1724">
          <cell r="MH1724" t="str">
            <v>IQ322105979</v>
          </cell>
        </row>
        <row r="1725">
          <cell r="MH1725" t="str">
            <v>IQ543361093</v>
          </cell>
        </row>
        <row r="1726">
          <cell r="MH1726" t="str">
            <v>IQ319091131</v>
          </cell>
        </row>
        <row r="1727">
          <cell r="MH1727" t="str">
            <v>IQ545727763</v>
          </cell>
        </row>
        <row r="1728">
          <cell r="MH1728" t="str">
            <v>IQ12787077</v>
          </cell>
        </row>
        <row r="1729">
          <cell r="MH1729" t="str">
            <v>IQ284954300</v>
          </cell>
        </row>
        <row r="1730">
          <cell r="MH1730" t="str">
            <v>IQ311712413</v>
          </cell>
        </row>
        <row r="1731">
          <cell r="MH1731" t="str">
            <v>IQ292632650</v>
          </cell>
        </row>
        <row r="1732">
          <cell r="MH1732" t="str">
            <v>IQ333347472</v>
          </cell>
        </row>
        <row r="1733">
          <cell r="MH1733" t="str">
            <v>IQ51757896</v>
          </cell>
        </row>
        <row r="1734">
          <cell r="MH1734" t="str">
            <v>IQ322045627</v>
          </cell>
        </row>
        <row r="1735">
          <cell r="MH1735" t="str">
            <v>IQ66363617</v>
          </cell>
        </row>
        <row r="1736">
          <cell r="MH1736" t="str">
            <v>IQ569845464</v>
          </cell>
        </row>
        <row r="1737">
          <cell r="MH1737" t="str">
            <v>IQ45083276</v>
          </cell>
        </row>
        <row r="1738">
          <cell r="MH1738" t="str">
            <v>IQ23711667</v>
          </cell>
        </row>
        <row r="1739">
          <cell r="MH1739" t="str">
            <v>IQ61546023</v>
          </cell>
        </row>
        <row r="1740">
          <cell r="MH1740" t="str">
            <v>IQ242229258</v>
          </cell>
        </row>
        <row r="1741">
          <cell r="MH1741" t="str">
            <v>IQ283257938</v>
          </cell>
        </row>
        <row r="1742">
          <cell r="MH1742" t="str">
            <v>IQ241193954</v>
          </cell>
        </row>
        <row r="1743">
          <cell r="MH1743" t="str">
            <v>IQ302380295</v>
          </cell>
        </row>
        <row r="1744">
          <cell r="MH1744" t="str">
            <v>IQ891974</v>
          </cell>
        </row>
        <row r="1745">
          <cell r="MH1745" t="str">
            <v>IQ320644403</v>
          </cell>
        </row>
        <row r="1746">
          <cell r="MH1746" t="str">
            <v>IQ779995</v>
          </cell>
        </row>
        <row r="1747">
          <cell r="MH1747" t="str">
            <v>IQ320264878</v>
          </cell>
        </row>
        <row r="1748">
          <cell r="MH1748" t="str">
            <v>IQ580009938</v>
          </cell>
        </row>
        <row r="1749">
          <cell r="MH1749" t="str">
            <v>IQ171468681</v>
          </cell>
        </row>
        <row r="1750">
          <cell r="MH1750" t="str">
            <v>IQ633066863</v>
          </cell>
        </row>
        <row r="1751">
          <cell r="MH1751" t="str">
            <v>IQ319822181</v>
          </cell>
        </row>
        <row r="1752">
          <cell r="MH1752" t="str">
            <v>IQ27463800</v>
          </cell>
        </row>
        <row r="1753">
          <cell r="MH1753" t="str">
            <v>IQ4841082</v>
          </cell>
        </row>
        <row r="1754">
          <cell r="MH1754" t="str">
            <v>IQ4853228</v>
          </cell>
        </row>
        <row r="1755">
          <cell r="MH1755" t="str">
            <v>IQ11793047</v>
          </cell>
        </row>
        <row r="1756">
          <cell r="MH1756" t="str">
            <v>IQ4158284</v>
          </cell>
        </row>
        <row r="1757">
          <cell r="MH1757" t="str">
            <v>IQ119128238</v>
          </cell>
        </row>
        <row r="1758">
          <cell r="MH1758" t="str">
            <v>IQ108453849</v>
          </cell>
        </row>
        <row r="1759">
          <cell r="MH1759" t="str">
            <v>IQ3534781</v>
          </cell>
        </row>
        <row r="1760">
          <cell r="MH1760" t="str">
            <v>IQ23776582</v>
          </cell>
        </row>
        <row r="1761">
          <cell r="MH1761" t="str">
            <v>IQ170256856</v>
          </cell>
        </row>
        <row r="1762">
          <cell r="MH1762" t="str">
            <v>IQ23337014</v>
          </cell>
        </row>
        <row r="1763">
          <cell r="MH1763" t="str">
            <v>IQ327038072</v>
          </cell>
        </row>
        <row r="1764">
          <cell r="MH1764" t="str">
            <v>IQ35016962</v>
          </cell>
        </row>
        <row r="1765">
          <cell r="MH1765" t="str">
            <v>IQ23609839</v>
          </cell>
        </row>
        <row r="1766">
          <cell r="MH1766" t="str">
            <v>IQ23628737</v>
          </cell>
        </row>
        <row r="1767">
          <cell r="MH1767" t="str">
            <v>IQ52285359</v>
          </cell>
        </row>
        <row r="1768">
          <cell r="MH1768" t="str">
            <v>IQ23775749</v>
          </cell>
        </row>
        <row r="1769">
          <cell r="MH1769" t="str">
            <v>IQ27082481</v>
          </cell>
        </row>
        <row r="1770">
          <cell r="MH1770" t="str">
            <v>IQ296308</v>
          </cell>
        </row>
        <row r="1771">
          <cell r="MH1771" t="str">
            <v>IQ646774407</v>
          </cell>
        </row>
        <row r="1772">
          <cell r="MH1772" t="str">
            <v>IQ27511170</v>
          </cell>
        </row>
        <row r="1773">
          <cell r="MH1773" t="str">
            <v>IQ115706870</v>
          </cell>
        </row>
        <row r="1774">
          <cell r="MH1774" t="str">
            <v>IQ238952574</v>
          </cell>
        </row>
        <row r="1775">
          <cell r="MH1775" t="str">
            <v>IQ215589913</v>
          </cell>
        </row>
        <row r="1776">
          <cell r="MH1776" t="str">
            <v>IQ23925721</v>
          </cell>
        </row>
        <row r="1777">
          <cell r="MH1777" t="str">
            <v>IQ23502528</v>
          </cell>
        </row>
        <row r="1778">
          <cell r="MH1778" t="str">
            <v>IQ51757631</v>
          </cell>
        </row>
        <row r="1779">
          <cell r="MH1779" t="str">
            <v>IQ50007037</v>
          </cell>
        </row>
        <row r="1780">
          <cell r="MH1780" t="str">
            <v>IQ874225</v>
          </cell>
        </row>
        <row r="1781">
          <cell r="MH1781" t="str">
            <v>IQ24625062</v>
          </cell>
        </row>
        <row r="1782">
          <cell r="MH1782" t="str">
            <v>IQ23812496</v>
          </cell>
        </row>
        <row r="1783">
          <cell r="MH1783" t="str">
            <v>IQ4562535</v>
          </cell>
        </row>
        <row r="1784">
          <cell r="MH1784" t="str">
            <v>IQ262138870</v>
          </cell>
        </row>
        <row r="1785">
          <cell r="MH1785" t="str">
            <v>IQ537117688</v>
          </cell>
        </row>
        <row r="1786">
          <cell r="MH1786" t="str">
            <v>IQ31021678</v>
          </cell>
        </row>
        <row r="1787">
          <cell r="MH1787" t="str">
            <v>IQ24439952</v>
          </cell>
        </row>
        <row r="1788">
          <cell r="MH1788" t="str">
            <v>IQ6877924</v>
          </cell>
        </row>
        <row r="1789">
          <cell r="MH1789" t="str">
            <v>IQ3532053</v>
          </cell>
        </row>
        <row r="1790">
          <cell r="MH1790" t="str">
            <v>IQ21535</v>
          </cell>
        </row>
        <row r="1791">
          <cell r="MH1791" t="str">
            <v>IQ32584572</v>
          </cell>
        </row>
        <row r="1792">
          <cell r="MH1792" t="str">
            <v>IQ31133277</v>
          </cell>
        </row>
        <row r="1793">
          <cell r="MH1793" t="str">
            <v>IQ548438339</v>
          </cell>
        </row>
        <row r="1794">
          <cell r="MH1794" t="str">
            <v>IQ11786739</v>
          </cell>
        </row>
        <row r="1795">
          <cell r="MH1795" t="str">
            <v>IQ534911837</v>
          </cell>
        </row>
        <row r="1796">
          <cell r="MH1796" t="str">
            <v>IQ316446067</v>
          </cell>
        </row>
        <row r="1797">
          <cell r="MH1797" t="str">
            <v>IQ551935583</v>
          </cell>
        </row>
        <row r="1798">
          <cell r="MH1798" t="str">
            <v>IQ285326431</v>
          </cell>
        </row>
        <row r="1799">
          <cell r="MH1799" t="str">
            <v>IQ27770018</v>
          </cell>
        </row>
        <row r="1800">
          <cell r="MH1800" t="str">
            <v>IQ27061532</v>
          </cell>
        </row>
        <row r="1801">
          <cell r="MH1801" t="str">
            <v>IQ256916751</v>
          </cell>
        </row>
        <row r="1802">
          <cell r="MH1802" t="str">
            <v>IQ49684214</v>
          </cell>
        </row>
        <row r="1803">
          <cell r="MH1803" t="str">
            <v>IQ27061156</v>
          </cell>
        </row>
        <row r="1804">
          <cell r="MH1804" t="str">
            <v>IQ241578377</v>
          </cell>
        </row>
        <row r="1805">
          <cell r="MH1805" t="str">
            <v>IQ216262344</v>
          </cell>
        </row>
        <row r="1806">
          <cell r="MH1806" t="str">
            <v>IQ27162102</v>
          </cell>
        </row>
        <row r="1807">
          <cell r="MH1807" t="str">
            <v>IQ242197596</v>
          </cell>
        </row>
        <row r="1808">
          <cell r="MH1808" t="str">
            <v>IQ576242567</v>
          </cell>
        </row>
        <row r="1809">
          <cell r="MH1809" t="str">
            <v>IQ27085622</v>
          </cell>
        </row>
        <row r="1810">
          <cell r="MH1810" t="str">
            <v>IQ107598122</v>
          </cell>
        </row>
        <row r="1811">
          <cell r="MH1811" t="str">
            <v>IQ24771383</v>
          </cell>
        </row>
        <row r="1812">
          <cell r="MH1812" t="str">
            <v>IQ117219377</v>
          </cell>
        </row>
        <row r="1813">
          <cell r="MH1813" t="str">
            <v>IQ529690523</v>
          </cell>
        </row>
        <row r="1814">
          <cell r="MH1814" t="str">
            <v>IQ367873308</v>
          </cell>
        </row>
        <row r="1815">
          <cell r="MH1815" t="str">
            <v>IQ115902056</v>
          </cell>
        </row>
        <row r="1816">
          <cell r="MH1816" t="str">
            <v>IQ27146503</v>
          </cell>
        </row>
        <row r="1817">
          <cell r="MH1817" t="str">
            <v>IQ59075310</v>
          </cell>
        </row>
        <row r="1818">
          <cell r="MH1818" t="str">
            <v>IQ291517655</v>
          </cell>
        </row>
        <row r="1819">
          <cell r="MH1819" t="str">
            <v>IQ108986644</v>
          </cell>
        </row>
        <row r="1820">
          <cell r="MH1820" t="str">
            <v>IQ236677309</v>
          </cell>
        </row>
        <row r="1821">
          <cell r="MH1821" t="str">
            <v>IQ330260600</v>
          </cell>
        </row>
        <row r="1822">
          <cell r="MH1822" t="str">
            <v>IQ301326964</v>
          </cell>
        </row>
        <row r="1823">
          <cell r="MH1823" t="str">
            <v>IQ301199756</v>
          </cell>
        </row>
        <row r="1824">
          <cell r="MH1824" t="str">
            <v>IQ415559535</v>
          </cell>
        </row>
        <row r="1825">
          <cell r="MH1825" t="str">
            <v>IQ428283354</v>
          </cell>
        </row>
        <row r="1826">
          <cell r="MH1826" t="str">
            <v>IQ23836154</v>
          </cell>
        </row>
        <row r="1827">
          <cell r="MH1827" t="str">
            <v>IQ23697467</v>
          </cell>
        </row>
        <row r="1828">
          <cell r="MH1828" t="str">
            <v>IQ302189869</v>
          </cell>
        </row>
        <row r="1829">
          <cell r="MH1829" t="str">
            <v>IQ301689300</v>
          </cell>
        </row>
        <row r="1830">
          <cell r="MH1830" t="str">
            <v>IQ383658962</v>
          </cell>
        </row>
        <row r="1831">
          <cell r="MH1831" t="str">
            <v>IQ301775974</v>
          </cell>
        </row>
        <row r="1832">
          <cell r="MH1832" t="str">
            <v>IQ142744896</v>
          </cell>
        </row>
        <row r="1833">
          <cell r="MH1833" t="str">
            <v>IQ285528689</v>
          </cell>
        </row>
        <row r="1834">
          <cell r="MH1834" t="str">
            <v>IQ280013291</v>
          </cell>
        </row>
        <row r="1835">
          <cell r="MH1835" t="str">
            <v>IQ430158869</v>
          </cell>
        </row>
        <row r="1836">
          <cell r="MH1836" t="str">
            <v>IQ301569629</v>
          </cell>
        </row>
        <row r="1837">
          <cell r="MH1837" t="str">
            <v>IQ330633157</v>
          </cell>
        </row>
        <row r="1838">
          <cell r="MH1838" t="str">
            <v>IQ41699113</v>
          </cell>
        </row>
        <row r="1839">
          <cell r="MH1839" t="str">
            <v>IQ6665356</v>
          </cell>
        </row>
        <row r="1840">
          <cell r="MH1840" t="str">
            <v>IQ2200577</v>
          </cell>
        </row>
        <row r="1841">
          <cell r="MH1841" t="str">
            <v>IQ30124539</v>
          </cell>
        </row>
        <row r="1842">
          <cell r="MH1842" t="str">
            <v>IQ23583194</v>
          </cell>
        </row>
        <row r="1843">
          <cell r="MH1843" t="str">
            <v>IQ49402743</v>
          </cell>
        </row>
        <row r="1844">
          <cell r="MH1844" t="str">
            <v>IQ44726019</v>
          </cell>
        </row>
        <row r="1845">
          <cell r="MH1845" t="str">
            <v>IQ23629518</v>
          </cell>
        </row>
        <row r="1846">
          <cell r="MH1846" t="str">
            <v>IQ25600973</v>
          </cell>
        </row>
        <row r="1847">
          <cell r="MH1847" t="str">
            <v>IQ89047478</v>
          </cell>
        </row>
        <row r="1848">
          <cell r="MH1848" t="str">
            <v>IQ24071104</v>
          </cell>
        </row>
        <row r="1849">
          <cell r="MH1849" t="str">
            <v>IQ22952198</v>
          </cell>
        </row>
        <row r="1850">
          <cell r="MH1850" t="str">
            <v>IQ213093404</v>
          </cell>
        </row>
        <row r="1851">
          <cell r="MH1851" t="str">
            <v>IQ141069378</v>
          </cell>
        </row>
        <row r="1852">
          <cell r="MH1852" t="str">
            <v>IQ27130060</v>
          </cell>
        </row>
        <row r="1853">
          <cell r="MH1853" t="str">
            <v>IQ32749744</v>
          </cell>
        </row>
        <row r="1854">
          <cell r="MH1854" t="str">
            <v>IQ36657042</v>
          </cell>
        </row>
        <row r="1855">
          <cell r="MH1855" t="str">
            <v>IQ98128997</v>
          </cell>
        </row>
        <row r="1856">
          <cell r="MH1856" t="str">
            <v>IQ238570</v>
          </cell>
        </row>
        <row r="1857">
          <cell r="MH1857" t="str">
            <v>IQ4752621</v>
          </cell>
        </row>
        <row r="1858">
          <cell r="MH1858" t="str">
            <v>IQ27083939</v>
          </cell>
        </row>
        <row r="1859">
          <cell r="MH1859" t="str">
            <v>IQ238705257</v>
          </cell>
        </row>
        <row r="1860">
          <cell r="MH1860" t="str">
            <v>IQ4690807</v>
          </cell>
        </row>
        <row r="1861">
          <cell r="MH1861" t="str">
            <v>IQ45793951</v>
          </cell>
        </row>
        <row r="1862">
          <cell r="MH1862" t="str">
            <v>IQ227939268</v>
          </cell>
        </row>
        <row r="1863">
          <cell r="MH1863" t="str">
            <v>IQ54138192</v>
          </cell>
        </row>
        <row r="1864">
          <cell r="MH1864" t="str">
            <v>IQ117009876</v>
          </cell>
        </row>
        <row r="1865">
          <cell r="MH1865" t="str">
            <v>IQ35015319</v>
          </cell>
        </row>
        <row r="1866">
          <cell r="MH1866" t="str">
            <v>IQ3751970</v>
          </cell>
        </row>
        <row r="1867">
          <cell r="MH1867" t="str">
            <v>IQ119083786</v>
          </cell>
        </row>
        <row r="1868">
          <cell r="MH1868" t="str">
            <v>IQ9464433</v>
          </cell>
        </row>
        <row r="1869">
          <cell r="MH1869" t="str">
            <v>IQ4086053</v>
          </cell>
        </row>
        <row r="1870">
          <cell r="MH1870" t="str">
            <v>IQ5092344</v>
          </cell>
        </row>
        <row r="1871">
          <cell r="MH1871" t="str">
            <v>IQ300902183</v>
          </cell>
        </row>
        <row r="1872">
          <cell r="MH1872" t="str">
            <v>IQ7770943</v>
          </cell>
        </row>
        <row r="1873">
          <cell r="MH1873" t="str">
            <v>IQ102719</v>
          </cell>
        </row>
        <row r="1874">
          <cell r="MH1874" t="str">
            <v>IQ46646664</v>
          </cell>
        </row>
        <row r="1875">
          <cell r="MH1875" t="str">
            <v>IQ1530973</v>
          </cell>
        </row>
        <row r="1876">
          <cell r="MH1876" t="str">
            <v>IQ27146611</v>
          </cell>
        </row>
        <row r="1877">
          <cell r="MH1877" t="str">
            <v>IQ35536402</v>
          </cell>
        </row>
        <row r="1878">
          <cell r="MH1878" t="str">
            <v>IQ20702774</v>
          </cell>
        </row>
        <row r="1879">
          <cell r="MH1879" t="str">
            <v>IQ140250940</v>
          </cell>
        </row>
        <row r="1880">
          <cell r="MH1880" t="str">
            <v>IQ25600276</v>
          </cell>
        </row>
        <row r="1881">
          <cell r="MH1881" t="str">
            <v>IQ291113751</v>
          </cell>
        </row>
        <row r="1882">
          <cell r="MH1882" t="str">
            <v>IQ41595561</v>
          </cell>
        </row>
        <row r="1883">
          <cell r="MH1883" t="str">
            <v>IQ256696189</v>
          </cell>
        </row>
        <row r="1884">
          <cell r="MH1884" t="str">
            <v>IQ23245725</v>
          </cell>
        </row>
        <row r="1885">
          <cell r="MH1885" t="str">
            <v>IQ23499444</v>
          </cell>
        </row>
        <row r="1886">
          <cell r="MH1886" t="str">
            <v>IQ208497191</v>
          </cell>
        </row>
        <row r="1887">
          <cell r="MH1887" t="str">
            <v>IQ32606066</v>
          </cell>
        </row>
        <row r="1888">
          <cell r="MH1888" t="str">
            <v>IQ228511394</v>
          </cell>
        </row>
        <row r="1889">
          <cell r="MH1889" t="str">
            <v>IQ58209783</v>
          </cell>
        </row>
        <row r="1890">
          <cell r="MH1890" t="str">
            <v>IQ253286522</v>
          </cell>
        </row>
        <row r="1891">
          <cell r="MH1891" t="str">
            <v>IQ32584441</v>
          </cell>
        </row>
        <row r="1892">
          <cell r="MH1892" t="str">
            <v>IQ272450189</v>
          </cell>
        </row>
        <row r="1893">
          <cell r="MH1893" t="str">
            <v>IQ62240273</v>
          </cell>
        </row>
        <row r="1894">
          <cell r="MH1894" t="str">
            <v>IQ118900186</v>
          </cell>
        </row>
        <row r="1895">
          <cell r="MH1895" t="str">
            <v>IQ273590877</v>
          </cell>
        </row>
        <row r="1896">
          <cell r="MH1896" t="str">
            <v>IQ98349944</v>
          </cell>
        </row>
        <row r="1897">
          <cell r="MH1897" t="str">
            <v>IQ420028481</v>
          </cell>
        </row>
        <row r="1898">
          <cell r="MH1898" t="str">
            <v>IQ231829455</v>
          </cell>
        </row>
        <row r="1899">
          <cell r="MH1899" t="str">
            <v>IQ290731766</v>
          </cell>
        </row>
        <row r="1900">
          <cell r="MH1900" t="str">
            <v>IQ217380092</v>
          </cell>
        </row>
        <row r="1901">
          <cell r="MH1901" t="str">
            <v>IQ134470128</v>
          </cell>
        </row>
        <row r="1902">
          <cell r="MH1902" t="str">
            <v>IQ24083332</v>
          </cell>
        </row>
        <row r="1903">
          <cell r="MH1903" t="str">
            <v>IQ419754841</v>
          </cell>
        </row>
        <row r="1904">
          <cell r="MH1904" t="str">
            <v>IQ23630070</v>
          </cell>
        </row>
        <row r="1905">
          <cell r="MH1905" t="str">
            <v>IQ300967012</v>
          </cell>
        </row>
        <row r="1906">
          <cell r="MH1906" t="str">
            <v>IQ533848246</v>
          </cell>
        </row>
        <row r="1907">
          <cell r="MH1907" t="str">
            <v>IQ46554136</v>
          </cell>
        </row>
        <row r="1908">
          <cell r="MH1908" t="str">
            <v>IQ2213790</v>
          </cell>
        </row>
        <row r="1909">
          <cell r="MH1909" t="str">
            <v>IQ420075891</v>
          </cell>
        </row>
        <row r="1910">
          <cell r="MH1910" t="str">
            <v>IQ41691603</v>
          </cell>
        </row>
        <row r="1911">
          <cell r="MH1911" t="str">
            <v>IQ229103167</v>
          </cell>
        </row>
        <row r="1912">
          <cell r="MH1912" t="str">
            <v>IQ170617253</v>
          </cell>
        </row>
        <row r="1913">
          <cell r="MH1913" t="str">
            <v>IQ133502140</v>
          </cell>
        </row>
        <row r="1914">
          <cell r="MH1914" t="str">
            <v>IQ25022323</v>
          </cell>
        </row>
        <row r="1915">
          <cell r="MH1915" t="str">
            <v>IQ228439071</v>
          </cell>
        </row>
        <row r="1916">
          <cell r="MH1916" t="str">
            <v>IQ104690947</v>
          </cell>
        </row>
        <row r="1917">
          <cell r="MH1917" t="str">
            <v>IQ98516134</v>
          </cell>
        </row>
        <row r="1918">
          <cell r="MH1918" t="str">
            <v>IQ11766315</v>
          </cell>
        </row>
        <row r="1919">
          <cell r="MH1919" t="str">
            <v>IQ285323875</v>
          </cell>
        </row>
        <row r="1920">
          <cell r="MH1920" t="str">
            <v>IQ23921454</v>
          </cell>
        </row>
        <row r="1921">
          <cell r="MH1921" t="str">
            <v>IQ284601830</v>
          </cell>
        </row>
        <row r="1922">
          <cell r="MH1922" t="str">
            <v>IQ956069</v>
          </cell>
        </row>
        <row r="1923">
          <cell r="MH1923" t="str">
            <v>IQ6927309</v>
          </cell>
        </row>
        <row r="1924">
          <cell r="MH1924" t="str">
            <v>IQ420106646</v>
          </cell>
        </row>
        <row r="1925">
          <cell r="MH1925" t="str">
            <v>IQ32571438</v>
          </cell>
        </row>
        <row r="1926">
          <cell r="MH1926" t="str">
            <v>IQ25871757</v>
          </cell>
        </row>
        <row r="1927">
          <cell r="MH1927" t="str">
            <v>IQ26809932</v>
          </cell>
        </row>
        <row r="1928">
          <cell r="MH1928" t="str">
            <v>IQ31244379</v>
          </cell>
        </row>
        <row r="1929">
          <cell r="MH1929" t="str">
            <v>IQ318790374</v>
          </cell>
        </row>
        <row r="1930">
          <cell r="MH1930" t="str">
            <v>IQ327878729</v>
          </cell>
        </row>
        <row r="1931">
          <cell r="MH1931" t="str">
            <v>IQ243672750</v>
          </cell>
        </row>
        <row r="1932">
          <cell r="MH1932" t="str">
            <v>IQ27061474</v>
          </cell>
        </row>
        <row r="1933">
          <cell r="MH1933" t="str">
            <v>IQ271855303</v>
          </cell>
        </row>
        <row r="1934">
          <cell r="MH1934" t="str">
            <v>IQ114780416</v>
          </cell>
        </row>
        <row r="1935">
          <cell r="MH1935" t="str">
            <v>IQ240693003</v>
          </cell>
        </row>
        <row r="1936">
          <cell r="MH1936" t="str">
            <v>IQ302729005</v>
          </cell>
        </row>
        <row r="1937">
          <cell r="MH1937" t="str">
            <v>IQ4058382</v>
          </cell>
        </row>
        <row r="1938">
          <cell r="MH1938" t="str">
            <v>IQ32455180</v>
          </cell>
        </row>
        <row r="1939">
          <cell r="MH1939" t="str">
            <v>IQ268943436</v>
          </cell>
        </row>
        <row r="1940">
          <cell r="MH1940" t="str">
            <v>IQ127275</v>
          </cell>
        </row>
        <row r="1941">
          <cell r="MH1941" t="str">
            <v>IQ26814147</v>
          </cell>
        </row>
        <row r="1942">
          <cell r="MH1942" t="str">
            <v>IQ49380337</v>
          </cell>
        </row>
        <row r="1943">
          <cell r="MH1943" t="str">
            <v>IQ320268087</v>
          </cell>
        </row>
        <row r="1944">
          <cell r="MH1944" t="str">
            <v>IQ79692201</v>
          </cell>
        </row>
        <row r="1945">
          <cell r="MH1945" t="str">
            <v>IQ108707153</v>
          </cell>
        </row>
        <row r="1946">
          <cell r="MH1946" t="str">
            <v>IQ10494992</v>
          </cell>
        </row>
        <row r="1947">
          <cell r="MH1947" t="str">
            <v>IQ27938063</v>
          </cell>
        </row>
        <row r="1948">
          <cell r="MH1948" t="str">
            <v>IQ301034041</v>
          </cell>
        </row>
        <row r="1949">
          <cell r="MH1949" t="str">
            <v>IQ291973887</v>
          </cell>
        </row>
        <row r="1950">
          <cell r="MH1950" t="str">
            <v>IQ8102498</v>
          </cell>
        </row>
        <row r="1951">
          <cell r="MH1951" t="str">
            <v>IQ13518120</v>
          </cell>
        </row>
        <row r="1952">
          <cell r="MH1952" t="str">
            <v>IQ40848388</v>
          </cell>
        </row>
        <row r="1953">
          <cell r="MH1953" t="str">
            <v>IQ41265214</v>
          </cell>
        </row>
        <row r="1954">
          <cell r="MH1954" t="str">
            <v>IQ292807059</v>
          </cell>
        </row>
        <row r="1955">
          <cell r="MH1955" t="str">
            <v>IQ215921311</v>
          </cell>
        </row>
        <row r="1956">
          <cell r="MH1956" t="str">
            <v>IQ256779303</v>
          </cell>
        </row>
        <row r="1957">
          <cell r="MH1957" t="str">
            <v>IQ301501899</v>
          </cell>
        </row>
        <row r="1958">
          <cell r="MH1958" t="str">
            <v>IQ291059830</v>
          </cell>
        </row>
        <row r="1959">
          <cell r="MH1959" t="str">
            <v>IQ722102</v>
          </cell>
        </row>
        <row r="1960">
          <cell r="MH1960" t="str">
            <v>IQ318795474</v>
          </cell>
        </row>
        <row r="1961">
          <cell r="MH1961" t="str">
            <v>IQ422291957</v>
          </cell>
        </row>
        <row r="1962">
          <cell r="MH1962" t="str">
            <v>IQ2073688</v>
          </cell>
        </row>
        <row r="1963">
          <cell r="MH1963" t="str">
            <v>IQ23941481</v>
          </cell>
        </row>
        <row r="1964">
          <cell r="MH1964" t="str">
            <v>IQ9682079</v>
          </cell>
        </row>
        <row r="1965">
          <cell r="MH1965" t="str">
            <v>IQ290409397</v>
          </cell>
        </row>
        <row r="1966">
          <cell r="MH1966" t="str">
            <v>IQ300945136</v>
          </cell>
        </row>
        <row r="1967">
          <cell r="MH1967" t="str">
            <v>IQ301973945</v>
          </cell>
        </row>
        <row r="1968">
          <cell r="MH1968" t="str">
            <v>IQ46993208</v>
          </cell>
        </row>
        <row r="1969">
          <cell r="MH1969" t="str">
            <v>IQ302294307</v>
          </cell>
        </row>
        <row r="1970">
          <cell r="MH1970" t="str">
            <v>IQ419708096</v>
          </cell>
        </row>
        <row r="1971">
          <cell r="MH1971" t="str">
            <v>IQ6666269</v>
          </cell>
        </row>
        <row r="1972">
          <cell r="MH1972" t="str">
            <v>IQ256179291</v>
          </cell>
        </row>
        <row r="1973">
          <cell r="MH1973" t="str">
            <v>IQ6153210</v>
          </cell>
        </row>
        <row r="1974">
          <cell r="MH1974" t="str">
            <v>IQ22993901</v>
          </cell>
        </row>
        <row r="1975">
          <cell r="MH1975" t="str">
            <v>IQ82032343</v>
          </cell>
        </row>
        <row r="1976">
          <cell r="MH1976" t="str">
            <v>IQ311231438</v>
          </cell>
        </row>
        <row r="1977">
          <cell r="MH1977" t="str">
            <v>IQ41078721</v>
          </cell>
        </row>
        <row r="1978">
          <cell r="MH1978" t="str">
            <v>IQ3486197</v>
          </cell>
        </row>
        <row r="1979">
          <cell r="MH1979" t="str">
            <v>IQ22762846</v>
          </cell>
        </row>
        <row r="1980">
          <cell r="MH1980" t="str">
            <v>IQ31024398</v>
          </cell>
        </row>
        <row r="1981">
          <cell r="MH1981" t="str">
            <v>IQ24341123</v>
          </cell>
        </row>
        <row r="1982">
          <cell r="MH1982" t="str">
            <v>IQ27529636</v>
          </cell>
        </row>
        <row r="1983">
          <cell r="MH1983" t="str">
            <v>IQ975215</v>
          </cell>
        </row>
        <row r="1984">
          <cell r="MH1984" t="str">
            <v>IQ7727213</v>
          </cell>
        </row>
        <row r="1985">
          <cell r="MH1985" t="str">
            <v>IQ58274793</v>
          </cell>
        </row>
        <row r="1986">
          <cell r="MH1986" t="str">
            <v>IQ26001127</v>
          </cell>
        </row>
        <row r="1987">
          <cell r="MH1987" t="str">
            <v>IQ109104950</v>
          </cell>
        </row>
        <row r="1988">
          <cell r="MH1988" t="str">
            <v>IQ106999954</v>
          </cell>
        </row>
        <row r="1989">
          <cell r="MH1989" t="str">
            <v>IQ391804</v>
          </cell>
        </row>
        <row r="1990">
          <cell r="MH1990" t="str">
            <v>IQ27526701</v>
          </cell>
        </row>
        <row r="1991">
          <cell r="MH1991" t="str">
            <v>IQ41664760</v>
          </cell>
        </row>
        <row r="1992">
          <cell r="MH1992" t="str">
            <v>IQ846330</v>
          </cell>
        </row>
        <row r="1993">
          <cell r="MH1993" t="str">
            <v>IQ35417223</v>
          </cell>
        </row>
        <row r="1994">
          <cell r="MH1994" t="str">
            <v>IQ127590514</v>
          </cell>
        </row>
        <row r="1995">
          <cell r="MH1995" t="str">
            <v>IQ27162041</v>
          </cell>
        </row>
        <row r="1996">
          <cell r="MH1996" t="str">
            <v>IQ26896560</v>
          </cell>
        </row>
        <row r="1997">
          <cell r="MH1997" t="str">
            <v>IQ379386786</v>
          </cell>
        </row>
        <row r="1998">
          <cell r="MH1998" t="str">
            <v>IQ788115</v>
          </cell>
        </row>
        <row r="1999">
          <cell r="MH1999" t="str">
            <v>IQ24023090</v>
          </cell>
        </row>
        <row r="2000">
          <cell r="MH2000" t="str">
            <v>IQ9069920</v>
          </cell>
        </row>
        <row r="2001">
          <cell r="MH2001" t="str">
            <v>IQ27869250</v>
          </cell>
        </row>
        <row r="2002">
          <cell r="MH2002" t="str">
            <v>IQ11743542</v>
          </cell>
        </row>
        <row r="2003">
          <cell r="MH2003" t="str">
            <v>IQ27146267</v>
          </cell>
        </row>
        <row r="2004">
          <cell r="MH2004" t="str">
            <v>IQ309451351</v>
          </cell>
        </row>
        <row r="2005">
          <cell r="MH2005" t="str">
            <v>IQ25363530</v>
          </cell>
        </row>
        <row r="2006">
          <cell r="MH2006" t="str">
            <v>IQ13508251</v>
          </cell>
        </row>
        <row r="2007">
          <cell r="MH2007" t="str">
            <v>IQ45024507</v>
          </cell>
        </row>
        <row r="2008">
          <cell r="MH2008" t="str">
            <v>IQ41623552</v>
          </cell>
        </row>
        <row r="2009">
          <cell r="MH2009" t="str">
            <v>IQ8183176</v>
          </cell>
        </row>
        <row r="2010">
          <cell r="MH2010" t="str">
            <v>IQ6464170</v>
          </cell>
        </row>
        <row r="2011">
          <cell r="MH2011" t="str">
            <v>IQ53094977</v>
          </cell>
        </row>
        <row r="2012">
          <cell r="MH2012" t="str">
            <v>IQ433519887</v>
          </cell>
        </row>
        <row r="2013">
          <cell r="MH2013" t="str">
            <v>IQ6114434</v>
          </cell>
        </row>
        <row r="2014">
          <cell r="MH2014" t="str">
            <v>IQ1827938</v>
          </cell>
        </row>
        <row r="2015">
          <cell r="MH2015" t="str">
            <v>IQ27145046</v>
          </cell>
        </row>
        <row r="2016">
          <cell r="MH2016" t="str">
            <v>IQ159661830</v>
          </cell>
        </row>
        <row r="2017">
          <cell r="MH2017" t="str">
            <v>IQ22688284</v>
          </cell>
        </row>
        <row r="2018">
          <cell r="MH2018" t="str">
            <v>IQ646619</v>
          </cell>
        </row>
        <row r="2019">
          <cell r="MH2019" t="str">
            <v>IQ24115485</v>
          </cell>
        </row>
        <row r="2020">
          <cell r="MH2020" t="str">
            <v>IQ26878643</v>
          </cell>
        </row>
        <row r="2021">
          <cell r="MH2021" t="str">
            <v>IQ222773052</v>
          </cell>
        </row>
        <row r="2022">
          <cell r="MH2022" t="str">
            <v>IQ24003855</v>
          </cell>
        </row>
        <row r="2023">
          <cell r="MH2023" t="str">
            <v>IQ23736076</v>
          </cell>
        </row>
        <row r="2024">
          <cell r="MH2024" t="str">
            <v>IQ97262705</v>
          </cell>
        </row>
        <row r="2025">
          <cell r="MH2025" t="str">
            <v>IQ54170046</v>
          </cell>
        </row>
        <row r="2026">
          <cell r="MH2026" t="str">
            <v>IQ114671203</v>
          </cell>
        </row>
        <row r="2027">
          <cell r="MH2027" t="str">
            <v>IQ38611893</v>
          </cell>
        </row>
        <row r="2028">
          <cell r="MH2028" t="str">
            <v>IQ214230907</v>
          </cell>
        </row>
        <row r="2029">
          <cell r="MH2029" t="str">
            <v>IQ24375174</v>
          </cell>
        </row>
        <row r="2030">
          <cell r="MH2030" t="str">
            <v>IQ301325571</v>
          </cell>
        </row>
        <row r="2031">
          <cell r="MH2031" t="str">
            <v>IQ22676664</v>
          </cell>
        </row>
        <row r="2032">
          <cell r="MH2032" t="str">
            <v>IQ52982722</v>
          </cell>
        </row>
        <row r="2033">
          <cell r="MH2033" t="str">
            <v>IQ2873837</v>
          </cell>
        </row>
        <row r="2034">
          <cell r="MH2034" t="str">
            <v>IQ23459143</v>
          </cell>
        </row>
        <row r="2035">
          <cell r="MH2035" t="str">
            <v>IQ42997668</v>
          </cell>
        </row>
        <row r="2036">
          <cell r="MH2036" t="str">
            <v>IQ346216175</v>
          </cell>
        </row>
        <row r="2037">
          <cell r="MH2037" t="str">
            <v>IQ296384599</v>
          </cell>
        </row>
        <row r="2038">
          <cell r="MH2038" t="str">
            <v>IQ316175294</v>
          </cell>
        </row>
        <row r="2039">
          <cell r="MH2039" t="str">
            <v>IQ302806610</v>
          </cell>
        </row>
        <row r="2040">
          <cell r="MH2040" t="str">
            <v>IQ145499907</v>
          </cell>
        </row>
        <row r="2041">
          <cell r="MH2041" t="str">
            <v>IQ41260485</v>
          </cell>
        </row>
        <row r="2042">
          <cell r="MH2042" t="str">
            <v>IQ35056563</v>
          </cell>
        </row>
        <row r="2043">
          <cell r="MH2043" t="str">
            <v>IQ290902450</v>
          </cell>
        </row>
        <row r="2044">
          <cell r="MH2044" t="str">
            <v>IQ116900235</v>
          </cell>
        </row>
        <row r="2045">
          <cell r="MH2045" t="str">
            <v>IQ213535504</v>
          </cell>
        </row>
        <row r="2046">
          <cell r="MH2046" t="str">
            <v>IQ282692001</v>
          </cell>
        </row>
        <row r="2047">
          <cell r="MH2047" t="str">
            <v>IQ301188236</v>
          </cell>
        </row>
        <row r="2048">
          <cell r="MH2048" t="str">
            <v>IQ109547055</v>
          </cell>
        </row>
        <row r="2049">
          <cell r="MH2049" t="str">
            <v>IQ324400337</v>
          </cell>
        </row>
        <row r="2050">
          <cell r="MH2050" t="str">
            <v>IQ24602679</v>
          </cell>
        </row>
        <row r="2051">
          <cell r="MH2051" t="str">
            <v>IQ291266114</v>
          </cell>
        </row>
        <row r="2052">
          <cell r="MH2052" t="str">
            <v>IQ24599265</v>
          </cell>
        </row>
        <row r="2053">
          <cell r="MH2053" t="str">
            <v>IQ12962894</v>
          </cell>
        </row>
        <row r="2054">
          <cell r="MH2054" t="str">
            <v>IQ60185053</v>
          </cell>
        </row>
        <row r="2055">
          <cell r="MH2055" t="str">
            <v>IQ53180544</v>
          </cell>
        </row>
        <row r="2056">
          <cell r="MH2056" t="str">
            <v>IQ290741906</v>
          </cell>
        </row>
        <row r="2057">
          <cell r="MH2057" t="str">
            <v>IQ215053707</v>
          </cell>
        </row>
        <row r="2058">
          <cell r="MH2058" t="str">
            <v>IQ5928912</v>
          </cell>
        </row>
        <row r="2059">
          <cell r="MH2059" t="str">
            <v>IQ11790846</v>
          </cell>
        </row>
        <row r="2060">
          <cell r="MH2060" t="str">
            <v>IQ26789987</v>
          </cell>
        </row>
        <row r="2061">
          <cell r="MH2061" t="str">
            <v>IQ35201362</v>
          </cell>
        </row>
        <row r="2062">
          <cell r="MH2062" t="str">
            <v>IQ45120050</v>
          </cell>
        </row>
        <row r="2063">
          <cell r="MH2063" t="str">
            <v>IQ661650</v>
          </cell>
        </row>
        <row r="2064">
          <cell r="MH2064" t="str">
            <v>IQ260730322</v>
          </cell>
        </row>
        <row r="2065">
          <cell r="MH2065" t="str">
            <v>IQ3533872</v>
          </cell>
        </row>
        <row r="2066">
          <cell r="MH2066" t="str">
            <v>IQ422284685</v>
          </cell>
        </row>
        <row r="2067">
          <cell r="MH2067" t="str">
            <v>IQ40404209</v>
          </cell>
        </row>
        <row r="2068">
          <cell r="MH2068" t="str">
            <v>IQ27260234</v>
          </cell>
        </row>
        <row r="2069">
          <cell r="MH2069" t="str">
            <v>IQ48979640</v>
          </cell>
        </row>
        <row r="2070">
          <cell r="MH2070" t="str">
            <v>IQ813607</v>
          </cell>
        </row>
        <row r="2071">
          <cell r="MH2071" t="str">
            <v>IQ411322</v>
          </cell>
        </row>
        <row r="2072">
          <cell r="MH2072" t="str">
            <v>IQ3148142</v>
          </cell>
        </row>
        <row r="2073">
          <cell r="MH2073" t="str">
            <v>IQ35104850</v>
          </cell>
        </row>
        <row r="2074">
          <cell r="MH2074" t="str">
            <v>IQ226052704</v>
          </cell>
        </row>
        <row r="2075">
          <cell r="MH2075" t="str">
            <v>IQ655731636</v>
          </cell>
        </row>
        <row r="2076">
          <cell r="MH2076" t="str">
            <v>IQ1675316</v>
          </cell>
        </row>
        <row r="2077">
          <cell r="MH2077" t="str">
            <v>IQ28259666</v>
          </cell>
        </row>
        <row r="2078">
          <cell r="MH2078" t="str">
            <v>IQ42624312</v>
          </cell>
        </row>
        <row r="2079">
          <cell r="MH2079" t="str">
            <v>IQ23872399</v>
          </cell>
        </row>
        <row r="2080">
          <cell r="MH2080" t="str">
            <v>IQ242687810</v>
          </cell>
        </row>
        <row r="2081">
          <cell r="MH2081" t="str">
            <v>IQ59534386</v>
          </cell>
        </row>
        <row r="2082">
          <cell r="MH2082" t="str">
            <v>IQ97262713</v>
          </cell>
        </row>
        <row r="2083">
          <cell r="MH2083" t="str">
            <v>IQ54525489</v>
          </cell>
        </row>
        <row r="2084">
          <cell r="MH2084" t="str">
            <v>IQ273490225</v>
          </cell>
        </row>
        <row r="2085">
          <cell r="MH2085" t="str">
            <v>IQ35112975</v>
          </cell>
        </row>
        <row r="2086">
          <cell r="MH2086" t="str">
            <v>IQ30863028</v>
          </cell>
        </row>
        <row r="2087">
          <cell r="MH2087" t="str">
            <v>IQ228573591</v>
          </cell>
        </row>
        <row r="2088">
          <cell r="MH2088" t="str">
            <v>IQ24162081</v>
          </cell>
        </row>
        <row r="2089">
          <cell r="MH2089" t="str">
            <v>IQ35268673</v>
          </cell>
        </row>
        <row r="2090">
          <cell r="MH2090" t="str">
            <v>IQ212354346</v>
          </cell>
        </row>
        <row r="2091">
          <cell r="MH2091" t="str">
            <v>IQ171084822</v>
          </cell>
        </row>
        <row r="2092">
          <cell r="MH2092" t="str">
            <v>IQ24603036</v>
          </cell>
        </row>
        <row r="2093">
          <cell r="MH2093" t="str">
            <v>IQ301781127</v>
          </cell>
        </row>
        <row r="2094">
          <cell r="MH2094" t="str">
            <v>IQ29973907</v>
          </cell>
        </row>
        <row r="2095">
          <cell r="MH2095" t="str">
            <v>IQ6257315</v>
          </cell>
        </row>
        <row r="2096">
          <cell r="MH2096" t="str">
            <v>IQ936420</v>
          </cell>
        </row>
        <row r="2097">
          <cell r="MH2097" t="str">
            <v>IQ6072303</v>
          </cell>
        </row>
        <row r="2098">
          <cell r="MH2098" t="str">
            <v>IQ932651</v>
          </cell>
        </row>
        <row r="2099">
          <cell r="MH2099" t="str">
            <v>IQ207689947</v>
          </cell>
        </row>
        <row r="2100">
          <cell r="MH2100" t="str">
            <v>IQ23797334</v>
          </cell>
        </row>
        <row r="2101">
          <cell r="MH2101" t="str">
            <v>IQ26433456</v>
          </cell>
        </row>
        <row r="2102">
          <cell r="MH2102" t="str">
            <v>IQ302369561</v>
          </cell>
        </row>
        <row r="2103">
          <cell r="MH2103" t="str">
            <v>IQ11852930</v>
          </cell>
        </row>
        <row r="2104">
          <cell r="MH2104" t="str">
            <v>IQ208501810</v>
          </cell>
        </row>
        <row r="2105">
          <cell r="MH2105" t="str">
            <v>IQ537620763</v>
          </cell>
        </row>
        <row r="2106">
          <cell r="MH2106" t="str">
            <v>IQ22202798</v>
          </cell>
        </row>
        <row r="2107">
          <cell r="MH2107" t="str">
            <v>IQ26735882</v>
          </cell>
        </row>
        <row r="2108">
          <cell r="MH2108" t="str">
            <v>IQ23757019</v>
          </cell>
        </row>
        <row r="2109">
          <cell r="MH2109" t="str">
            <v>IQ25304100</v>
          </cell>
        </row>
        <row r="2110">
          <cell r="MH2110" t="str">
            <v>IQ303034218</v>
          </cell>
        </row>
        <row r="2111">
          <cell r="MH2111" t="str">
            <v>IQ161525143</v>
          </cell>
        </row>
        <row r="2112">
          <cell r="MH2112" t="str">
            <v>IQ237482711</v>
          </cell>
        </row>
        <row r="2113">
          <cell r="MH2113" t="str">
            <v>IQ139620978</v>
          </cell>
        </row>
        <row r="2114">
          <cell r="MH2114" t="str">
            <v>IQ170617288</v>
          </cell>
        </row>
        <row r="2115">
          <cell r="MH2115" t="str">
            <v>IQ105707394</v>
          </cell>
        </row>
        <row r="2116">
          <cell r="MH2116" t="str">
            <v>IQ85225368</v>
          </cell>
        </row>
        <row r="2117">
          <cell r="MH2117" t="str">
            <v>IQ11790987</v>
          </cell>
        </row>
        <row r="2118">
          <cell r="MH2118" t="str">
            <v>IQ291132469</v>
          </cell>
        </row>
        <row r="2119">
          <cell r="MH2119" t="str">
            <v>IQ323641794</v>
          </cell>
        </row>
        <row r="2120">
          <cell r="MH2120" t="str">
            <v>IQ318480213</v>
          </cell>
        </row>
        <row r="2121">
          <cell r="MH2121" t="str">
            <v>IQ27333100</v>
          </cell>
        </row>
        <row r="2122">
          <cell r="MH2122" t="str">
            <v>IQ51813427</v>
          </cell>
        </row>
        <row r="2123">
          <cell r="MH2123" t="str">
            <v>IQ534913737</v>
          </cell>
        </row>
        <row r="2124">
          <cell r="MH2124" t="str">
            <v>IQ327623994</v>
          </cell>
        </row>
        <row r="2125">
          <cell r="MH2125" t="str">
            <v>IQ6920637</v>
          </cell>
        </row>
        <row r="2126">
          <cell r="MH2126" t="str">
            <v>IQ22711471</v>
          </cell>
        </row>
        <row r="2127">
          <cell r="MH2127" t="str">
            <v>IQ141204588</v>
          </cell>
        </row>
        <row r="2128">
          <cell r="MH2128" t="str">
            <v>IQ301069442</v>
          </cell>
        </row>
        <row r="2129">
          <cell r="MH2129" t="str">
            <v>IQ10622216</v>
          </cell>
        </row>
        <row r="2130">
          <cell r="MH2130" t="str">
            <v>IQ27528604</v>
          </cell>
        </row>
        <row r="2131">
          <cell r="MH2131" t="str">
            <v>IQ32749607</v>
          </cell>
        </row>
        <row r="2132">
          <cell r="MH2132" t="str">
            <v>IQ303302396</v>
          </cell>
        </row>
        <row r="2133">
          <cell r="MH2133" t="str">
            <v>IQ61542595</v>
          </cell>
        </row>
        <row r="2134">
          <cell r="MH2134" t="str">
            <v>IQ133987136</v>
          </cell>
        </row>
        <row r="2135">
          <cell r="MH2135" t="str">
            <v>IQ318711328</v>
          </cell>
        </row>
        <row r="2136">
          <cell r="MH2136" t="str">
            <v>IQ52006968</v>
          </cell>
        </row>
        <row r="2137">
          <cell r="MH2137" t="str">
            <v>IQ302728162</v>
          </cell>
        </row>
        <row r="2138">
          <cell r="MH2138" t="str">
            <v>IQ98648216</v>
          </cell>
        </row>
        <row r="2139">
          <cell r="MH2139" t="str">
            <v>IQ433515694</v>
          </cell>
        </row>
        <row r="2140">
          <cell r="MH2140" t="str">
            <v>IQ372816744</v>
          </cell>
        </row>
        <row r="2141">
          <cell r="MH2141" t="str">
            <v>IQ419964446</v>
          </cell>
        </row>
        <row r="2142">
          <cell r="MH2142" t="str">
            <v>IQ109096</v>
          </cell>
        </row>
        <row r="2143">
          <cell r="MH2143" t="str">
            <v>IQ4438934</v>
          </cell>
        </row>
        <row r="2144">
          <cell r="MH2144" t="str">
            <v>IQ231824654</v>
          </cell>
        </row>
        <row r="2145">
          <cell r="MH2145" t="str">
            <v>IQ4716529</v>
          </cell>
        </row>
        <row r="2146">
          <cell r="MH2146" t="str">
            <v>IQ256671410</v>
          </cell>
        </row>
        <row r="2147">
          <cell r="MH2147" t="str">
            <v>IQ23837</v>
          </cell>
        </row>
        <row r="2148">
          <cell r="MH2148" t="str">
            <v>IQ22845760</v>
          </cell>
        </row>
        <row r="2149">
          <cell r="MH2149" t="str">
            <v>IQ47826120</v>
          </cell>
        </row>
        <row r="2150">
          <cell r="MH2150" t="str">
            <v>IQ35057361</v>
          </cell>
        </row>
        <row r="2151">
          <cell r="MH2151" t="str">
            <v>IQ49488055</v>
          </cell>
        </row>
        <row r="2152">
          <cell r="MH2152" t="str">
            <v>IQ2976956</v>
          </cell>
        </row>
        <row r="2153">
          <cell r="MH2153" t="str">
            <v>IQ33353146</v>
          </cell>
        </row>
        <row r="2154">
          <cell r="MH2154" t="str">
            <v>IQ24084074</v>
          </cell>
        </row>
        <row r="2155">
          <cell r="MH2155" t="str">
            <v>IQ10717892</v>
          </cell>
        </row>
        <row r="2156">
          <cell r="MH2156" t="str">
            <v>IQ33252598</v>
          </cell>
        </row>
        <row r="2157">
          <cell r="MH2157" t="str">
            <v>IQ182560967</v>
          </cell>
        </row>
        <row r="2158">
          <cell r="MH2158" t="str">
            <v>IQ225155551</v>
          </cell>
        </row>
        <row r="2159">
          <cell r="MH2159" t="str">
            <v>IQ290463504</v>
          </cell>
        </row>
        <row r="2160">
          <cell r="MH2160" t="str">
            <v>IQ23810541</v>
          </cell>
        </row>
        <row r="2161">
          <cell r="MH2161" t="str">
            <v>IQ252050763</v>
          </cell>
        </row>
        <row r="2162">
          <cell r="MH2162" t="str">
            <v>IQ45083519</v>
          </cell>
        </row>
        <row r="2163">
          <cell r="MH2163" t="str">
            <v>IQ808317</v>
          </cell>
        </row>
        <row r="2164">
          <cell r="MH2164" t="str">
            <v>IQ306943692</v>
          </cell>
        </row>
        <row r="2165">
          <cell r="MH2165" t="str">
            <v>IQ11750680</v>
          </cell>
        </row>
        <row r="2166">
          <cell r="MH2166" t="str">
            <v>IQ278121763</v>
          </cell>
        </row>
        <row r="2167">
          <cell r="MH2167" t="str">
            <v>IQ207229297</v>
          </cell>
        </row>
        <row r="2168">
          <cell r="MH2168" t="str">
            <v>IQ216065323</v>
          </cell>
        </row>
        <row r="2169">
          <cell r="MH2169" t="str">
            <v>IQ4580542</v>
          </cell>
        </row>
        <row r="2170">
          <cell r="MH2170" t="str">
            <v>IQ4717662</v>
          </cell>
        </row>
        <row r="2171">
          <cell r="MH2171" t="str">
            <v>IQ214292429</v>
          </cell>
        </row>
        <row r="2172">
          <cell r="MH2172" t="str">
            <v>IQ27248562</v>
          </cell>
        </row>
        <row r="2173">
          <cell r="MH2173" t="str">
            <v>IQ320166413</v>
          </cell>
        </row>
        <row r="2174">
          <cell r="MH2174" t="str">
            <v>IQ79598139</v>
          </cell>
        </row>
        <row r="2175">
          <cell r="MH2175" t="str">
            <v>IQ105892247</v>
          </cell>
        </row>
        <row r="2176">
          <cell r="MH2176" t="str">
            <v>IQ302491197</v>
          </cell>
        </row>
        <row r="2177">
          <cell r="MH2177" t="str">
            <v>IQ290732154</v>
          </cell>
        </row>
        <row r="2178">
          <cell r="MH2178" t="str">
            <v>IQ35535910</v>
          </cell>
        </row>
        <row r="2179">
          <cell r="MH2179" t="str">
            <v>IQ2903483</v>
          </cell>
        </row>
        <row r="2180">
          <cell r="MH2180" t="str">
            <v>IQ228420829</v>
          </cell>
        </row>
        <row r="2181">
          <cell r="MH2181" t="str">
            <v>IQ133248185</v>
          </cell>
        </row>
        <row r="2182">
          <cell r="MH2182" t="str">
            <v>IQ118740748</v>
          </cell>
        </row>
        <row r="2183">
          <cell r="MH2183" t="str">
            <v>IQ23813471</v>
          </cell>
        </row>
        <row r="2184">
          <cell r="MH2184" t="str">
            <v>IQ256972549</v>
          </cell>
        </row>
        <row r="2185">
          <cell r="MH2185" t="str">
            <v>IQ708854</v>
          </cell>
        </row>
        <row r="2186">
          <cell r="MH2186" t="str">
            <v>IQ58847219</v>
          </cell>
        </row>
        <row r="2187">
          <cell r="MH2187" t="str">
            <v>IQ379824427</v>
          </cell>
        </row>
        <row r="2188">
          <cell r="MH2188" t="str">
            <v>IQ2764244</v>
          </cell>
        </row>
        <row r="2189">
          <cell r="MH2189" t="str">
            <v>IQ23780568</v>
          </cell>
        </row>
        <row r="2190">
          <cell r="MH2190" t="str">
            <v>IQ263515946</v>
          </cell>
        </row>
        <row r="2191">
          <cell r="MH2191" t="str">
            <v>IQ231675778</v>
          </cell>
        </row>
        <row r="2192">
          <cell r="MH2192" t="str">
            <v>IQ24931259</v>
          </cell>
        </row>
        <row r="2193">
          <cell r="MH2193" t="str">
            <v>IQ30272718</v>
          </cell>
        </row>
        <row r="2194">
          <cell r="MH2194" t="str">
            <v>IQ260253949</v>
          </cell>
        </row>
        <row r="2195">
          <cell r="MH2195" t="str">
            <v>IQ228364299</v>
          </cell>
        </row>
        <row r="2196">
          <cell r="MH2196" t="str">
            <v>IQ290888543</v>
          </cell>
        </row>
        <row r="2197">
          <cell r="MH2197" t="str">
            <v>IQ108325808</v>
          </cell>
        </row>
        <row r="2198">
          <cell r="MH2198" t="str">
            <v>IQ26688642</v>
          </cell>
        </row>
        <row r="2199">
          <cell r="MH2199" t="str">
            <v>IQ41383312</v>
          </cell>
        </row>
        <row r="2200">
          <cell r="MH2200" t="str">
            <v>IQ51884035</v>
          </cell>
        </row>
        <row r="2201">
          <cell r="MH2201" t="str">
            <v>IQ21960216</v>
          </cell>
        </row>
        <row r="2202">
          <cell r="MH2202" t="str">
            <v>IQ11253713</v>
          </cell>
        </row>
        <row r="2203">
          <cell r="MH2203" t="str">
            <v>IQ20849433</v>
          </cell>
        </row>
        <row r="2204">
          <cell r="MH2204" t="str">
            <v>IQ23778876</v>
          </cell>
        </row>
        <row r="2205">
          <cell r="MH2205" t="str">
            <v>IQ26179764</v>
          </cell>
        </row>
        <row r="2206">
          <cell r="MH2206" t="str">
            <v>IQ10320554</v>
          </cell>
        </row>
        <row r="2207">
          <cell r="MH2207" t="str">
            <v>IQ290883665</v>
          </cell>
        </row>
        <row r="2208">
          <cell r="MH2208" t="str">
            <v>IQ319764232</v>
          </cell>
        </row>
        <row r="2209">
          <cell r="MH2209" t="str">
            <v>IQ266477235</v>
          </cell>
        </row>
        <row r="2210">
          <cell r="MH2210" t="str">
            <v>IQ12514234</v>
          </cell>
        </row>
        <row r="2211">
          <cell r="MH2211" t="str">
            <v>IQ302724601</v>
          </cell>
        </row>
        <row r="2212">
          <cell r="MH2212" t="str">
            <v>IQ419009726</v>
          </cell>
        </row>
        <row r="2213">
          <cell r="MH2213" t="str">
            <v>IQ214468725</v>
          </cell>
        </row>
        <row r="2214">
          <cell r="MH2214" t="str">
            <v>IQ529447628</v>
          </cell>
        </row>
        <row r="2215">
          <cell r="MH2215" t="str">
            <v>IQ817167</v>
          </cell>
        </row>
        <row r="2216">
          <cell r="MH2216" t="str">
            <v>IQ22317186</v>
          </cell>
        </row>
        <row r="2217">
          <cell r="MH2217" t="str">
            <v>IQ23779037</v>
          </cell>
        </row>
        <row r="2218">
          <cell r="MH2218" t="str">
            <v>IQ23887043</v>
          </cell>
        </row>
        <row r="2219">
          <cell r="MH2219" t="str">
            <v>IQ226313927</v>
          </cell>
        </row>
        <row r="2220">
          <cell r="MH2220" t="str">
            <v>IQ137703</v>
          </cell>
        </row>
        <row r="2221">
          <cell r="MH2221" t="str">
            <v>IQ2220353</v>
          </cell>
        </row>
        <row r="2222">
          <cell r="MH2222" t="str">
            <v>IQ24117520</v>
          </cell>
        </row>
        <row r="2223">
          <cell r="MH2223" t="str">
            <v>IQ46516489</v>
          </cell>
        </row>
        <row r="2224">
          <cell r="MH2224" t="str">
            <v>IQ263798059</v>
          </cell>
        </row>
        <row r="2225">
          <cell r="MH2225" t="str">
            <v>IQ51858855</v>
          </cell>
        </row>
        <row r="2226">
          <cell r="MH2226" t="str">
            <v>IQ27463169</v>
          </cell>
        </row>
        <row r="2227">
          <cell r="MH2227" t="str">
            <v>IQ97262733</v>
          </cell>
        </row>
        <row r="2228">
          <cell r="MH2228" t="str">
            <v>IQ31064541</v>
          </cell>
        </row>
        <row r="2229">
          <cell r="MH2229" t="str">
            <v>IQ59534367</v>
          </cell>
        </row>
        <row r="2230">
          <cell r="MH2230" t="str">
            <v>IQ288600673</v>
          </cell>
        </row>
        <row r="2231">
          <cell r="MH2231" t="str">
            <v>IQ98129529</v>
          </cell>
        </row>
        <row r="2232">
          <cell r="MH2232" t="str">
            <v>IQ332326964</v>
          </cell>
        </row>
        <row r="2233">
          <cell r="MH2233" t="str">
            <v>IQ42626388</v>
          </cell>
        </row>
        <row r="2234">
          <cell r="MH2234" t="str">
            <v>IQ301071874</v>
          </cell>
        </row>
        <row r="2235">
          <cell r="MH2235" t="str">
            <v>IQ286606290</v>
          </cell>
        </row>
        <row r="2236">
          <cell r="MH2236" t="str">
            <v>IQ427952715</v>
          </cell>
        </row>
        <row r="2237">
          <cell r="MH2237" t="str">
            <v>IQ248210619</v>
          </cell>
        </row>
        <row r="2238">
          <cell r="MH2238" t="str">
            <v>IQ214049178</v>
          </cell>
        </row>
        <row r="2239">
          <cell r="MH2239" t="str">
            <v>IQ114939820</v>
          </cell>
        </row>
        <row r="2240">
          <cell r="MH2240" t="str">
            <v>IQ35248192</v>
          </cell>
        </row>
        <row r="2241">
          <cell r="MH2241" t="str">
            <v>IQ27461067</v>
          </cell>
        </row>
        <row r="2242">
          <cell r="MH2242" t="str">
            <v>IQ23927178</v>
          </cell>
        </row>
        <row r="2243">
          <cell r="MH2243" t="str">
            <v>IQ59671197</v>
          </cell>
        </row>
        <row r="2244">
          <cell r="MH2244" t="str">
            <v>IQ216422843</v>
          </cell>
        </row>
        <row r="2245">
          <cell r="MH2245" t="str">
            <v>IQ256840623</v>
          </cell>
        </row>
        <row r="2246">
          <cell r="MH2246" t="str">
            <v>IQ27061319</v>
          </cell>
        </row>
        <row r="2247">
          <cell r="MH2247" t="str">
            <v>IQ127272666</v>
          </cell>
        </row>
        <row r="2248">
          <cell r="MH2248" t="str">
            <v>IQ113664274</v>
          </cell>
        </row>
        <row r="2249">
          <cell r="MH2249" t="str">
            <v>IQ25496174</v>
          </cell>
        </row>
        <row r="2250">
          <cell r="MH2250" t="str">
            <v>IQ281792104</v>
          </cell>
        </row>
        <row r="2251">
          <cell r="MH2251" t="str">
            <v>IQ262834366</v>
          </cell>
        </row>
        <row r="2252">
          <cell r="MH2252" t="str">
            <v>IQ53182005</v>
          </cell>
        </row>
        <row r="2253">
          <cell r="MH2253" t="str">
            <v>IQ320158772</v>
          </cell>
        </row>
        <row r="2254">
          <cell r="MH2254" t="str">
            <v>IQ1380055</v>
          </cell>
        </row>
        <row r="2255">
          <cell r="MH2255" t="str">
            <v>IQ26763696</v>
          </cell>
        </row>
        <row r="2256">
          <cell r="MH2256" t="str">
            <v>IQ24161927</v>
          </cell>
        </row>
        <row r="2257">
          <cell r="MH2257" t="str">
            <v>IQ35542556</v>
          </cell>
        </row>
        <row r="2258">
          <cell r="MH2258" t="str">
            <v>IQ23675705</v>
          </cell>
        </row>
        <row r="2259">
          <cell r="MH2259" t="str">
            <v>IQ264142399</v>
          </cell>
        </row>
        <row r="2260">
          <cell r="MH2260" t="str">
            <v>IQ293057880</v>
          </cell>
        </row>
        <row r="2261">
          <cell r="MH2261" t="str">
            <v>IQ228999316</v>
          </cell>
        </row>
        <row r="2262">
          <cell r="MH2262" t="str">
            <v>IQ58905938</v>
          </cell>
        </row>
        <row r="2263">
          <cell r="MH2263" t="str">
            <v>IQ877294</v>
          </cell>
        </row>
        <row r="2264">
          <cell r="MH2264" t="str">
            <v>IQ272485769</v>
          </cell>
        </row>
        <row r="2265">
          <cell r="MH2265" t="str">
            <v>IQ542464144</v>
          </cell>
        </row>
        <row r="2266">
          <cell r="MH2266" t="str">
            <v>IQ34538726</v>
          </cell>
        </row>
        <row r="2267">
          <cell r="MH2267" t="str">
            <v>IQ434699082</v>
          </cell>
        </row>
        <row r="2268">
          <cell r="MH2268" t="str">
            <v>IQ106886579</v>
          </cell>
        </row>
        <row r="2269">
          <cell r="MH2269" t="str">
            <v>IQ324463738</v>
          </cell>
        </row>
        <row r="2270">
          <cell r="MH2270" t="str">
            <v>IQ116742844</v>
          </cell>
        </row>
        <row r="2271">
          <cell r="MH2271" t="str">
            <v>IQ58049570</v>
          </cell>
        </row>
        <row r="2272">
          <cell r="MH2272" t="str">
            <v>IQ182818871</v>
          </cell>
        </row>
        <row r="2273">
          <cell r="MH2273" t="str">
            <v>IQ41904390</v>
          </cell>
        </row>
        <row r="2274">
          <cell r="MH2274" t="str">
            <v>IQ302724811</v>
          </cell>
        </row>
        <row r="2275">
          <cell r="MH2275" t="str">
            <v>IQ47875244</v>
          </cell>
        </row>
        <row r="2276">
          <cell r="MH2276" t="str">
            <v>IQ228294172</v>
          </cell>
        </row>
        <row r="2277">
          <cell r="MH2277" t="str">
            <v>IQ236718254</v>
          </cell>
        </row>
        <row r="2278">
          <cell r="MH2278" t="str">
            <v>IQ426777994</v>
          </cell>
        </row>
        <row r="2279">
          <cell r="MH2279" t="str">
            <v>IQ320156900</v>
          </cell>
        </row>
        <row r="2280">
          <cell r="MH2280" t="str">
            <v>IQ27407450</v>
          </cell>
        </row>
        <row r="2281">
          <cell r="MH2281" t="str">
            <v>IQ8172501</v>
          </cell>
        </row>
        <row r="2282">
          <cell r="MH2282" t="str">
            <v>IQ691794</v>
          </cell>
        </row>
        <row r="2283">
          <cell r="MH2283" t="str">
            <v>IQ46303769</v>
          </cell>
        </row>
        <row r="2284">
          <cell r="MH2284" t="str">
            <v>IQ532904877</v>
          </cell>
        </row>
        <row r="2285">
          <cell r="MH2285" t="str">
            <v>IQ22246738</v>
          </cell>
        </row>
        <row r="2286">
          <cell r="MH2286" t="str">
            <v>IQ99396795</v>
          </cell>
        </row>
        <row r="2287">
          <cell r="MH2287" t="str">
            <v>IQ969256</v>
          </cell>
        </row>
        <row r="2288">
          <cell r="MH2288" t="str">
            <v>IQ120623</v>
          </cell>
        </row>
        <row r="2289">
          <cell r="MH2289" t="str">
            <v>IQ9003969</v>
          </cell>
        </row>
        <row r="2290">
          <cell r="MH2290" t="str">
            <v>IQ13519070</v>
          </cell>
        </row>
        <row r="2291">
          <cell r="MH2291" t="str">
            <v>IQ10867685</v>
          </cell>
        </row>
        <row r="2292">
          <cell r="MH2292" t="str">
            <v>IQ253472778</v>
          </cell>
        </row>
        <row r="2293">
          <cell r="MH2293" t="str">
            <v>IQ32869946</v>
          </cell>
        </row>
        <row r="2294">
          <cell r="MH2294" t="str">
            <v>IQ112324943</v>
          </cell>
        </row>
        <row r="2295">
          <cell r="MH2295" t="str">
            <v>IQ240381331</v>
          </cell>
        </row>
        <row r="2296">
          <cell r="MH2296" t="str">
            <v>IQ27352281</v>
          </cell>
        </row>
        <row r="2297">
          <cell r="MH2297" t="str">
            <v>IQ22335835</v>
          </cell>
        </row>
        <row r="2298">
          <cell r="MH2298" t="str">
            <v>IQ47054072</v>
          </cell>
        </row>
        <row r="2299">
          <cell r="MH2299" t="str">
            <v>IQ53179869</v>
          </cell>
        </row>
        <row r="2300">
          <cell r="MH2300" t="str">
            <v>IQ262764948</v>
          </cell>
        </row>
        <row r="2301">
          <cell r="MH2301" t="str">
            <v>IQ25599013</v>
          </cell>
        </row>
        <row r="2302">
          <cell r="MH2302" t="str">
            <v>IQ23873551</v>
          </cell>
        </row>
        <row r="2303">
          <cell r="MH2303" t="str">
            <v>IQ27146230</v>
          </cell>
        </row>
        <row r="2304">
          <cell r="MH2304" t="str">
            <v>IQ917119</v>
          </cell>
        </row>
        <row r="2305">
          <cell r="MH2305" t="str">
            <v>IQ27146506</v>
          </cell>
        </row>
        <row r="2306">
          <cell r="MH2306" t="str">
            <v>IQ23836661</v>
          </cell>
        </row>
        <row r="2307">
          <cell r="MH2307" t="str">
            <v>IQ11940030</v>
          </cell>
        </row>
        <row r="2308">
          <cell r="MH2308" t="str">
            <v>IQ12785954</v>
          </cell>
        </row>
        <row r="2309">
          <cell r="MH2309" t="str">
            <v>IQ117206693</v>
          </cell>
        </row>
        <row r="2310">
          <cell r="MH2310" t="str">
            <v>IQ114671312</v>
          </cell>
        </row>
        <row r="2311">
          <cell r="MH2311" t="str">
            <v>IQ217488349</v>
          </cell>
        </row>
        <row r="2312">
          <cell r="MH2312" t="str">
            <v>IQ27866165</v>
          </cell>
        </row>
        <row r="2313">
          <cell r="MH2313" t="str">
            <v>IQ27081787</v>
          </cell>
        </row>
        <row r="2314">
          <cell r="MH2314" t="str">
            <v>IQ794154</v>
          </cell>
        </row>
        <row r="2315">
          <cell r="MH2315" t="str">
            <v>IQ35126747</v>
          </cell>
        </row>
        <row r="2316">
          <cell r="MH2316" t="str">
            <v>IQ27525937</v>
          </cell>
        </row>
        <row r="2317">
          <cell r="MH2317" t="str">
            <v>IQ29276414</v>
          </cell>
        </row>
        <row r="2318">
          <cell r="MH2318" t="str">
            <v>IQ662077880</v>
          </cell>
        </row>
        <row r="2319">
          <cell r="MH2319" t="str">
            <v>IQ314814574</v>
          </cell>
        </row>
        <row r="2320">
          <cell r="MH2320" t="str">
            <v>IQ11920666</v>
          </cell>
        </row>
        <row r="2321">
          <cell r="MH2321" t="str">
            <v>IQ222637568</v>
          </cell>
        </row>
        <row r="2322">
          <cell r="MH2322" t="str">
            <v>IQ256676733</v>
          </cell>
        </row>
        <row r="2323">
          <cell r="MH2323" t="str">
            <v>IQ4737197</v>
          </cell>
        </row>
        <row r="2324">
          <cell r="MH2324" t="str">
            <v>IQ39144131</v>
          </cell>
        </row>
        <row r="2325">
          <cell r="MH2325" t="str">
            <v>IQ112573453</v>
          </cell>
        </row>
        <row r="2326">
          <cell r="MH2326" t="str">
            <v>IQ44541366</v>
          </cell>
        </row>
        <row r="2327">
          <cell r="MH2327" t="str">
            <v>IQ61477035</v>
          </cell>
        </row>
        <row r="2328">
          <cell r="MH2328" t="str">
            <v>IQ142425996</v>
          </cell>
        </row>
        <row r="2329">
          <cell r="MH2329" t="str">
            <v>IQ78726220</v>
          </cell>
        </row>
        <row r="2330">
          <cell r="MH2330" t="str">
            <v>IQ106295826</v>
          </cell>
        </row>
        <row r="2331">
          <cell r="MH2331" t="str">
            <v>IQ291048327</v>
          </cell>
        </row>
        <row r="2332">
          <cell r="MH2332" t="str">
            <v>IQ3746188</v>
          </cell>
        </row>
        <row r="2333">
          <cell r="MH2333" t="str">
            <v>IQ28689473</v>
          </cell>
        </row>
        <row r="2334">
          <cell r="MH2334" t="str">
            <v>IQ60800021</v>
          </cell>
        </row>
        <row r="2335">
          <cell r="MH2335" t="str">
            <v>IQ20759293</v>
          </cell>
        </row>
        <row r="2336">
          <cell r="MH2336" t="str">
            <v>IQ52054453</v>
          </cell>
        </row>
        <row r="2337">
          <cell r="MH2337" t="str">
            <v>IQ7888271</v>
          </cell>
        </row>
        <row r="2338">
          <cell r="MH2338" t="str">
            <v>IQ45116440</v>
          </cell>
        </row>
        <row r="2339">
          <cell r="MH2339" t="str">
            <v>IQ208314</v>
          </cell>
        </row>
        <row r="2340">
          <cell r="MH2340" t="str">
            <v>IQ41395480</v>
          </cell>
        </row>
        <row r="2341">
          <cell r="MH2341" t="str">
            <v>IQ874671</v>
          </cell>
        </row>
        <row r="2342">
          <cell r="MH2342" t="str">
            <v>IQ41664826</v>
          </cell>
        </row>
        <row r="2343">
          <cell r="MH2343" t="str">
            <v>IQ19411</v>
          </cell>
        </row>
        <row r="2344">
          <cell r="MH2344" t="str">
            <v>IQ27332877</v>
          </cell>
        </row>
        <row r="2345">
          <cell r="MH2345" t="str">
            <v>IQ4264596</v>
          </cell>
        </row>
        <row r="2346">
          <cell r="MH2346" t="str">
            <v>IQ27081814</v>
          </cell>
        </row>
        <row r="2347">
          <cell r="MH2347" t="str">
            <v>IQ27147083</v>
          </cell>
        </row>
        <row r="2348">
          <cell r="MH2348" t="str">
            <v>IQ40674985</v>
          </cell>
        </row>
        <row r="2349">
          <cell r="MH2349" t="str">
            <v>IQ27669528</v>
          </cell>
        </row>
        <row r="2350">
          <cell r="MH2350" t="str">
            <v>IQ146292002</v>
          </cell>
        </row>
        <row r="2351">
          <cell r="MH2351" t="str">
            <v>IQ113901175</v>
          </cell>
        </row>
        <row r="2352">
          <cell r="MH2352" t="str">
            <v>IQ704861</v>
          </cell>
        </row>
        <row r="2353">
          <cell r="MH2353" t="str">
            <v>IQ237801667</v>
          </cell>
        </row>
        <row r="2354">
          <cell r="MH2354" t="str">
            <v>IQ27084119</v>
          </cell>
        </row>
        <row r="2355">
          <cell r="MH2355" t="str">
            <v>IQ26822368</v>
          </cell>
        </row>
        <row r="2356">
          <cell r="MH2356" t="str">
            <v>IQ49093194</v>
          </cell>
        </row>
        <row r="2357">
          <cell r="MH2357" t="str">
            <v>IQ27085650</v>
          </cell>
        </row>
        <row r="2358">
          <cell r="MH2358" t="str">
            <v>IQ83920315</v>
          </cell>
        </row>
        <row r="2359">
          <cell r="MH2359" t="str">
            <v>IQ23812683</v>
          </cell>
        </row>
        <row r="2360">
          <cell r="MH2360" t="str">
            <v>IQ27264214</v>
          </cell>
        </row>
        <row r="2361">
          <cell r="MH2361" t="str">
            <v>IQ109373587</v>
          </cell>
        </row>
        <row r="2362">
          <cell r="MH2362" t="str">
            <v>IQ59491377</v>
          </cell>
        </row>
        <row r="2363">
          <cell r="MH2363" t="str">
            <v>IQ114817853</v>
          </cell>
        </row>
        <row r="2364">
          <cell r="MH2364" t="str">
            <v>IQ53260744</v>
          </cell>
        </row>
        <row r="2365">
          <cell r="MH2365" t="str">
            <v>IQ228430952</v>
          </cell>
        </row>
        <row r="2366">
          <cell r="MH2366" t="str">
            <v>IQ309680568</v>
          </cell>
        </row>
        <row r="2367">
          <cell r="MH2367" t="str">
            <v>IQ24022074</v>
          </cell>
        </row>
        <row r="2368">
          <cell r="MH2368" t="str">
            <v>IQ53262060</v>
          </cell>
        </row>
        <row r="2369">
          <cell r="MH2369" t="str">
            <v>IQ1033644</v>
          </cell>
        </row>
        <row r="2370">
          <cell r="MH2370" t="str">
            <v>IQ1514128</v>
          </cell>
        </row>
        <row r="2371">
          <cell r="MH2371" t="str">
            <v>IQ216427186</v>
          </cell>
        </row>
        <row r="2372">
          <cell r="MH2372" t="str">
            <v>IQ27441076</v>
          </cell>
        </row>
        <row r="2373">
          <cell r="MH2373" t="str">
            <v>IQ25232800</v>
          </cell>
        </row>
        <row r="2374">
          <cell r="MH2374" t="str">
            <v>IQ6115740</v>
          </cell>
        </row>
        <row r="2375">
          <cell r="MH2375" t="str">
            <v>IQ23529407</v>
          </cell>
        </row>
        <row r="2376">
          <cell r="MH2376" t="str">
            <v>IQ301792654</v>
          </cell>
        </row>
        <row r="2377">
          <cell r="MH2377" t="str">
            <v>IQ254915670</v>
          </cell>
        </row>
        <row r="2378">
          <cell r="MH2378" t="str">
            <v>IQ22096370</v>
          </cell>
        </row>
        <row r="2379">
          <cell r="MH2379" t="str">
            <v>IQ246335901</v>
          </cell>
        </row>
        <row r="2380">
          <cell r="MH2380" t="str">
            <v>IQ20447396</v>
          </cell>
        </row>
        <row r="2381">
          <cell r="MH2381" t="str">
            <v>IQ24332097</v>
          </cell>
        </row>
        <row r="2382">
          <cell r="MH2382" t="str">
            <v>IQ281236357</v>
          </cell>
        </row>
        <row r="2383">
          <cell r="MH2383" t="str">
            <v>IQ301755174</v>
          </cell>
        </row>
        <row r="2384">
          <cell r="MH2384" t="str">
            <v>IQ27146741</v>
          </cell>
        </row>
        <row r="2385">
          <cell r="MH2385" t="str">
            <v>IQ139694909</v>
          </cell>
        </row>
        <row r="2386">
          <cell r="MH2386" t="str">
            <v>IQ207748019</v>
          </cell>
        </row>
        <row r="2387">
          <cell r="MH2387" t="str">
            <v>IQ33370917</v>
          </cell>
        </row>
        <row r="2388">
          <cell r="MH2388" t="str">
            <v>IQ295289267</v>
          </cell>
        </row>
        <row r="2389">
          <cell r="MH2389" t="str">
            <v>IQ293044134</v>
          </cell>
        </row>
        <row r="2390">
          <cell r="MH2390" t="str">
            <v>IQ23871488</v>
          </cell>
        </row>
        <row r="2391">
          <cell r="MH2391" t="str">
            <v>IQ35129040</v>
          </cell>
        </row>
        <row r="2392">
          <cell r="MH2392" t="str">
            <v>IQ48853333</v>
          </cell>
        </row>
        <row r="2393">
          <cell r="MH2393" t="str">
            <v>IQ282869432</v>
          </cell>
        </row>
        <row r="2394">
          <cell r="MH2394" t="str">
            <v>IQ305662431</v>
          </cell>
        </row>
        <row r="2395">
          <cell r="MH2395" t="str">
            <v>IQ313021914</v>
          </cell>
        </row>
        <row r="2396">
          <cell r="MH2396" t="str">
            <v>IQ263785128</v>
          </cell>
        </row>
        <row r="2397">
          <cell r="MH2397" t="str">
            <v>IQ47203905</v>
          </cell>
        </row>
        <row r="2398">
          <cell r="MH2398" t="str">
            <v>IQ38702269</v>
          </cell>
        </row>
        <row r="2399">
          <cell r="MH2399" t="str">
            <v>IQ266846009</v>
          </cell>
        </row>
        <row r="2400">
          <cell r="MH2400" t="str">
            <v>IQ283534703</v>
          </cell>
        </row>
        <row r="2401">
          <cell r="MH2401" t="str">
            <v>IQ301175654</v>
          </cell>
        </row>
        <row r="2402">
          <cell r="MH2402" t="str">
            <v>IQ215687443</v>
          </cell>
        </row>
        <row r="2403">
          <cell r="MH2403" t="str">
            <v>IQ616073746</v>
          </cell>
        </row>
        <row r="2404">
          <cell r="MH2404" t="str">
            <v>IQ4482480</v>
          </cell>
        </row>
        <row r="2405">
          <cell r="MH2405" t="str">
            <v>IQ238629186</v>
          </cell>
        </row>
        <row r="2406">
          <cell r="MH2406" t="str">
            <v>IQ6490073</v>
          </cell>
        </row>
        <row r="2407">
          <cell r="MH2407" t="str">
            <v>IQ223371244</v>
          </cell>
        </row>
        <row r="2408">
          <cell r="MH2408" t="str">
            <v>IQ45112159</v>
          </cell>
        </row>
        <row r="2409">
          <cell r="MH2409" t="str">
            <v>IQ34071781</v>
          </cell>
        </row>
        <row r="2410">
          <cell r="MH2410" t="str">
            <v>IQ205346241</v>
          </cell>
        </row>
        <row r="2411">
          <cell r="MH2411" t="str">
            <v>IQ27130726</v>
          </cell>
        </row>
        <row r="2412">
          <cell r="MH2412" t="str">
            <v>IQ1002515</v>
          </cell>
        </row>
        <row r="2413">
          <cell r="MH2413" t="str">
            <v>IQ27061554</v>
          </cell>
        </row>
        <row r="2414">
          <cell r="MH2414" t="str">
            <v>IQ45324512</v>
          </cell>
        </row>
        <row r="2415">
          <cell r="MH2415" t="str">
            <v>IQ133971486</v>
          </cell>
        </row>
        <row r="2416">
          <cell r="MH2416" t="str">
            <v>IQ12144483</v>
          </cell>
        </row>
        <row r="2417">
          <cell r="MH2417" t="str">
            <v>IQ6507112</v>
          </cell>
        </row>
        <row r="2418">
          <cell r="MH2418" t="str">
            <v>IQ54875015</v>
          </cell>
        </row>
        <row r="2419">
          <cell r="MH2419" t="str">
            <v>IQ27399435</v>
          </cell>
        </row>
        <row r="2420">
          <cell r="MH2420" t="str">
            <v>IQ6475991</v>
          </cell>
        </row>
        <row r="2421">
          <cell r="MH2421" t="str">
            <v>IQ134573649</v>
          </cell>
        </row>
        <row r="2422">
          <cell r="MH2422" t="str">
            <v>IQ3533906</v>
          </cell>
        </row>
        <row r="2423">
          <cell r="MH2423" t="str">
            <v>IQ22863963</v>
          </cell>
        </row>
        <row r="2424">
          <cell r="MH2424" t="str">
            <v>IQ50203879</v>
          </cell>
        </row>
        <row r="2425">
          <cell r="MH2425" t="str">
            <v>IQ12484376</v>
          </cell>
        </row>
        <row r="2426">
          <cell r="MH2426" t="str">
            <v>IQ34233138</v>
          </cell>
        </row>
        <row r="2427">
          <cell r="MH2427" t="str">
            <v>IQ10999697</v>
          </cell>
        </row>
        <row r="2428">
          <cell r="MH2428" t="str">
            <v>IQ26810072</v>
          </cell>
        </row>
        <row r="2429">
          <cell r="MH2429" t="str">
            <v>IQ9972658</v>
          </cell>
        </row>
        <row r="2430">
          <cell r="MH2430" t="str">
            <v>IQ6649581</v>
          </cell>
        </row>
        <row r="2431">
          <cell r="MH2431" t="str">
            <v>IQ4436095</v>
          </cell>
        </row>
        <row r="2432">
          <cell r="MH2432" t="str">
            <v>IQ27145416</v>
          </cell>
        </row>
        <row r="2433">
          <cell r="MH2433" t="str">
            <v>IQ114814235</v>
          </cell>
        </row>
        <row r="2434">
          <cell r="MH2434" t="str">
            <v>IQ35042241</v>
          </cell>
        </row>
        <row r="2435">
          <cell r="MH2435" t="str">
            <v>IQ34295808</v>
          </cell>
        </row>
        <row r="2436">
          <cell r="MH2436" t="str">
            <v>IQ204599323</v>
          </cell>
        </row>
        <row r="2437">
          <cell r="MH2437" t="str">
            <v>IQ170244937</v>
          </cell>
        </row>
        <row r="2438">
          <cell r="MH2438" t="str">
            <v>IQ231869396</v>
          </cell>
        </row>
        <row r="2439">
          <cell r="MH2439" t="str">
            <v>IQ256889351</v>
          </cell>
        </row>
        <row r="2440">
          <cell r="MH2440" t="str">
            <v>IQ98350036</v>
          </cell>
        </row>
        <row r="2441">
          <cell r="MH2441" t="str">
            <v>IQ83599057</v>
          </cell>
        </row>
        <row r="2442">
          <cell r="MH2442" t="str">
            <v>IQ24904474</v>
          </cell>
        </row>
        <row r="2443">
          <cell r="MH2443" t="str">
            <v>IQ122874</v>
          </cell>
        </row>
        <row r="2444">
          <cell r="MH2444" t="str">
            <v>IQ129867275</v>
          </cell>
        </row>
        <row r="2445">
          <cell r="MH2445" t="str">
            <v>IQ3734281</v>
          </cell>
        </row>
        <row r="2446">
          <cell r="MH2446" t="str">
            <v>IQ285067415</v>
          </cell>
        </row>
        <row r="2447">
          <cell r="MH2447" t="str">
            <v>IQ216974079</v>
          </cell>
        </row>
        <row r="2448">
          <cell r="MH2448" t="str">
            <v>IQ32664745</v>
          </cell>
        </row>
        <row r="2449">
          <cell r="MH2449" t="str">
            <v>IQ270636934</v>
          </cell>
        </row>
        <row r="2450">
          <cell r="MH2450" t="str">
            <v>IQ282386719</v>
          </cell>
        </row>
        <row r="2451">
          <cell r="MH2451" t="str">
            <v>IQ274986120</v>
          </cell>
        </row>
        <row r="2452">
          <cell r="MH2452" t="str">
            <v>IQ49099593</v>
          </cell>
        </row>
        <row r="2453">
          <cell r="MH2453" t="str">
            <v>IQ270152231</v>
          </cell>
        </row>
        <row r="2454">
          <cell r="MH2454" t="str">
            <v>IQ134236845</v>
          </cell>
        </row>
        <row r="2455">
          <cell r="MH2455" t="str">
            <v>IQ23626554</v>
          </cell>
        </row>
        <row r="2456">
          <cell r="MH2456" t="str">
            <v>IQ302201461</v>
          </cell>
        </row>
        <row r="2457">
          <cell r="MH2457" t="str">
            <v>IQ79613788</v>
          </cell>
        </row>
        <row r="2458">
          <cell r="MH2458" t="str">
            <v>IQ35291675</v>
          </cell>
        </row>
        <row r="2459">
          <cell r="MH2459" t="str">
            <v>IQ27061138</v>
          </cell>
        </row>
        <row r="2460">
          <cell r="MH2460" t="str">
            <v>IQ292549610</v>
          </cell>
        </row>
        <row r="2461">
          <cell r="MH2461" t="str">
            <v>IQ291375542</v>
          </cell>
        </row>
        <row r="2462">
          <cell r="MH2462" t="str">
            <v>IQ32749696</v>
          </cell>
        </row>
        <row r="2463">
          <cell r="MH2463" t="str">
            <v>IQ142250112</v>
          </cell>
        </row>
        <row r="2464">
          <cell r="MH2464" t="str">
            <v>IQ24398194</v>
          </cell>
        </row>
        <row r="2465">
          <cell r="MH2465" t="str">
            <v>IQ320270321</v>
          </cell>
        </row>
        <row r="2466">
          <cell r="MH2466" t="str">
            <v>IQ228366485</v>
          </cell>
        </row>
        <row r="2467">
          <cell r="MH2467" t="str">
            <v>IQ27527379</v>
          </cell>
        </row>
        <row r="2468">
          <cell r="MH2468" t="str">
            <v>IQ9845225</v>
          </cell>
        </row>
        <row r="2469">
          <cell r="MH2469" t="str">
            <v>IQ248758910</v>
          </cell>
        </row>
        <row r="2470">
          <cell r="MH2470" t="str">
            <v>IQ21751738</v>
          </cell>
        </row>
        <row r="2471">
          <cell r="MH2471" t="str">
            <v>IQ27061465</v>
          </cell>
        </row>
        <row r="2472">
          <cell r="MH2472" t="str">
            <v>IQ26002924</v>
          </cell>
        </row>
        <row r="2473">
          <cell r="MH2473" t="str">
            <v>IQ3533220</v>
          </cell>
        </row>
        <row r="2474">
          <cell r="MH2474" t="str">
            <v>IQ53273113</v>
          </cell>
        </row>
        <row r="2475">
          <cell r="MH2475" t="str">
            <v>IQ277868382</v>
          </cell>
        </row>
        <row r="2476">
          <cell r="MH2476" t="str">
            <v>IQ24273774</v>
          </cell>
        </row>
        <row r="2477">
          <cell r="MH2477" t="str">
            <v>IQ4525176</v>
          </cell>
        </row>
        <row r="2478">
          <cell r="MH2478" t="str">
            <v>IQ6859070</v>
          </cell>
        </row>
        <row r="2479">
          <cell r="MH2479" t="str">
            <v>IQ39926735</v>
          </cell>
        </row>
        <row r="2480">
          <cell r="MH2480" t="str">
            <v>IQ27482841</v>
          </cell>
        </row>
        <row r="2481">
          <cell r="MH2481" t="str">
            <v>IQ35158169</v>
          </cell>
        </row>
        <row r="2482">
          <cell r="MH2482" t="str">
            <v>IQ32676518</v>
          </cell>
        </row>
        <row r="2483">
          <cell r="MH2483" t="str">
            <v>IQ24210794</v>
          </cell>
        </row>
        <row r="2484">
          <cell r="MH2484" t="str">
            <v>IQ23856190</v>
          </cell>
        </row>
        <row r="2485">
          <cell r="MH2485" t="str">
            <v>IQ27130738</v>
          </cell>
        </row>
        <row r="2486">
          <cell r="MH2486" t="str">
            <v>IQ27128965</v>
          </cell>
        </row>
        <row r="2487">
          <cell r="MH2487" t="str">
            <v>IQ22594238</v>
          </cell>
        </row>
        <row r="2488">
          <cell r="MH2488" t="str">
            <v>IQ229558986</v>
          </cell>
        </row>
        <row r="2489">
          <cell r="MH2489" t="str">
            <v>IQ141274323</v>
          </cell>
        </row>
        <row r="2490">
          <cell r="MH2490" t="str">
            <v>IQ170246285</v>
          </cell>
        </row>
        <row r="2491">
          <cell r="MH2491" t="str">
            <v>IQ52412810</v>
          </cell>
        </row>
        <row r="2492">
          <cell r="MH2492" t="str">
            <v>IQ27144877</v>
          </cell>
        </row>
        <row r="2493">
          <cell r="MH2493" t="str">
            <v>IQ98192002</v>
          </cell>
        </row>
        <row r="2494">
          <cell r="MH2494" t="str">
            <v>IQ22546941</v>
          </cell>
        </row>
        <row r="2495">
          <cell r="MH2495" t="str">
            <v>IQ256515028</v>
          </cell>
        </row>
        <row r="2496">
          <cell r="MH2496" t="str">
            <v>IQ98129132</v>
          </cell>
        </row>
        <row r="2497">
          <cell r="MH2497" t="str">
            <v>IQ253467677</v>
          </cell>
        </row>
        <row r="2498">
          <cell r="MH2498" t="str">
            <v>IQ4483248</v>
          </cell>
        </row>
        <row r="2499">
          <cell r="MH2499" t="str">
            <v>IQ27129798</v>
          </cell>
        </row>
        <row r="2500">
          <cell r="MH2500" t="str">
            <v>IQ27628689</v>
          </cell>
        </row>
        <row r="2501">
          <cell r="MH2501" t="str">
            <v>IQ62077170</v>
          </cell>
        </row>
        <row r="2502">
          <cell r="MH2502" t="str">
            <v>IQ226911266</v>
          </cell>
        </row>
        <row r="2503">
          <cell r="MH2503" t="str">
            <v>IQ37281315</v>
          </cell>
        </row>
        <row r="2504">
          <cell r="MH2504" t="str">
            <v>IQ52341236</v>
          </cell>
        </row>
        <row r="2505">
          <cell r="MH2505" t="str">
            <v>IQ5092198</v>
          </cell>
        </row>
        <row r="2506">
          <cell r="MH2506" t="str">
            <v>IQ302491039</v>
          </cell>
        </row>
        <row r="2507">
          <cell r="MH2507" t="str">
            <v>IQ27527605</v>
          </cell>
        </row>
        <row r="2508">
          <cell r="MH2508" t="str">
            <v>IQ214218634</v>
          </cell>
        </row>
        <row r="2509">
          <cell r="MH2509" t="str">
            <v>IQ22044875</v>
          </cell>
        </row>
        <row r="2510">
          <cell r="MH2510" t="str">
            <v>IQ22099059</v>
          </cell>
        </row>
        <row r="2511">
          <cell r="MH2511" t="str">
            <v>IQ321814019</v>
          </cell>
        </row>
        <row r="2512">
          <cell r="MH2512" t="str">
            <v>IQ24095599</v>
          </cell>
        </row>
        <row r="2513">
          <cell r="MH2513" t="str">
            <v>IQ22279366</v>
          </cell>
        </row>
        <row r="2514">
          <cell r="MH2514" t="str">
            <v>IQ111328525</v>
          </cell>
        </row>
        <row r="2515">
          <cell r="MH2515" t="str">
            <v>IQ24364279</v>
          </cell>
        </row>
        <row r="2516">
          <cell r="MH2516" t="str">
            <v>IQ48676572</v>
          </cell>
        </row>
        <row r="2517">
          <cell r="MH2517" t="str">
            <v>IQ27147403</v>
          </cell>
        </row>
        <row r="2518">
          <cell r="MH2518" t="str">
            <v>IQ27669534</v>
          </cell>
        </row>
        <row r="2519">
          <cell r="MH2519" t="str">
            <v>IQ112640272</v>
          </cell>
        </row>
        <row r="2520">
          <cell r="MH2520" t="str">
            <v>IQ30865474</v>
          </cell>
        </row>
        <row r="2521">
          <cell r="MH2521" t="str">
            <v>IQ24378368</v>
          </cell>
        </row>
        <row r="2522">
          <cell r="MH2522" t="str">
            <v>IQ295041148</v>
          </cell>
        </row>
        <row r="2523">
          <cell r="MH2523" t="str">
            <v>IQ23645245</v>
          </cell>
        </row>
        <row r="2524">
          <cell r="MH2524" t="str">
            <v>IQ47849132</v>
          </cell>
        </row>
        <row r="2525">
          <cell r="MH2525" t="str">
            <v>IQ173377353</v>
          </cell>
        </row>
        <row r="2526">
          <cell r="MH2526" t="str">
            <v>IQ28677165</v>
          </cell>
        </row>
        <row r="2527">
          <cell r="MH2527" t="str">
            <v>IQ27061280</v>
          </cell>
        </row>
        <row r="2528">
          <cell r="MH2528" t="str">
            <v>IQ12106824</v>
          </cell>
        </row>
        <row r="2529">
          <cell r="MH2529" t="str">
            <v>IQ3533848</v>
          </cell>
        </row>
        <row r="2530">
          <cell r="MH2530" t="str">
            <v>IQ24493304</v>
          </cell>
        </row>
        <row r="2531">
          <cell r="MH2531" t="str">
            <v>IQ26689630</v>
          </cell>
        </row>
        <row r="2532">
          <cell r="MH2532" t="str">
            <v>IQ289994199</v>
          </cell>
        </row>
        <row r="2533">
          <cell r="MH2533" t="str">
            <v>IQ28677513</v>
          </cell>
        </row>
        <row r="2534">
          <cell r="MH2534" t="str">
            <v>IQ27146609</v>
          </cell>
        </row>
        <row r="2535">
          <cell r="MH2535" t="str">
            <v>IQ113391373</v>
          </cell>
        </row>
        <row r="2536">
          <cell r="MH2536" t="str">
            <v>IQ99510928</v>
          </cell>
        </row>
        <row r="2537">
          <cell r="MH2537" t="str">
            <v>IQ24161469</v>
          </cell>
        </row>
        <row r="2538">
          <cell r="MH2538" t="str">
            <v>IQ3433402</v>
          </cell>
        </row>
        <row r="2539">
          <cell r="MH2539" t="str">
            <v>IQ24930274</v>
          </cell>
        </row>
        <row r="2540">
          <cell r="MH2540" t="str">
            <v>IQ11016717</v>
          </cell>
        </row>
        <row r="2541">
          <cell r="MH2541" t="str">
            <v>IQ27368603</v>
          </cell>
        </row>
        <row r="2542">
          <cell r="MH2542" t="str">
            <v>IQ62530229</v>
          </cell>
        </row>
        <row r="2543">
          <cell r="MH2543" t="str">
            <v>IQ45820383</v>
          </cell>
        </row>
        <row r="2544">
          <cell r="MH2544" t="str">
            <v>IQ7691178</v>
          </cell>
        </row>
        <row r="2545">
          <cell r="MH2545" t="str">
            <v>IQ27340263</v>
          </cell>
        </row>
        <row r="2546">
          <cell r="MH2546" t="str">
            <v>IQ8033829</v>
          </cell>
        </row>
        <row r="2547">
          <cell r="MH2547" t="str">
            <v>IQ4652359</v>
          </cell>
        </row>
        <row r="2548">
          <cell r="MH2548" t="str">
            <v>IQ27083681</v>
          </cell>
        </row>
        <row r="2549">
          <cell r="MH2549" t="str">
            <v>IQ23644244</v>
          </cell>
        </row>
        <row r="2550">
          <cell r="MH2550" t="str">
            <v>IQ136756160</v>
          </cell>
        </row>
        <row r="2551">
          <cell r="MH2551" t="str">
            <v>IQ27367027</v>
          </cell>
        </row>
        <row r="2552">
          <cell r="MH2552" t="str">
            <v>IQ27349942</v>
          </cell>
        </row>
        <row r="2553">
          <cell r="MH2553" t="str">
            <v>IQ170996919</v>
          </cell>
        </row>
        <row r="2554">
          <cell r="MH2554" t="str">
            <v>IQ5722838</v>
          </cell>
        </row>
        <row r="2555">
          <cell r="MH2555" t="str">
            <v>IQ8222008</v>
          </cell>
        </row>
        <row r="2556">
          <cell r="MH2556" t="str">
            <v>IQ231639093</v>
          </cell>
        </row>
        <row r="2557">
          <cell r="MH2557" t="str">
            <v>IQ3534899</v>
          </cell>
        </row>
        <row r="2558">
          <cell r="MH2558" t="str">
            <v>IQ28137195</v>
          </cell>
        </row>
        <row r="2559">
          <cell r="MH2559" t="str">
            <v>IQ52987278</v>
          </cell>
        </row>
        <row r="2560">
          <cell r="MH2560" t="str">
            <v>IQ27146600</v>
          </cell>
        </row>
        <row r="2561">
          <cell r="MH2561" t="str">
            <v>IQ23736731</v>
          </cell>
        </row>
        <row r="2562">
          <cell r="MH2562" t="str">
            <v>IQ8032712</v>
          </cell>
        </row>
        <row r="2563">
          <cell r="MH2563" t="str">
            <v>IQ224565452</v>
          </cell>
        </row>
        <row r="2564">
          <cell r="MH2564" t="str">
            <v>IQ118907521</v>
          </cell>
        </row>
        <row r="2565">
          <cell r="MH2565" t="str">
            <v>IQ13518459</v>
          </cell>
        </row>
        <row r="2566">
          <cell r="MH2566" t="str">
            <v>IQ28757885</v>
          </cell>
        </row>
        <row r="2567">
          <cell r="MH2567" t="str">
            <v>IQ41355779</v>
          </cell>
        </row>
        <row r="2568">
          <cell r="MH2568" t="str">
            <v>IQ1021884</v>
          </cell>
        </row>
        <row r="2569">
          <cell r="MH2569" t="str">
            <v>IQ23707970</v>
          </cell>
        </row>
        <row r="2570">
          <cell r="MH2570" t="str">
            <v>IQ24389996</v>
          </cell>
        </row>
        <row r="2571">
          <cell r="MH2571" t="str">
            <v>IQ2567674</v>
          </cell>
        </row>
        <row r="2572">
          <cell r="MH2572" t="str">
            <v>IQ27082275</v>
          </cell>
        </row>
        <row r="2573">
          <cell r="MH2573" t="str">
            <v>IQ24457935</v>
          </cell>
        </row>
        <row r="2574">
          <cell r="MH2574" t="str">
            <v>IQ24224776</v>
          </cell>
        </row>
        <row r="2575">
          <cell r="MH2575" t="str">
            <v>IQ24424453</v>
          </cell>
        </row>
        <row r="2576">
          <cell r="MH2576" t="str">
            <v>IQ24390465</v>
          </cell>
        </row>
        <row r="2577">
          <cell r="MH2577" t="str">
            <v>IQ126942548</v>
          </cell>
        </row>
        <row r="2578">
          <cell r="MH2578" t="str">
            <v>IQ315230050</v>
          </cell>
        </row>
        <row r="2579">
          <cell r="MH2579" t="str">
            <v>IQ23756575</v>
          </cell>
        </row>
        <row r="2580">
          <cell r="MH2580" t="str">
            <v>IQ270443552</v>
          </cell>
        </row>
        <row r="2581">
          <cell r="MH2581" t="str">
            <v>IQ2796742</v>
          </cell>
        </row>
        <row r="2582">
          <cell r="MH2582" t="str">
            <v>IQ336356393</v>
          </cell>
        </row>
        <row r="2583">
          <cell r="MH2583" t="str">
            <v>IQ266023208</v>
          </cell>
        </row>
        <row r="2584">
          <cell r="MH2584" t="str">
            <v>IQ37216571</v>
          </cell>
        </row>
        <row r="2585">
          <cell r="MH2585" t="str">
            <v>IQ236731713</v>
          </cell>
        </row>
        <row r="2586">
          <cell r="MH2586" t="str">
            <v>IQ7700546</v>
          </cell>
        </row>
        <row r="2587">
          <cell r="MH2587" t="str">
            <v>IQ238201286</v>
          </cell>
        </row>
        <row r="2588">
          <cell r="MH2588" t="str">
            <v>IQ320956302</v>
          </cell>
        </row>
        <row r="2589">
          <cell r="MH2589" t="str">
            <v>IQ48815920</v>
          </cell>
        </row>
        <row r="2590">
          <cell r="MH2590" t="str">
            <v>IQ27529652</v>
          </cell>
        </row>
        <row r="2591">
          <cell r="MH2591" t="str">
            <v>IQ254109448</v>
          </cell>
        </row>
        <row r="2592">
          <cell r="MH2592" t="str">
            <v>IQ37281310</v>
          </cell>
        </row>
        <row r="2593">
          <cell r="MH2593" t="str">
            <v>IQ42083127</v>
          </cell>
        </row>
        <row r="2594">
          <cell r="MH2594" t="str">
            <v>IQ99907</v>
          </cell>
        </row>
        <row r="2595">
          <cell r="MH2595" t="str">
            <v>IQ27083971</v>
          </cell>
        </row>
        <row r="2596">
          <cell r="MH2596" t="str">
            <v>IQ244337385</v>
          </cell>
        </row>
        <row r="2597">
          <cell r="MH2597" t="str">
            <v>IQ239957698</v>
          </cell>
        </row>
        <row r="2598">
          <cell r="MH2598" t="str">
            <v>IQ22706576</v>
          </cell>
        </row>
        <row r="2599">
          <cell r="MH2599" t="str">
            <v>IQ304439406</v>
          </cell>
        </row>
        <row r="2600">
          <cell r="MH2600" t="str">
            <v>IQ23972127</v>
          </cell>
        </row>
        <row r="2601">
          <cell r="MH2601" t="str">
            <v>IQ22286486</v>
          </cell>
        </row>
        <row r="2602">
          <cell r="MH2602" t="str">
            <v>IQ11187403</v>
          </cell>
        </row>
        <row r="2603">
          <cell r="MH2603" t="str">
            <v>IQ51312017</v>
          </cell>
        </row>
        <row r="2604">
          <cell r="MH2604" t="str">
            <v>IQ21812442</v>
          </cell>
        </row>
        <row r="2605">
          <cell r="MH2605" t="str">
            <v>IQ34485705</v>
          </cell>
        </row>
        <row r="2606">
          <cell r="MH2606" t="str">
            <v>IQ34016250</v>
          </cell>
        </row>
        <row r="2607">
          <cell r="MH2607" t="str">
            <v>IQ8939129</v>
          </cell>
        </row>
        <row r="2608">
          <cell r="MH2608" t="str">
            <v>IQ27128122</v>
          </cell>
        </row>
        <row r="2609">
          <cell r="MH2609" t="str">
            <v>IQ26880720</v>
          </cell>
        </row>
        <row r="2610">
          <cell r="MH2610" t="str">
            <v>IQ259966327</v>
          </cell>
        </row>
        <row r="2611">
          <cell r="MH2611" t="str">
            <v>IQ45242264</v>
          </cell>
        </row>
        <row r="2612">
          <cell r="MH2612" t="str">
            <v>IQ274626623</v>
          </cell>
        </row>
        <row r="2613">
          <cell r="MH2613" t="str">
            <v>IQ537133007</v>
          </cell>
        </row>
        <row r="2614">
          <cell r="MH2614" t="str">
            <v>IQ25915871</v>
          </cell>
        </row>
        <row r="2615">
          <cell r="MH2615" t="str">
            <v>IQ1274143</v>
          </cell>
        </row>
        <row r="2616">
          <cell r="MH2616" t="str">
            <v>IQ23780812</v>
          </cell>
        </row>
        <row r="2617">
          <cell r="MH2617" t="str">
            <v>IQ344392110</v>
          </cell>
        </row>
        <row r="2618">
          <cell r="MH2618" t="str">
            <v>IQ27146887</v>
          </cell>
        </row>
        <row r="2619">
          <cell r="MH2619" t="str">
            <v>IQ24178857</v>
          </cell>
        </row>
        <row r="2620">
          <cell r="MH2620" t="str">
            <v>IQ253305066</v>
          </cell>
        </row>
        <row r="2621">
          <cell r="MH2621" t="str">
            <v>IQ52286747</v>
          </cell>
        </row>
        <row r="2622">
          <cell r="MH2622" t="str">
            <v>IQ4849329</v>
          </cell>
        </row>
        <row r="2623">
          <cell r="MH2623" t="str">
            <v>IQ127127111</v>
          </cell>
        </row>
        <row r="2624">
          <cell r="MH2624" t="str">
            <v>IQ23776655</v>
          </cell>
        </row>
        <row r="2625">
          <cell r="MH2625" t="str">
            <v>IQ13654136</v>
          </cell>
        </row>
        <row r="2626">
          <cell r="MH2626" t="str">
            <v>IQ24458487</v>
          </cell>
        </row>
        <row r="2627">
          <cell r="MH2627" t="str">
            <v>IQ138955032</v>
          </cell>
        </row>
        <row r="2628">
          <cell r="MH2628" t="str">
            <v>IQ301422441</v>
          </cell>
        </row>
        <row r="2629">
          <cell r="MH2629" t="str">
            <v>IQ31133394</v>
          </cell>
        </row>
        <row r="2630">
          <cell r="MH2630" t="str">
            <v>IQ27364693</v>
          </cell>
        </row>
        <row r="2631">
          <cell r="MH2631" t="str">
            <v>IQ139998679</v>
          </cell>
        </row>
        <row r="2632">
          <cell r="MH2632" t="str">
            <v>IQ118361434</v>
          </cell>
        </row>
        <row r="2633">
          <cell r="MH2633" t="str">
            <v>IQ22930455</v>
          </cell>
        </row>
        <row r="2634">
          <cell r="MH2634" t="str">
            <v>IQ27147098</v>
          </cell>
        </row>
        <row r="2635">
          <cell r="MH2635" t="str">
            <v>IQ136797878</v>
          </cell>
        </row>
        <row r="2636">
          <cell r="MH2636" t="str">
            <v>IQ253109840</v>
          </cell>
        </row>
        <row r="2637">
          <cell r="MH2637" t="str">
            <v>IQ6464527</v>
          </cell>
        </row>
        <row r="2638">
          <cell r="MH2638" t="str">
            <v>IQ27129306</v>
          </cell>
        </row>
        <row r="2639">
          <cell r="MH2639" t="str">
            <v>IQ144836834</v>
          </cell>
        </row>
        <row r="2640">
          <cell r="MH2640" t="str">
            <v>IQ252124085</v>
          </cell>
        </row>
        <row r="2641">
          <cell r="MH2641" t="str">
            <v>IQ236218403</v>
          </cell>
        </row>
        <row r="2642">
          <cell r="MH2642" t="str">
            <v>IQ24921812</v>
          </cell>
        </row>
        <row r="2643">
          <cell r="MH2643" t="str">
            <v>IQ50135209</v>
          </cell>
        </row>
        <row r="2644">
          <cell r="MH2644" t="str">
            <v>IQ4525278</v>
          </cell>
        </row>
        <row r="2645">
          <cell r="MH2645" t="str">
            <v>IQ22355270</v>
          </cell>
        </row>
        <row r="2646">
          <cell r="MH2646" t="str">
            <v>IQ246181134</v>
          </cell>
        </row>
        <row r="2647">
          <cell r="MH2647" t="str">
            <v>IQ54138076</v>
          </cell>
        </row>
        <row r="2648">
          <cell r="MH2648" t="str">
            <v>IQ4662792</v>
          </cell>
        </row>
        <row r="2649">
          <cell r="MH2649" t="str">
            <v>IQ10158509</v>
          </cell>
        </row>
        <row r="2650">
          <cell r="MH2650" t="str">
            <v>IQ280418527</v>
          </cell>
        </row>
        <row r="2651">
          <cell r="MH2651" t="str">
            <v>IQ559124809</v>
          </cell>
        </row>
        <row r="2652">
          <cell r="MH2652" t="str">
            <v>IQ25847262</v>
          </cell>
        </row>
        <row r="2653">
          <cell r="MH2653" t="str">
            <v>IQ47193007</v>
          </cell>
        </row>
        <row r="2654">
          <cell r="MH2654" t="str">
            <v>IQ34815795</v>
          </cell>
        </row>
        <row r="2655">
          <cell r="MH2655" t="str">
            <v>IQ35044068</v>
          </cell>
        </row>
        <row r="2656">
          <cell r="MH2656" t="str">
            <v>IQ23272444</v>
          </cell>
        </row>
        <row r="2657">
          <cell r="MH2657" t="str">
            <v>IQ46565826</v>
          </cell>
        </row>
        <row r="2658">
          <cell r="MH2658" t="str">
            <v>IQ28286168</v>
          </cell>
        </row>
        <row r="2659">
          <cell r="MH2659" t="str">
            <v>IQ171175991</v>
          </cell>
        </row>
        <row r="2660">
          <cell r="MH2660" t="str">
            <v>IQ36416846</v>
          </cell>
        </row>
        <row r="2661">
          <cell r="MH2661" t="str">
            <v>IQ50849239</v>
          </cell>
        </row>
        <row r="2662">
          <cell r="MH2662" t="str">
            <v>IQ415798</v>
          </cell>
        </row>
        <row r="2663">
          <cell r="MH2663" t="str">
            <v>IQ327371466</v>
          </cell>
        </row>
        <row r="2664">
          <cell r="MH2664" t="str">
            <v>IQ600168773</v>
          </cell>
        </row>
        <row r="2665">
          <cell r="MH2665" t="str">
            <v>IQ269025143</v>
          </cell>
        </row>
        <row r="2666">
          <cell r="MH2666" t="str">
            <v>IQ27770012</v>
          </cell>
        </row>
        <row r="2667">
          <cell r="MH2667" t="str">
            <v>IQ26492442</v>
          </cell>
        </row>
        <row r="2668">
          <cell r="MH2668" t="str">
            <v>IQ8250546</v>
          </cell>
        </row>
        <row r="2669">
          <cell r="MH2669" t="str">
            <v>IQ26790484</v>
          </cell>
        </row>
        <row r="2670">
          <cell r="MH2670" t="str">
            <v>IQ23754954</v>
          </cell>
        </row>
        <row r="2671">
          <cell r="MH2671" t="str">
            <v>IQ24046354</v>
          </cell>
        </row>
        <row r="2672">
          <cell r="MH2672" t="str">
            <v>IQ308472517</v>
          </cell>
        </row>
        <row r="2673">
          <cell r="MH2673" t="str">
            <v>IQ24322625</v>
          </cell>
        </row>
        <row r="2674">
          <cell r="MH2674" t="str">
            <v>IQ256583336</v>
          </cell>
        </row>
        <row r="2675">
          <cell r="MH2675" t="str">
            <v>IQ53335153</v>
          </cell>
        </row>
        <row r="2676">
          <cell r="MH2676" t="str">
            <v>IQ4664840</v>
          </cell>
        </row>
        <row r="2677">
          <cell r="MH2677" t="str">
            <v>IQ134469597</v>
          </cell>
        </row>
        <row r="2678">
          <cell r="MH2678" t="str">
            <v>IQ301691178</v>
          </cell>
        </row>
        <row r="2679">
          <cell r="MH2679" t="str">
            <v>IQ253286788</v>
          </cell>
        </row>
        <row r="2680">
          <cell r="MH2680" t="str">
            <v>IQ26762120</v>
          </cell>
        </row>
        <row r="2681">
          <cell r="MH2681" t="str">
            <v>IQ40158336</v>
          </cell>
        </row>
        <row r="2682">
          <cell r="MH2682" t="str">
            <v>IQ61881326</v>
          </cell>
        </row>
        <row r="2683">
          <cell r="MH2683" t="str">
            <v>IQ10457548</v>
          </cell>
        </row>
        <row r="2684">
          <cell r="MH2684" t="str">
            <v>IQ12531553</v>
          </cell>
        </row>
        <row r="2685">
          <cell r="MH2685" t="str">
            <v>IQ275540546</v>
          </cell>
        </row>
        <row r="2686">
          <cell r="MH2686" t="str">
            <v>IQ11816270</v>
          </cell>
        </row>
        <row r="2687">
          <cell r="MH2687" t="str">
            <v>IQ257246153</v>
          </cell>
        </row>
        <row r="2688">
          <cell r="MH2688" t="str">
            <v>IQ22562694</v>
          </cell>
        </row>
        <row r="2689">
          <cell r="MH2689" t="str">
            <v>IQ256452971</v>
          </cell>
        </row>
        <row r="2690">
          <cell r="MH2690" t="str">
            <v>IQ5102983</v>
          </cell>
        </row>
        <row r="2691">
          <cell r="MH2691" t="str">
            <v>IQ4917891</v>
          </cell>
        </row>
        <row r="2692">
          <cell r="MH2692" t="str">
            <v>IQ225472700</v>
          </cell>
        </row>
        <row r="2693">
          <cell r="MH2693" t="str">
            <v>IQ2959615</v>
          </cell>
        </row>
        <row r="2694">
          <cell r="MH2694" t="str">
            <v>IQ27043172</v>
          </cell>
        </row>
        <row r="2695">
          <cell r="MH2695" t="str">
            <v>IQ4664751</v>
          </cell>
        </row>
        <row r="2696">
          <cell r="MH2696" t="str">
            <v>IQ29817877</v>
          </cell>
        </row>
        <row r="2697">
          <cell r="MH2697" t="str">
            <v>IQ35194282</v>
          </cell>
        </row>
        <row r="2698">
          <cell r="MH2698" t="str">
            <v>IQ4774097</v>
          </cell>
        </row>
        <row r="2699">
          <cell r="MH2699" t="str">
            <v>IQ67255652</v>
          </cell>
        </row>
        <row r="2700">
          <cell r="MH2700" t="str">
            <v>IQ30907728</v>
          </cell>
        </row>
        <row r="2701">
          <cell r="MH2701" t="str">
            <v>IQ257083925</v>
          </cell>
        </row>
        <row r="2702">
          <cell r="MH2702" t="str">
            <v>IQ37290101</v>
          </cell>
        </row>
        <row r="2703">
          <cell r="MH2703" t="str">
            <v>IQ35101430</v>
          </cell>
        </row>
        <row r="2704">
          <cell r="MH2704" t="str">
            <v>IQ27929428</v>
          </cell>
        </row>
        <row r="2705">
          <cell r="MH2705" t="str">
            <v>IQ60497774</v>
          </cell>
        </row>
        <row r="2706">
          <cell r="MH2706" t="str">
            <v>IQ6890904</v>
          </cell>
        </row>
        <row r="2707">
          <cell r="MH2707" t="str">
            <v>IQ35156759</v>
          </cell>
        </row>
        <row r="2708">
          <cell r="MH2708" t="str">
            <v>IQ23459645</v>
          </cell>
        </row>
        <row r="2709">
          <cell r="MH2709" t="str">
            <v>IQ27129913</v>
          </cell>
        </row>
        <row r="2710">
          <cell r="MH2710" t="str">
            <v>IQ694452</v>
          </cell>
        </row>
        <row r="2711">
          <cell r="MH2711" t="str">
            <v>IQ26876066</v>
          </cell>
        </row>
        <row r="2712">
          <cell r="MH2712" t="str">
            <v>IQ27407957</v>
          </cell>
        </row>
        <row r="2713">
          <cell r="MH2713" t="str">
            <v>IQ27225330</v>
          </cell>
        </row>
        <row r="2714">
          <cell r="MH2714" t="str">
            <v>IQ766373</v>
          </cell>
        </row>
        <row r="2715">
          <cell r="MH2715" t="str">
            <v>IQ10603106</v>
          </cell>
        </row>
        <row r="2716">
          <cell r="MH2716" t="str">
            <v>IQ228346895</v>
          </cell>
        </row>
        <row r="2717">
          <cell r="MH2717" t="str">
            <v>IQ11829846</v>
          </cell>
        </row>
        <row r="2718">
          <cell r="MH2718" t="str">
            <v>IQ12618704</v>
          </cell>
        </row>
        <row r="2719">
          <cell r="MH2719" t="str">
            <v>IQ11852854</v>
          </cell>
        </row>
        <row r="2720">
          <cell r="MH2720" t="str">
            <v>IQ24674955</v>
          </cell>
        </row>
        <row r="2721">
          <cell r="MH2721" t="str">
            <v>IQ11921511</v>
          </cell>
        </row>
        <row r="2722">
          <cell r="MH2722" t="str">
            <v>IQ35557785</v>
          </cell>
        </row>
        <row r="2723">
          <cell r="MH2723" t="str">
            <v>IQ60307570</v>
          </cell>
        </row>
        <row r="2724">
          <cell r="MH2724" t="str">
            <v>IQ51044667</v>
          </cell>
        </row>
        <row r="2725">
          <cell r="MH2725" t="str">
            <v>IQ96221273</v>
          </cell>
        </row>
        <row r="2726">
          <cell r="MH2726" t="str">
            <v>IQ23928267</v>
          </cell>
        </row>
        <row r="2727">
          <cell r="MH2727" t="str">
            <v>IQ51538640</v>
          </cell>
        </row>
        <row r="2728">
          <cell r="MH2728" t="str">
            <v>IQ281210126</v>
          </cell>
        </row>
        <row r="2729">
          <cell r="MH2729" t="str">
            <v>IQ26896221</v>
          </cell>
        </row>
        <row r="2730">
          <cell r="MH2730" t="str">
            <v>IQ24115259</v>
          </cell>
        </row>
        <row r="2731">
          <cell r="MH2731" t="str">
            <v>IQ4580199</v>
          </cell>
        </row>
        <row r="2732">
          <cell r="MH2732" t="str">
            <v>IQ41318074</v>
          </cell>
        </row>
        <row r="2733">
          <cell r="MH2733" t="str">
            <v>IQ132848725</v>
          </cell>
        </row>
        <row r="2734">
          <cell r="MH2734" t="str">
            <v>IQ283827888</v>
          </cell>
        </row>
        <row r="2735">
          <cell r="MH2735" t="str">
            <v>IQ27399989</v>
          </cell>
        </row>
        <row r="2736">
          <cell r="MH2736" t="str">
            <v>IQ114920597</v>
          </cell>
        </row>
        <row r="2737">
          <cell r="MH2737" t="str">
            <v>IQ22550150</v>
          </cell>
        </row>
        <row r="2738">
          <cell r="MH2738" t="str">
            <v>IQ32584269</v>
          </cell>
        </row>
        <row r="2739">
          <cell r="MH2739" t="str">
            <v>IQ280211565</v>
          </cell>
        </row>
        <row r="2740">
          <cell r="MH2740" t="str">
            <v>IQ41286881</v>
          </cell>
        </row>
        <row r="2741">
          <cell r="MH2741" t="str">
            <v>IQ23697922</v>
          </cell>
        </row>
        <row r="2742">
          <cell r="MH2742" t="str">
            <v>IQ52005212</v>
          </cell>
        </row>
        <row r="2743">
          <cell r="MH2743" t="str">
            <v>IQ4317576</v>
          </cell>
        </row>
        <row r="2744">
          <cell r="MH2744" t="str">
            <v>IQ129195906</v>
          </cell>
        </row>
        <row r="2745">
          <cell r="MH2745" t="str">
            <v>IQ650524</v>
          </cell>
        </row>
        <row r="2746">
          <cell r="MH2746" t="str">
            <v>IQ262975096</v>
          </cell>
        </row>
        <row r="2747">
          <cell r="MH2747" t="str">
            <v>IQ36215070</v>
          </cell>
        </row>
        <row r="2748">
          <cell r="MH2748" t="str">
            <v>IQ238405199</v>
          </cell>
        </row>
        <row r="2749">
          <cell r="MH2749" t="str">
            <v>IQ2504124</v>
          </cell>
        </row>
        <row r="2750">
          <cell r="MH2750" t="str">
            <v>IQ27771665</v>
          </cell>
        </row>
        <row r="2751">
          <cell r="MH2751" t="str">
            <v>IQ43181576</v>
          </cell>
        </row>
        <row r="2752">
          <cell r="MH2752" t="str">
            <v>IQ256686883</v>
          </cell>
        </row>
        <row r="2753">
          <cell r="MH2753" t="str">
            <v>IQ216325572</v>
          </cell>
        </row>
        <row r="2754">
          <cell r="MH2754" t="str">
            <v>IQ73517568</v>
          </cell>
        </row>
        <row r="2755">
          <cell r="MH2755" t="str">
            <v>IQ41348900</v>
          </cell>
        </row>
        <row r="2756">
          <cell r="MH2756" t="str">
            <v>IQ256972134</v>
          </cell>
        </row>
        <row r="2757">
          <cell r="MH2757" t="str">
            <v>IQ133257895</v>
          </cell>
        </row>
        <row r="2758">
          <cell r="MH2758" t="str">
            <v>IQ33757533</v>
          </cell>
        </row>
        <row r="2759">
          <cell r="MH2759" t="str">
            <v>IQ222646441</v>
          </cell>
        </row>
        <row r="2760">
          <cell r="MH2760" t="str">
            <v>IQ166274652</v>
          </cell>
        </row>
        <row r="2761">
          <cell r="MH2761" t="str">
            <v>IQ111396850</v>
          </cell>
        </row>
        <row r="2762">
          <cell r="MH2762" t="str">
            <v>IQ24067424</v>
          </cell>
        </row>
        <row r="2763">
          <cell r="MH2763" t="str">
            <v>IQ115793608</v>
          </cell>
        </row>
        <row r="2764">
          <cell r="MH2764" t="str">
            <v>IQ311691908</v>
          </cell>
        </row>
        <row r="2765">
          <cell r="MH2765" t="str">
            <v>IQ11510528</v>
          </cell>
        </row>
        <row r="2766">
          <cell r="MH2766" t="str">
            <v>IQ10372938</v>
          </cell>
        </row>
        <row r="2767">
          <cell r="MH2767" t="str">
            <v>IQ51761382</v>
          </cell>
        </row>
        <row r="2768">
          <cell r="MH2768" t="str">
            <v>IQ4686334</v>
          </cell>
        </row>
        <row r="2769">
          <cell r="MH2769" t="str">
            <v>IQ1638749</v>
          </cell>
        </row>
        <row r="2770">
          <cell r="MH2770" t="str">
            <v>IQ47195475</v>
          </cell>
        </row>
        <row r="2771">
          <cell r="MH2771" t="str">
            <v>IQ9963489</v>
          </cell>
        </row>
        <row r="2772">
          <cell r="MH2772" t="str">
            <v>IQ1501285</v>
          </cell>
        </row>
        <row r="2773">
          <cell r="MH2773" t="str">
            <v>IQ260711294</v>
          </cell>
        </row>
        <row r="2774">
          <cell r="MH2774" t="str">
            <v>IQ27364013</v>
          </cell>
        </row>
        <row r="2775">
          <cell r="MH2775" t="str">
            <v>IQ13517787</v>
          </cell>
        </row>
        <row r="2776">
          <cell r="MH2776" t="str">
            <v>IQ107844936</v>
          </cell>
        </row>
        <row r="2777">
          <cell r="MH2777" t="str">
            <v>IQ292818017</v>
          </cell>
        </row>
        <row r="2778">
          <cell r="MH2778" t="str">
            <v>IQ301330297</v>
          </cell>
        </row>
        <row r="2779">
          <cell r="MH2779" t="str">
            <v>IQ10089909</v>
          </cell>
        </row>
        <row r="2780">
          <cell r="MH2780" t="str">
            <v>IQ805815</v>
          </cell>
        </row>
        <row r="2781">
          <cell r="MH2781" t="str">
            <v>IQ99935311</v>
          </cell>
        </row>
        <row r="2782">
          <cell r="MH2782" t="str">
            <v>IQ6544763</v>
          </cell>
        </row>
        <row r="2783">
          <cell r="MH2783" t="str">
            <v>IQ51423870</v>
          </cell>
        </row>
        <row r="2784">
          <cell r="MH2784" t="str">
            <v>IQ27508621</v>
          </cell>
        </row>
        <row r="2785">
          <cell r="MH2785" t="str">
            <v>IQ26878603</v>
          </cell>
        </row>
        <row r="2786">
          <cell r="MH2786" t="str">
            <v>IQ23939889</v>
          </cell>
        </row>
        <row r="2787">
          <cell r="MH2787" t="str">
            <v>IQ23709033</v>
          </cell>
        </row>
        <row r="2788">
          <cell r="MH2788" t="str">
            <v>IQ24425944</v>
          </cell>
        </row>
        <row r="2789">
          <cell r="MH2789" t="str">
            <v>IQ23780595</v>
          </cell>
        </row>
        <row r="2790">
          <cell r="MH2790" t="str">
            <v>IQ59075498</v>
          </cell>
        </row>
        <row r="2791">
          <cell r="MH2791" t="str">
            <v>IQ22015169</v>
          </cell>
        </row>
        <row r="2792">
          <cell r="MH2792" t="str">
            <v>IQ5093024</v>
          </cell>
        </row>
        <row r="2793">
          <cell r="MH2793" t="str">
            <v>IQ244975312</v>
          </cell>
        </row>
        <row r="2794">
          <cell r="MH2794" t="str">
            <v>IQ3198913</v>
          </cell>
        </row>
        <row r="2795">
          <cell r="MH2795" t="str">
            <v>IQ6162237</v>
          </cell>
        </row>
        <row r="2796">
          <cell r="MH2796" t="str">
            <v>IQ23857835</v>
          </cell>
        </row>
        <row r="2797">
          <cell r="MH2797" t="str">
            <v>IQ108946153</v>
          </cell>
        </row>
        <row r="2798">
          <cell r="MH2798" t="str">
            <v>IQ24365991</v>
          </cell>
        </row>
        <row r="2799">
          <cell r="MH2799" t="str">
            <v>IQ1534637</v>
          </cell>
        </row>
        <row r="2800">
          <cell r="MH2800" t="str">
            <v>IQ32749681</v>
          </cell>
        </row>
        <row r="2801">
          <cell r="MH2801" t="str">
            <v>IQ785246</v>
          </cell>
        </row>
        <row r="2802">
          <cell r="MH2802" t="str">
            <v>IQ28009597</v>
          </cell>
        </row>
        <row r="2803">
          <cell r="MH2803" t="str">
            <v>IQ34011639</v>
          </cell>
        </row>
        <row r="2804">
          <cell r="MH2804" t="str">
            <v>IQ873924</v>
          </cell>
        </row>
        <row r="2805">
          <cell r="MH2805" t="str">
            <v>IQ27144034</v>
          </cell>
        </row>
        <row r="2806">
          <cell r="MH2806" t="str">
            <v>IQ36013711</v>
          </cell>
        </row>
        <row r="2807">
          <cell r="MH2807" t="str">
            <v>IQ771063</v>
          </cell>
        </row>
        <row r="2808">
          <cell r="MH2808" t="str">
            <v>IQ276181717</v>
          </cell>
        </row>
        <row r="2809">
          <cell r="MH2809" t="str">
            <v>IQ267997963</v>
          </cell>
        </row>
        <row r="2810">
          <cell r="MH2810" t="str">
            <v>IQ534626</v>
          </cell>
        </row>
        <row r="2811">
          <cell r="MH2811" t="str">
            <v>IQ315487081</v>
          </cell>
        </row>
        <row r="2812">
          <cell r="MH2812" t="str">
            <v>IQ295719327</v>
          </cell>
        </row>
        <row r="2813">
          <cell r="MH2813" t="str">
            <v>IQ257393472</v>
          </cell>
        </row>
        <row r="2814">
          <cell r="MH2814" t="str">
            <v>IQ256695571</v>
          </cell>
        </row>
        <row r="2815">
          <cell r="MH2815" t="str">
            <v>IQ184328952</v>
          </cell>
        </row>
        <row r="2816">
          <cell r="MH2816" t="str">
            <v>IQ130909495</v>
          </cell>
        </row>
        <row r="2817">
          <cell r="MH2817" t="str">
            <v>IQ247977429</v>
          </cell>
        </row>
        <row r="2818">
          <cell r="MH2818" t="str">
            <v>IQ9587352</v>
          </cell>
        </row>
        <row r="2819">
          <cell r="MH2819" t="str">
            <v>IQ22563832</v>
          </cell>
        </row>
        <row r="2820">
          <cell r="MH2820" t="str">
            <v>IQ23329948</v>
          </cell>
        </row>
        <row r="2821">
          <cell r="MH2821" t="str">
            <v>IQ37528715</v>
          </cell>
        </row>
        <row r="2822">
          <cell r="MH2822" t="str">
            <v>IQ26580674</v>
          </cell>
        </row>
        <row r="2823">
          <cell r="MH2823" t="str">
            <v>IQ6175775</v>
          </cell>
        </row>
        <row r="2824">
          <cell r="MH2824" t="str">
            <v>IQ284793630</v>
          </cell>
        </row>
        <row r="2825">
          <cell r="MH2825" t="str">
            <v>IQ310241383</v>
          </cell>
        </row>
        <row r="2826">
          <cell r="MH2826" t="str">
            <v>IQ228858825</v>
          </cell>
        </row>
        <row r="2827">
          <cell r="MH2827" t="str">
            <v>IQ41669150</v>
          </cell>
        </row>
        <row r="2828">
          <cell r="MH2828" t="str">
            <v>IQ5092675</v>
          </cell>
        </row>
        <row r="2829">
          <cell r="MH2829" t="str">
            <v>IQ9277754</v>
          </cell>
        </row>
        <row r="2830">
          <cell r="MH2830" t="str">
            <v>IQ875623</v>
          </cell>
        </row>
        <row r="2831">
          <cell r="MH2831" t="str">
            <v>IQ2033483</v>
          </cell>
        </row>
        <row r="2832">
          <cell r="MH2832" t="str">
            <v>IQ41865577</v>
          </cell>
        </row>
        <row r="2833">
          <cell r="MH2833" t="str">
            <v>IQ253026273</v>
          </cell>
        </row>
        <row r="2834">
          <cell r="MH2834" t="str">
            <v>IQ46989398</v>
          </cell>
        </row>
        <row r="2835">
          <cell r="MH2835" t="str">
            <v>IQ33452387</v>
          </cell>
        </row>
        <row r="2836">
          <cell r="MH2836" t="str">
            <v>IQ30668172</v>
          </cell>
        </row>
        <row r="2837">
          <cell r="MH2837" t="str">
            <v>IQ23614224</v>
          </cell>
        </row>
        <row r="2838">
          <cell r="MH2838" t="str">
            <v>IQ24178265</v>
          </cell>
        </row>
        <row r="2839">
          <cell r="MH2839" t="str">
            <v>IQ119084781</v>
          </cell>
        </row>
        <row r="2840">
          <cell r="MH2840" t="str">
            <v>IQ7713987</v>
          </cell>
        </row>
        <row r="2841">
          <cell r="MH2841" t="str">
            <v>IQ27146915</v>
          </cell>
        </row>
        <row r="2842">
          <cell r="MH2842" t="str">
            <v>IQ27528950</v>
          </cell>
        </row>
        <row r="2843">
          <cell r="MH2843" t="str">
            <v>IQ11255538</v>
          </cell>
        </row>
        <row r="2844">
          <cell r="MH2844" t="str">
            <v>IQ23676507</v>
          </cell>
        </row>
        <row r="2845">
          <cell r="MH2845" t="str">
            <v>IQ4687042</v>
          </cell>
        </row>
        <row r="2846">
          <cell r="MH2846" t="str">
            <v>IQ24336719</v>
          </cell>
        </row>
        <row r="2847">
          <cell r="MH2847" t="str">
            <v>IQ27061268</v>
          </cell>
        </row>
        <row r="2848">
          <cell r="MH2848" t="str">
            <v>IQ171944984</v>
          </cell>
        </row>
        <row r="2849">
          <cell r="MH2849" t="str">
            <v>IQ23833118</v>
          </cell>
        </row>
        <row r="2850">
          <cell r="MH2850" t="str">
            <v>IQ23812833</v>
          </cell>
        </row>
        <row r="2851">
          <cell r="MH2851" t="str">
            <v>IQ5644407</v>
          </cell>
        </row>
        <row r="2852">
          <cell r="MH2852" t="str">
            <v>IQ4580120</v>
          </cell>
        </row>
        <row r="2853">
          <cell r="MH2853" t="str">
            <v>IQ61028964</v>
          </cell>
        </row>
        <row r="2854">
          <cell r="MH2854" t="str">
            <v>IQ53362674</v>
          </cell>
        </row>
        <row r="2855">
          <cell r="MH2855" t="str">
            <v>IQ32336070</v>
          </cell>
        </row>
        <row r="2856">
          <cell r="MH2856" t="str">
            <v>IQ36483448</v>
          </cell>
        </row>
        <row r="2857">
          <cell r="MH2857" t="str">
            <v>IQ23644410</v>
          </cell>
        </row>
        <row r="2858">
          <cell r="MH2858" t="str">
            <v>IQ805801</v>
          </cell>
        </row>
        <row r="2859">
          <cell r="MH2859" t="str">
            <v>IQ23504622</v>
          </cell>
        </row>
        <row r="2860">
          <cell r="MH2860" t="str">
            <v>IQ35540664</v>
          </cell>
        </row>
        <row r="2861">
          <cell r="MH2861" t="str">
            <v>IQ379071350</v>
          </cell>
        </row>
        <row r="2862">
          <cell r="MH2862" t="str">
            <v>IQ252639090</v>
          </cell>
        </row>
        <row r="2863">
          <cell r="MH2863" t="str">
            <v>IQ34700857</v>
          </cell>
        </row>
        <row r="2864">
          <cell r="MH2864" t="str">
            <v>IQ313531692</v>
          </cell>
        </row>
        <row r="2865">
          <cell r="MH2865" t="str">
            <v>IQ285415837</v>
          </cell>
        </row>
        <row r="2866">
          <cell r="MH2866" t="str">
            <v>IQ302290538</v>
          </cell>
        </row>
        <row r="2867">
          <cell r="MH2867" t="str">
            <v>IQ54499472</v>
          </cell>
        </row>
        <row r="2868">
          <cell r="MH2868" t="str">
            <v>IQ27529122</v>
          </cell>
        </row>
        <row r="2869">
          <cell r="MH2869" t="str">
            <v>IQ260182543</v>
          </cell>
        </row>
        <row r="2870">
          <cell r="MH2870" t="str">
            <v>IQ50185248</v>
          </cell>
        </row>
        <row r="2871">
          <cell r="MH2871" t="str">
            <v>IQ256971600</v>
          </cell>
        </row>
        <row r="2872">
          <cell r="MH2872" t="str">
            <v>IQ291373961</v>
          </cell>
        </row>
        <row r="2873">
          <cell r="MH2873" t="str">
            <v>IQ43528992</v>
          </cell>
        </row>
        <row r="2874">
          <cell r="MH2874" t="str">
            <v>IQ35576374</v>
          </cell>
        </row>
        <row r="2875">
          <cell r="MH2875" t="str">
            <v>IQ13677635</v>
          </cell>
        </row>
        <row r="2876">
          <cell r="MH2876" t="str">
            <v>IQ4877808</v>
          </cell>
        </row>
        <row r="2877">
          <cell r="MH2877" t="str">
            <v>IQ279163464</v>
          </cell>
        </row>
        <row r="2878">
          <cell r="MH2878" t="str">
            <v>IQ4842823</v>
          </cell>
        </row>
        <row r="2879">
          <cell r="MH2879" t="str">
            <v>IQ20702785</v>
          </cell>
        </row>
        <row r="2880">
          <cell r="MH2880" t="str">
            <v>IQ59450817</v>
          </cell>
        </row>
        <row r="2881">
          <cell r="MH2881" t="str">
            <v>IQ113021531</v>
          </cell>
        </row>
        <row r="2882">
          <cell r="MH2882" t="str">
            <v>IQ240088849</v>
          </cell>
        </row>
        <row r="2883">
          <cell r="MH2883" t="str">
            <v>IQ2173009</v>
          </cell>
        </row>
        <row r="2884">
          <cell r="MH2884" t="str">
            <v>IQ21927633</v>
          </cell>
        </row>
        <row r="2885">
          <cell r="MH2885" t="str">
            <v>IQ8795606</v>
          </cell>
        </row>
        <row r="2886">
          <cell r="MH2886" t="str">
            <v>IQ26896662</v>
          </cell>
        </row>
        <row r="2887">
          <cell r="MH2887" t="str">
            <v>IQ229024317</v>
          </cell>
        </row>
        <row r="2888">
          <cell r="MH2888" t="str">
            <v>IQ27161910</v>
          </cell>
        </row>
        <row r="2889">
          <cell r="MH2889" t="str">
            <v>IQ228496811</v>
          </cell>
        </row>
        <row r="2890">
          <cell r="MH2890" t="str">
            <v>IQ109369053</v>
          </cell>
        </row>
        <row r="2891">
          <cell r="MH2891" t="str">
            <v>IQ4458122</v>
          </cell>
        </row>
        <row r="2892">
          <cell r="MH2892" t="str">
            <v>IQ30339819</v>
          </cell>
        </row>
        <row r="2893">
          <cell r="MH2893" t="str">
            <v>IQ34490826</v>
          </cell>
        </row>
        <row r="2894">
          <cell r="MH2894" t="str">
            <v>IQ27368437</v>
          </cell>
        </row>
        <row r="2895">
          <cell r="MH2895" t="str">
            <v>IQ866996</v>
          </cell>
        </row>
        <row r="2896">
          <cell r="MH2896" t="str">
            <v>IQ45277260</v>
          </cell>
        </row>
        <row r="2897">
          <cell r="MH2897" t="str">
            <v>IQ6067565</v>
          </cell>
        </row>
        <row r="2898">
          <cell r="MH2898" t="str">
            <v>IQ874389</v>
          </cell>
        </row>
        <row r="2899">
          <cell r="MH2899" t="str">
            <v>IQ27938751</v>
          </cell>
        </row>
        <row r="2900">
          <cell r="MH2900" t="str">
            <v>IQ51885728</v>
          </cell>
        </row>
        <row r="2901">
          <cell r="MH2901" t="str">
            <v>IQ166357339</v>
          </cell>
        </row>
        <row r="2902">
          <cell r="MH2902" t="str">
            <v>IQ51757220</v>
          </cell>
        </row>
        <row r="2903">
          <cell r="MH2903" t="str">
            <v>IQ22498918</v>
          </cell>
        </row>
        <row r="2904">
          <cell r="MH2904" t="str">
            <v>IQ9365479</v>
          </cell>
        </row>
        <row r="2905">
          <cell r="MH2905" t="str">
            <v>IQ168067474</v>
          </cell>
        </row>
        <row r="2906">
          <cell r="MH2906" t="str">
            <v>IQ47553784</v>
          </cell>
        </row>
        <row r="2907">
          <cell r="MH2907" t="str">
            <v>IQ24436158</v>
          </cell>
        </row>
        <row r="2908">
          <cell r="MH2908" t="str">
            <v>IQ301682631</v>
          </cell>
        </row>
        <row r="2909">
          <cell r="MH2909" t="str">
            <v>IQ59524153</v>
          </cell>
        </row>
        <row r="2910">
          <cell r="MH2910" t="str">
            <v>IQ23479033</v>
          </cell>
        </row>
        <row r="2911">
          <cell r="MH2911" t="str">
            <v>IQ208536726</v>
          </cell>
        </row>
        <row r="2912">
          <cell r="MH2912" t="str">
            <v>IQ231610644</v>
          </cell>
        </row>
        <row r="2913">
          <cell r="MH2913" t="str">
            <v>IQ284704055</v>
          </cell>
        </row>
        <row r="2914">
          <cell r="MH2914" t="str">
            <v>IQ51176726</v>
          </cell>
        </row>
        <row r="2915">
          <cell r="MH2915" t="str">
            <v>IQ126978438</v>
          </cell>
        </row>
        <row r="2916">
          <cell r="MH2916" t="str">
            <v>IQ32605213</v>
          </cell>
        </row>
        <row r="2917">
          <cell r="MH2917" t="str">
            <v>IQ27128410</v>
          </cell>
        </row>
        <row r="2918">
          <cell r="MH2918" t="str">
            <v>IQ829989</v>
          </cell>
        </row>
        <row r="2919">
          <cell r="MH2919" t="str">
            <v>IQ26876305</v>
          </cell>
        </row>
        <row r="2920">
          <cell r="MH2920" t="str">
            <v>IQ295025685</v>
          </cell>
        </row>
        <row r="2921">
          <cell r="MH2921" t="str">
            <v>IQ11796974</v>
          </cell>
        </row>
        <row r="2922">
          <cell r="MH2922" t="str">
            <v>IQ256972972</v>
          </cell>
        </row>
        <row r="2923">
          <cell r="MH2923" t="str">
            <v>IQ35018427</v>
          </cell>
        </row>
        <row r="2924">
          <cell r="MH2924" t="str">
            <v>IQ23064674</v>
          </cell>
        </row>
        <row r="2925">
          <cell r="MH2925" t="str">
            <v>IQ4861538</v>
          </cell>
        </row>
        <row r="2926">
          <cell r="MH2926" t="str">
            <v>IQ37981138</v>
          </cell>
        </row>
        <row r="2927">
          <cell r="MH2927" t="str">
            <v>IQ666629600</v>
          </cell>
        </row>
        <row r="2928">
          <cell r="MH2928" t="str">
            <v>IQ11830160</v>
          </cell>
        </row>
        <row r="2929">
          <cell r="MH2929" t="str">
            <v>IQ289483163</v>
          </cell>
        </row>
        <row r="2930">
          <cell r="MH2930" t="str">
            <v>IQ27462135</v>
          </cell>
        </row>
        <row r="2931">
          <cell r="MH2931" t="str">
            <v>IQ260667660</v>
          </cell>
        </row>
        <row r="2932">
          <cell r="MH2932" t="str">
            <v>IQ48729622</v>
          </cell>
        </row>
        <row r="2933">
          <cell r="MH2933" t="str">
            <v>IQ922525</v>
          </cell>
        </row>
        <row r="2934">
          <cell r="MH2934" t="str">
            <v>IQ206861237</v>
          </cell>
        </row>
        <row r="2935">
          <cell r="MH2935" t="str">
            <v>IQ35446788</v>
          </cell>
        </row>
        <row r="2936">
          <cell r="MH2936" t="str">
            <v>IQ1181562</v>
          </cell>
        </row>
        <row r="2937">
          <cell r="MH2937" t="str">
            <v>IQ113664804</v>
          </cell>
        </row>
        <row r="2938">
          <cell r="MH2938" t="str">
            <v>IQ24769120</v>
          </cell>
        </row>
        <row r="2939">
          <cell r="MH2939" t="str">
            <v>IQ27530258</v>
          </cell>
        </row>
        <row r="2940">
          <cell r="MH2940" t="str">
            <v>IQ5092502</v>
          </cell>
        </row>
        <row r="2941">
          <cell r="MH2941" t="str">
            <v>IQ21928064</v>
          </cell>
        </row>
        <row r="2942">
          <cell r="MH2942" t="str">
            <v>IQ208614817</v>
          </cell>
        </row>
        <row r="2943">
          <cell r="MH2943" t="str">
            <v>IQ99359016</v>
          </cell>
        </row>
        <row r="2944">
          <cell r="MH2944" t="str">
            <v>IQ4532548</v>
          </cell>
        </row>
        <row r="2945">
          <cell r="MH2945" t="str">
            <v>IQ126943083</v>
          </cell>
        </row>
        <row r="2946">
          <cell r="MH2946" t="str">
            <v>IQ8242647</v>
          </cell>
        </row>
        <row r="2947">
          <cell r="MH2947" t="str">
            <v>IQ225392160</v>
          </cell>
        </row>
        <row r="2948">
          <cell r="MH2948" t="str">
            <v>IQ59705013</v>
          </cell>
        </row>
        <row r="2949">
          <cell r="MH2949" t="str">
            <v>IQ126978467</v>
          </cell>
        </row>
        <row r="2950">
          <cell r="MH2950" t="str">
            <v>IQ24162043</v>
          </cell>
        </row>
        <row r="2951">
          <cell r="MH2951" t="str">
            <v>IQ109120048</v>
          </cell>
        </row>
        <row r="2952">
          <cell r="MH2952" t="str">
            <v>IQ24347479</v>
          </cell>
        </row>
        <row r="2953">
          <cell r="MH2953" t="str">
            <v>IQ278539088</v>
          </cell>
        </row>
        <row r="2954">
          <cell r="MH2954" t="str">
            <v>IQ6412329</v>
          </cell>
        </row>
        <row r="2955">
          <cell r="MH2955" t="str">
            <v>IQ133693762</v>
          </cell>
        </row>
        <row r="2956">
          <cell r="MH2956" t="str">
            <v>IQ26763845</v>
          </cell>
        </row>
        <row r="2957">
          <cell r="MH2957" t="str">
            <v>IQ53362683</v>
          </cell>
        </row>
        <row r="2958">
          <cell r="MH2958" t="str">
            <v>IQ9376091</v>
          </cell>
        </row>
        <row r="2959">
          <cell r="MH2959" t="str">
            <v>IQ22308147</v>
          </cell>
        </row>
        <row r="2960">
          <cell r="MH2960" t="str">
            <v>IQ118315840</v>
          </cell>
        </row>
        <row r="2961">
          <cell r="MH2961" t="str">
            <v>IQ11734147</v>
          </cell>
        </row>
        <row r="2962">
          <cell r="MH2962" t="str">
            <v>IQ34949318</v>
          </cell>
        </row>
        <row r="2963">
          <cell r="MH2963" t="str">
            <v>IQ11711790</v>
          </cell>
        </row>
        <row r="2964">
          <cell r="MH2964" t="str">
            <v>IQ41950606</v>
          </cell>
        </row>
        <row r="2965">
          <cell r="MH2965" t="str">
            <v>IQ127244851</v>
          </cell>
        </row>
        <row r="2966">
          <cell r="MH2966" t="str">
            <v>IQ32568587</v>
          </cell>
        </row>
        <row r="2967">
          <cell r="MH2967" t="str">
            <v>IQ51310685</v>
          </cell>
        </row>
        <row r="2968">
          <cell r="MH2968" t="str">
            <v>IQ9221297</v>
          </cell>
        </row>
        <row r="2969">
          <cell r="MH2969" t="str">
            <v>IQ23954615</v>
          </cell>
        </row>
        <row r="2970">
          <cell r="MH2970" t="str">
            <v>IQ23676600</v>
          </cell>
        </row>
        <row r="2971">
          <cell r="MH2971" t="str">
            <v>IQ39217137</v>
          </cell>
        </row>
        <row r="2972">
          <cell r="MH2972" t="str">
            <v>IQ22177424</v>
          </cell>
        </row>
        <row r="2973">
          <cell r="MH2973" t="str">
            <v>IQ263550412</v>
          </cell>
        </row>
        <row r="2974">
          <cell r="MH2974" t="str">
            <v>IQ45090909</v>
          </cell>
        </row>
        <row r="2975">
          <cell r="MH2975" t="str">
            <v>IQ43288781</v>
          </cell>
        </row>
        <row r="2976">
          <cell r="MH2976" t="str">
            <v>IQ24320305</v>
          </cell>
        </row>
        <row r="2977">
          <cell r="MH2977" t="str">
            <v>IQ27082962</v>
          </cell>
        </row>
        <row r="2978">
          <cell r="MH2978" t="str">
            <v>IQ130909720</v>
          </cell>
        </row>
        <row r="2979">
          <cell r="MH2979" t="str">
            <v>IQ41135877</v>
          </cell>
        </row>
        <row r="2980">
          <cell r="MH2980" t="str">
            <v>IQ25021832</v>
          </cell>
        </row>
        <row r="2981">
          <cell r="MH2981" t="str">
            <v>IQ46054382</v>
          </cell>
        </row>
        <row r="2982">
          <cell r="MH2982" t="str">
            <v>IQ23699504</v>
          </cell>
        </row>
        <row r="2983">
          <cell r="MH2983" t="str">
            <v>IQ23629799</v>
          </cell>
        </row>
        <row r="2984">
          <cell r="MH2984" t="str">
            <v>IQ58636112</v>
          </cell>
        </row>
        <row r="2985">
          <cell r="MH2985" t="str">
            <v>IQ28563613</v>
          </cell>
        </row>
        <row r="2986">
          <cell r="MH2986" t="str">
            <v>IQ24023734</v>
          </cell>
        </row>
        <row r="2987">
          <cell r="MH2987" t="str">
            <v>IQ27147146</v>
          </cell>
        </row>
        <row r="2988">
          <cell r="MH2988" t="str">
            <v>IQ27082887</v>
          </cell>
        </row>
        <row r="2989">
          <cell r="MH2989" t="str">
            <v>IQ274395227</v>
          </cell>
        </row>
        <row r="2990">
          <cell r="MH2990" t="str">
            <v>IQ256489662</v>
          </cell>
        </row>
        <row r="2991">
          <cell r="MH2991" t="str">
            <v>IQ48669050</v>
          </cell>
        </row>
        <row r="2992">
          <cell r="MH2992" t="str">
            <v>IQ27146556</v>
          </cell>
        </row>
        <row r="2993">
          <cell r="MH2993" t="str">
            <v>IQ130992372</v>
          </cell>
        </row>
        <row r="2994">
          <cell r="MH2994" t="str">
            <v>IQ260657300</v>
          </cell>
        </row>
        <row r="2995">
          <cell r="MH2995" t="str">
            <v>IQ53513340</v>
          </cell>
        </row>
        <row r="2996">
          <cell r="MH2996" t="str">
            <v>IQ241740680</v>
          </cell>
        </row>
        <row r="2997">
          <cell r="MH2997" t="str">
            <v>IQ254713023</v>
          </cell>
        </row>
        <row r="2998">
          <cell r="MH2998" t="str">
            <v>IQ262033433</v>
          </cell>
        </row>
        <row r="2999">
          <cell r="MH2999" t="str">
            <v>IQ8031681</v>
          </cell>
        </row>
        <row r="3000">
          <cell r="MH3000" t="str">
            <v>IQ26821950</v>
          </cell>
        </row>
        <row r="3001">
          <cell r="MH3001" t="str">
            <v>IQ270299735</v>
          </cell>
        </row>
        <row r="3002">
          <cell r="MH3002" t="str">
            <v>IQ130992405</v>
          </cell>
        </row>
        <row r="3003">
          <cell r="MH3003" t="str">
            <v>IQ23896912</v>
          </cell>
        </row>
        <row r="3004">
          <cell r="MH3004" t="str">
            <v>IQ1678610</v>
          </cell>
        </row>
        <row r="3005">
          <cell r="MH3005" t="str">
            <v>IQ224545172</v>
          </cell>
        </row>
        <row r="3006">
          <cell r="MH3006" t="str">
            <v>IQ9795083</v>
          </cell>
        </row>
        <row r="3007">
          <cell r="MH3007" t="str">
            <v>IQ4480584</v>
          </cell>
        </row>
        <row r="3008">
          <cell r="MH3008" t="str">
            <v>IQ138245043</v>
          </cell>
        </row>
        <row r="3009">
          <cell r="MH3009" t="str">
            <v>IQ27526388</v>
          </cell>
        </row>
        <row r="3010">
          <cell r="MH3010" t="str">
            <v>IQ252912666</v>
          </cell>
        </row>
        <row r="3011">
          <cell r="MH3011" t="str">
            <v>IQ27085455</v>
          </cell>
        </row>
        <row r="3012">
          <cell r="MH3012" t="str">
            <v>IQ35158785</v>
          </cell>
        </row>
        <row r="3013">
          <cell r="MH3013" t="str">
            <v>IQ23711701</v>
          </cell>
        </row>
        <row r="3014">
          <cell r="MH3014" t="str">
            <v>IQ41288301</v>
          </cell>
        </row>
        <row r="3015">
          <cell r="MH3015" t="str">
            <v>IQ5074201</v>
          </cell>
        </row>
        <row r="3016">
          <cell r="MH3016" t="str">
            <v>IQ100543035</v>
          </cell>
        </row>
        <row r="3017">
          <cell r="MH3017" t="str">
            <v>IQ27528277</v>
          </cell>
        </row>
        <row r="3018">
          <cell r="MH3018" t="str">
            <v>IQ24769285</v>
          </cell>
        </row>
        <row r="3019">
          <cell r="MH3019" t="str">
            <v>IQ41390020</v>
          </cell>
        </row>
        <row r="3020">
          <cell r="MH3020" t="str">
            <v>IQ59746076</v>
          </cell>
        </row>
        <row r="3021">
          <cell r="MH3021" t="str">
            <v>IQ5569195</v>
          </cell>
        </row>
        <row r="3022">
          <cell r="MH3022" t="str">
            <v>IQ248555308</v>
          </cell>
        </row>
        <row r="3023">
          <cell r="MH3023" t="str">
            <v>IQ54235805</v>
          </cell>
        </row>
        <row r="3024">
          <cell r="MH3024" t="str">
            <v>IQ237473576</v>
          </cell>
        </row>
        <row r="3025">
          <cell r="MH3025" t="str">
            <v>IQ228531518</v>
          </cell>
        </row>
        <row r="3026">
          <cell r="MH3026" t="str">
            <v>IQ23454766</v>
          </cell>
        </row>
        <row r="3027">
          <cell r="MH3027" t="str">
            <v>IQ34599037</v>
          </cell>
        </row>
        <row r="3028">
          <cell r="MH3028" t="str">
            <v>IQ22672068</v>
          </cell>
        </row>
        <row r="3029">
          <cell r="MH3029" t="str">
            <v>IQ22705492</v>
          </cell>
        </row>
        <row r="3030">
          <cell r="MH3030" t="str">
            <v>IQ69083745</v>
          </cell>
        </row>
        <row r="3031">
          <cell r="MH3031" t="str">
            <v>IQ22167948</v>
          </cell>
        </row>
        <row r="3032">
          <cell r="MH3032" t="str">
            <v>IQ23643840</v>
          </cell>
        </row>
        <row r="3033">
          <cell r="MH3033" t="str">
            <v>IQ59570341</v>
          </cell>
        </row>
        <row r="3034">
          <cell r="MH3034" t="str">
            <v>IQ43519342</v>
          </cell>
        </row>
        <row r="3035">
          <cell r="MH3035" t="str">
            <v>IQ109400886</v>
          </cell>
        </row>
        <row r="3036">
          <cell r="MH3036" t="str">
            <v>IQ23776306</v>
          </cell>
        </row>
        <row r="3037">
          <cell r="MH3037" t="str">
            <v>IQ6534749</v>
          </cell>
        </row>
        <row r="3038">
          <cell r="MH3038" t="str">
            <v>IQ23755036</v>
          </cell>
        </row>
        <row r="3039">
          <cell r="MH3039" t="str">
            <v>IQ875239</v>
          </cell>
        </row>
        <row r="3040">
          <cell r="MH3040" t="str">
            <v>IQ48990552</v>
          </cell>
        </row>
        <row r="3041">
          <cell r="MH3041" t="str">
            <v>IQ11369648</v>
          </cell>
        </row>
        <row r="3042">
          <cell r="MH3042" t="str">
            <v>IQ11670540</v>
          </cell>
        </row>
        <row r="3043">
          <cell r="MH3043" t="str">
            <v>IQ208547166</v>
          </cell>
        </row>
        <row r="3044">
          <cell r="MH3044" t="str">
            <v>IQ40786280</v>
          </cell>
        </row>
        <row r="3045">
          <cell r="MH3045" t="str">
            <v>IQ27130162</v>
          </cell>
        </row>
        <row r="3046">
          <cell r="MH3046" t="str">
            <v>IQ54310817</v>
          </cell>
        </row>
        <row r="3047">
          <cell r="MH3047" t="str">
            <v>IQ11146679</v>
          </cell>
        </row>
        <row r="3048">
          <cell r="MH3048" t="str">
            <v>IQ22246606</v>
          </cell>
        </row>
        <row r="3049">
          <cell r="MH3049" t="str">
            <v>IQ30235435</v>
          </cell>
        </row>
        <row r="3050">
          <cell r="MH3050" t="str">
            <v>IQ13508228</v>
          </cell>
        </row>
        <row r="3051">
          <cell r="MH3051" t="str">
            <v>IQ263596364</v>
          </cell>
        </row>
        <row r="3052">
          <cell r="MH3052" t="str">
            <v>IQ51592119</v>
          </cell>
        </row>
        <row r="3053">
          <cell r="MH3053" t="str">
            <v>IQ23499448</v>
          </cell>
        </row>
        <row r="3054">
          <cell r="MH3054" t="str">
            <v>IQ11920271</v>
          </cell>
        </row>
        <row r="3055">
          <cell r="MH3055" t="str">
            <v>IQ138255300</v>
          </cell>
        </row>
        <row r="3056">
          <cell r="MH3056" t="str">
            <v>IQ11670262</v>
          </cell>
        </row>
        <row r="3057">
          <cell r="MH3057" t="str">
            <v>IQ23374884</v>
          </cell>
        </row>
        <row r="3058">
          <cell r="MH3058" t="str">
            <v>IQ44735823</v>
          </cell>
        </row>
        <row r="3059">
          <cell r="MH3059" t="str">
            <v>IQ154133303</v>
          </cell>
        </row>
        <row r="3060">
          <cell r="MH3060" t="str">
            <v>IQ438509</v>
          </cell>
        </row>
        <row r="3061">
          <cell r="MH3061" t="str">
            <v>IQ23339585</v>
          </cell>
        </row>
        <row r="3062">
          <cell r="MH3062" t="str">
            <v>IQ24160598</v>
          </cell>
        </row>
        <row r="3063">
          <cell r="MH3063" t="str">
            <v>IQ27484326</v>
          </cell>
        </row>
        <row r="3064">
          <cell r="MH3064" t="str">
            <v>IQ106295646</v>
          </cell>
        </row>
        <row r="3065">
          <cell r="MH3065" t="str">
            <v>IQ157293862</v>
          </cell>
        </row>
        <row r="3066">
          <cell r="MH3066" t="str">
            <v>IQ971651</v>
          </cell>
        </row>
        <row r="3067">
          <cell r="MH3067" t="str">
            <v>IQ3536760</v>
          </cell>
        </row>
        <row r="3068">
          <cell r="MH3068" t="str">
            <v>IQ25596521</v>
          </cell>
        </row>
        <row r="3069">
          <cell r="MH3069" t="str">
            <v>IQ40424675</v>
          </cell>
        </row>
        <row r="3070">
          <cell r="MH3070" t="str">
            <v>IQ6440385</v>
          </cell>
        </row>
        <row r="3071">
          <cell r="MH3071" t="str">
            <v>IQ1689088</v>
          </cell>
        </row>
        <row r="3072">
          <cell r="MH3072" t="str">
            <v>IQ4180476</v>
          </cell>
        </row>
        <row r="3073">
          <cell r="MH3073" t="str">
            <v>IQ10518038</v>
          </cell>
        </row>
        <row r="3074">
          <cell r="MH3074" t="str">
            <v>IQ2247684</v>
          </cell>
        </row>
        <row r="3075">
          <cell r="MH3075" t="str">
            <v>IQ6099557</v>
          </cell>
        </row>
        <row r="3076">
          <cell r="MH3076" t="str">
            <v>IQ31045205</v>
          </cell>
        </row>
        <row r="3077">
          <cell r="MH3077" t="str">
            <v>IQ81893036</v>
          </cell>
        </row>
        <row r="3078">
          <cell r="MH3078" t="str">
            <v>IQ41592320</v>
          </cell>
        </row>
        <row r="3079">
          <cell r="MH3079" t="str">
            <v>IQ41667023</v>
          </cell>
        </row>
        <row r="3080">
          <cell r="MH3080" t="str">
            <v>IQ22397</v>
          </cell>
        </row>
        <row r="3081">
          <cell r="MH3081" t="str">
            <v>IQ38656846</v>
          </cell>
        </row>
        <row r="3082">
          <cell r="MH3082" t="str">
            <v>IQ4527701</v>
          </cell>
        </row>
        <row r="3083">
          <cell r="MH3083" t="str">
            <v>IQ61014615</v>
          </cell>
        </row>
        <row r="3084">
          <cell r="MH3084" t="str">
            <v>IQ20823170</v>
          </cell>
        </row>
        <row r="3085">
          <cell r="MH3085" t="str">
            <v>IQ12683414</v>
          </cell>
        </row>
        <row r="3086">
          <cell r="MH3086" t="str">
            <v>IQ255959317</v>
          </cell>
        </row>
        <row r="3087">
          <cell r="MH3087" t="str">
            <v>IQ27649966</v>
          </cell>
        </row>
        <row r="3088">
          <cell r="MH3088" t="str">
            <v>IQ24003544</v>
          </cell>
        </row>
        <row r="3089">
          <cell r="MH3089" t="str">
            <v>IQ129336733</v>
          </cell>
        </row>
        <row r="3090">
          <cell r="MH3090" t="str">
            <v>IQ41575925</v>
          </cell>
        </row>
        <row r="3091">
          <cell r="MH3091" t="str">
            <v>IQ52289567</v>
          </cell>
        </row>
        <row r="3092">
          <cell r="MH3092" t="str">
            <v>IQ41736814</v>
          </cell>
        </row>
        <row r="3093">
          <cell r="MH3093" t="str">
            <v>IQ6145097</v>
          </cell>
        </row>
        <row r="3094">
          <cell r="MH3094" t="str">
            <v>IQ3534608</v>
          </cell>
        </row>
        <row r="3095">
          <cell r="MH3095" t="str">
            <v>IQ578094077</v>
          </cell>
        </row>
        <row r="3096">
          <cell r="MH3096" t="str">
            <v>IQ1882031</v>
          </cell>
        </row>
        <row r="3097">
          <cell r="MH3097" t="str">
            <v>IQ42721969</v>
          </cell>
        </row>
        <row r="3098">
          <cell r="MH3098" t="str">
            <v>IQ13448585</v>
          </cell>
        </row>
        <row r="3099">
          <cell r="MH3099" t="str">
            <v>IQ23940762</v>
          </cell>
        </row>
        <row r="3100">
          <cell r="MH3100" t="str">
            <v>IQ35193744</v>
          </cell>
        </row>
        <row r="3101">
          <cell r="MH3101" t="str">
            <v>IQ34278643</v>
          </cell>
        </row>
        <row r="3102">
          <cell r="MH3102" t="str">
            <v>IQ27081407</v>
          </cell>
        </row>
        <row r="3103">
          <cell r="MH3103" t="str">
            <v>IQ141653400</v>
          </cell>
        </row>
        <row r="3104">
          <cell r="MH3104" t="str">
            <v>IQ261823989</v>
          </cell>
        </row>
        <row r="3105">
          <cell r="MH3105" t="str">
            <v>IQ4516636</v>
          </cell>
        </row>
        <row r="3106">
          <cell r="MH3106" t="str">
            <v>IQ4508469</v>
          </cell>
        </row>
        <row r="3107">
          <cell r="MH3107" t="str">
            <v>IQ183976994</v>
          </cell>
        </row>
        <row r="3108">
          <cell r="MH3108" t="str">
            <v>IQ22369940</v>
          </cell>
        </row>
        <row r="3109">
          <cell r="MH3109" t="str">
            <v>IQ27287558</v>
          </cell>
        </row>
        <row r="3110">
          <cell r="MH3110" t="str">
            <v>IQ10903139</v>
          </cell>
        </row>
        <row r="3111">
          <cell r="MH3111" t="str">
            <v>IQ34066742</v>
          </cell>
        </row>
        <row r="3112">
          <cell r="MH3112" t="str">
            <v>IQ144339</v>
          </cell>
        </row>
        <row r="3113">
          <cell r="MH3113" t="str">
            <v>IQ4915369</v>
          </cell>
        </row>
        <row r="3114">
          <cell r="MH3114" t="str">
            <v>IQ6071724</v>
          </cell>
        </row>
        <row r="3115">
          <cell r="MH3115" t="str">
            <v>IQ27525682</v>
          </cell>
        </row>
        <row r="3116">
          <cell r="MH3116" t="str">
            <v>IQ104489996</v>
          </cell>
        </row>
        <row r="3117">
          <cell r="MH3117" t="str">
            <v>IQ23735888</v>
          </cell>
        </row>
        <row r="3118">
          <cell r="MH3118" t="str">
            <v>IQ182139191</v>
          </cell>
        </row>
        <row r="3119">
          <cell r="MH3119" t="str">
            <v>IQ256695973</v>
          </cell>
        </row>
        <row r="3120">
          <cell r="MH3120" t="str">
            <v>IQ45046248</v>
          </cell>
        </row>
        <row r="3121">
          <cell r="MH3121" t="str">
            <v>IQ222845339</v>
          </cell>
        </row>
        <row r="3122">
          <cell r="MH3122" t="str">
            <v>IQ26789647</v>
          </cell>
        </row>
        <row r="3123">
          <cell r="MH3123" t="str">
            <v>IQ675795120</v>
          </cell>
        </row>
        <row r="3124">
          <cell r="MH3124" t="str">
            <v>IQ26736374</v>
          </cell>
        </row>
        <row r="3125">
          <cell r="MH3125" t="str">
            <v>IQ22087083</v>
          </cell>
        </row>
        <row r="3126">
          <cell r="MH3126" t="str">
            <v>IQ11851282</v>
          </cell>
        </row>
        <row r="3127">
          <cell r="MH3127" t="str">
            <v>IQ24210865</v>
          </cell>
        </row>
        <row r="3128">
          <cell r="MH3128" t="str">
            <v>IQ181977161</v>
          </cell>
        </row>
        <row r="3129">
          <cell r="MH3129" t="str">
            <v>IQ37341224</v>
          </cell>
        </row>
        <row r="3130">
          <cell r="MH3130" t="str">
            <v>IQ20221</v>
          </cell>
        </row>
        <row r="3131">
          <cell r="MH3131" t="str">
            <v>IQ23461705</v>
          </cell>
        </row>
        <row r="3132">
          <cell r="MH3132" t="str">
            <v>IQ36373834</v>
          </cell>
        </row>
        <row r="3133">
          <cell r="MH3133" t="str">
            <v>IQ27147170</v>
          </cell>
        </row>
        <row r="3134">
          <cell r="MH3134" t="str">
            <v>IQ10098725</v>
          </cell>
        </row>
        <row r="3135">
          <cell r="MH3135" t="str">
            <v>IQ41701732</v>
          </cell>
        </row>
        <row r="3136">
          <cell r="MH3136" t="str">
            <v>IQ6100004</v>
          </cell>
        </row>
        <row r="3137">
          <cell r="MH3137" t="str">
            <v>IQ23555092</v>
          </cell>
        </row>
        <row r="3138">
          <cell r="MH3138" t="str">
            <v>IQ23813365</v>
          </cell>
        </row>
        <row r="3139">
          <cell r="MH3139" t="str">
            <v>IQ51944097</v>
          </cell>
        </row>
        <row r="3140">
          <cell r="MH3140" t="str">
            <v>IQ23797488</v>
          </cell>
        </row>
        <row r="3141">
          <cell r="MH3141" t="str">
            <v>IQ23587044</v>
          </cell>
        </row>
        <row r="3142">
          <cell r="MH3142" t="str">
            <v>IQ236825403</v>
          </cell>
        </row>
        <row r="3143">
          <cell r="MH3143" t="str">
            <v>IQ52291003</v>
          </cell>
        </row>
        <row r="3144">
          <cell r="MH3144" t="str">
            <v>IQ11829968</v>
          </cell>
        </row>
        <row r="3145">
          <cell r="MH3145" t="str">
            <v>IQ24046391</v>
          </cell>
        </row>
        <row r="3146">
          <cell r="MH3146" t="str">
            <v>IQ4335550</v>
          </cell>
        </row>
        <row r="3147">
          <cell r="MH3147" t="str">
            <v>IQ23812298</v>
          </cell>
        </row>
        <row r="3148">
          <cell r="MH3148" t="str">
            <v>IQ4515589</v>
          </cell>
        </row>
        <row r="3149">
          <cell r="MH3149" t="str">
            <v>IQ43977530</v>
          </cell>
        </row>
        <row r="3150">
          <cell r="MH3150" t="str">
            <v>IQ24458236</v>
          </cell>
        </row>
        <row r="3151">
          <cell r="MH3151" t="str">
            <v>IQ24083641</v>
          </cell>
        </row>
        <row r="3152">
          <cell r="MH3152" t="str">
            <v>IQ24704697</v>
          </cell>
        </row>
        <row r="3153">
          <cell r="MH3153" t="str">
            <v>IQ23710759</v>
          </cell>
        </row>
        <row r="3154">
          <cell r="MH3154" t="str">
            <v>IQ297937462</v>
          </cell>
        </row>
        <row r="3155">
          <cell r="MH3155" t="str">
            <v>IQ49939108</v>
          </cell>
        </row>
        <row r="3156">
          <cell r="MH3156" t="str">
            <v>IQ168994578</v>
          </cell>
        </row>
        <row r="3157">
          <cell r="MH3157" t="str">
            <v>IQ972321</v>
          </cell>
        </row>
        <row r="3158">
          <cell r="MH3158" t="str">
            <v>IQ3170639</v>
          </cell>
        </row>
        <row r="3159">
          <cell r="MH3159" t="str">
            <v>IQ6261568</v>
          </cell>
        </row>
        <row r="3160">
          <cell r="MH3160" t="str">
            <v>IQ227958670</v>
          </cell>
        </row>
        <row r="3161">
          <cell r="MH3161" t="str">
            <v>IQ30705307</v>
          </cell>
        </row>
        <row r="3162">
          <cell r="MH3162" t="str">
            <v>IQ49246281</v>
          </cell>
        </row>
        <row r="3163">
          <cell r="MH3163" t="str">
            <v>IQ21826857</v>
          </cell>
        </row>
        <row r="3164">
          <cell r="MH3164" t="str">
            <v>IQ27527714</v>
          </cell>
        </row>
        <row r="3165">
          <cell r="MH3165" t="str">
            <v>IQ46572509</v>
          </cell>
        </row>
        <row r="3166">
          <cell r="MH3166" t="str">
            <v>IQ37186837</v>
          </cell>
        </row>
        <row r="3167">
          <cell r="MH3167" t="str">
            <v>IQ21559</v>
          </cell>
        </row>
        <row r="3168">
          <cell r="MH3168" t="str">
            <v>IQ27771662</v>
          </cell>
        </row>
        <row r="3169">
          <cell r="MH3169" t="str">
            <v>IQ22594364</v>
          </cell>
        </row>
        <row r="3170">
          <cell r="MH3170" t="str">
            <v>IQ169566549</v>
          </cell>
        </row>
        <row r="3171">
          <cell r="MH3171" t="str">
            <v>IQ145302658</v>
          </cell>
        </row>
        <row r="3172">
          <cell r="MH3172" t="str">
            <v>IQ11918256</v>
          </cell>
        </row>
        <row r="3173">
          <cell r="MH3173" t="str">
            <v>IQ233478373</v>
          </cell>
        </row>
        <row r="3174">
          <cell r="MH3174" t="str">
            <v>IQ35538598</v>
          </cell>
        </row>
        <row r="3175">
          <cell r="MH3175" t="str">
            <v>IQ43880007</v>
          </cell>
        </row>
        <row r="3176">
          <cell r="MH3176" t="str">
            <v>IQ24913630</v>
          </cell>
        </row>
        <row r="3177">
          <cell r="MH3177" t="str">
            <v>IQ22829157</v>
          </cell>
        </row>
        <row r="3178">
          <cell r="MH3178" t="str">
            <v>IQ27143504</v>
          </cell>
        </row>
        <row r="3179">
          <cell r="MH3179" t="str">
            <v>IQ34411717</v>
          </cell>
        </row>
        <row r="3180">
          <cell r="MH3180" t="str">
            <v>IQ228734977</v>
          </cell>
        </row>
        <row r="3181">
          <cell r="MH3181" t="str">
            <v>IQ117788796</v>
          </cell>
        </row>
        <row r="3182">
          <cell r="MH3182" t="str">
            <v>IQ254548111</v>
          </cell>
        </row>
        <row r="3183">
          <cell r="MH3183" t="str">
            <v>IQ30375411</v>
          </cell>
        </row>
        <row r="3184">
          <cell r="MH3184" t="str">
            <v>IQ27147305</v>
          </cell>
        </row>
        <row r="3185">
          <cell r="MH3185" t="str">
            <v>IQ250784857</v>
          </cell>
        </row>
        <row r="3186">
          <cell r="MH3186" t="str">
            <v>IQ23479182</v>
          </cell>
        </row>
        <row r="3187">
          <cell r="MH3187" t="str">
            <v>IQ4564528</v>
          </cell>
        </row>
        <row r="3188">
          <cell r="MH3188" t="str">
            <v>IQ109969990</v>
          </cell>
        </row>
        <row r="3189">
          <cell r="MH3189" t="str">
            <v>IQ53261157</v>
          </cell>
        </row>
        <row r="3190">
          <cell r="MH3190" t="str">
            <v>IQ8675525</v>
          </cell>
        </row>
        <row r="3191">
          <cell r="MH3191" t="str">
            <v>IQ27129189</v>
          </cell>
        </row>
        <row r="3192">
          <cell r="MH3192" t="str">
            <v>IQ23048260</v>
          </cell>
        </row>
        <row r="3193">
          <cell r="MH3193" t="str">
            <v>IQ36878215</v>
          </cell>
        </row>
        <row r="3194">
          <cell r="MH3194" t="str">
            <v>IQ254229766</v>
          </cell>
        </row>
        <row r="3195">
          <cell r="MH3195" t="str">
            <v>IQ5402857</v>
          </cell>
        </row>
        <row r="3196">
          <cell r="MH3196" t="str">
            <v>IQ27720902</v>
          </cell>
        </row>
        <row r="3197">
          <cell r="MH3197" t="str">
            <v>IQ5091884</v>
          </cell>
        </row>
        <row r="3198">
          <cell r="MH3198" t="str">
            <v>IQ1731954</v>
          </cell>
        </row>
        <row r="3199">
          <cell r="MH3199" t="str">
            <v>IQ5566290</v>
          </cell>
        </row>
        <row r="3200">
          <cell r="MH3200" t="str">
            <v>IQ27043141</v>
          </cell>
        </row>
        <row r="3201">
          <cell r="MH3201" t="str">
            <v>IQ23078039</v>
          </cell>
        </row>
        <row r="3202">
          <cell r="MH3202" t="str">
            <v>IQ47207968</v>
          </cell>
        </row>
        <row r="3203">
          <cell r="MH3203" t="str">
            <v>IQ23898506</v>
          </cell>
        </row>
        <row r="3204">
          <cell r="MH3204" t="str">
            <v>IQ165725323</v>
          </cell>
        </row>
        <row r="3205">
          <cell r="MH3205" t="str">
            <v>IQ5091982</v>
          </cell>
        </row>
        <row r="3206">
          <cell r="MH3206" t="str">
            <v>IQ23077331</v>
          </cell>
        </row>
        <row r="3207">
          <cell r="MH3207" t="str">
            <v>IQ228994381</v>
          </cell>
        </row>
        <row r="3208">
          <cell r="MH3208" t="str">
            <v>IQ26761371</v>
          </cell>
        </row>
        <row r="3209">
          <cell r="MH3209" t="str">
            <v>IQ231008231</v>
          </cell>
        </row>
        <row r="3210">
          <cell r="MH3210" t="str">
            <v>IQ3679207</v>
          </cell>
        </row>
        <row r="3211">
          <cell r="MH3211" t="str">
            <v>IQ352003</v>
          </cell>
        </row>
        <row r="3212">
          <cell r="MH3212" t="str">
            <v>IQ44784664</v>
          </cell>
        </row>
        <row r="3213">
          <cell r="MH3213" t="str">
            <v>IQ119129174</v>
          </cell>
        </row>
        <row r="3214">
          <cell r="MH3214" t="str">
            <v>IQ233332958</v>
          </cell>
        </row>
        <row r="3215">
          <cell r="MH3215" t="str">
            <v>IQ228823964</v>
          </cell>
        </row>
        <row r="3216">
          <cell r="MH3216" t="str">
            <v>IQ23757025</v>
          </cell>
        </row>
        <row r="3217">
          <cell r="MH3217" t="str">
            <v>IQ82276317</v>
          </cell>
        </row>
        <row r="3218">
          <cell r="MH3218" t="str">
            <v>IQ116459303</v>
          </cell>
        </row>
        <row r="3219">
          <cell r="MH3219" t="str">
            <v>IQ26877397</v>
          </cell>
        </row>
        <row r="3220">
          <cell r="MH3220" t="str">
            <v>IQ139830760</v>
          </cell>
        </row>
        <row r="3221">
          <cell r="MH3221" t="str">
            <v>IQ60225218</v>
          </cell>
        </row>
        <row r="3222">
          <cell r="MH3222" t="str">
            <v>IQ22337772</v>
          </cell>
        </row>
        <row r="3223">
          <cell r="MH3223" t="str">
            <v>IQ536088819</v>
          </cell>
        </row>
        <row r="3224">
          <cell r="MH3224" t="str">
            <v>IQ25989515</v>
          </cell>
        </row>
        <row r="3225">
          <cell r="MH3225" t="str">
            <v>IQ45242723</v>
          </cell>
        </row>
        <row r="3226">
          <cell r="MH3226" t="str">
            <v>IQ254820501</v>
          </cell>
        </row>
        <row r="3227">
          <cell r="MH3227" t="str">
            <v>IQ230792922</v>
          </cell>
        </row>
        <row r="3228">
          <cell r="MH3228" t="str">
            <v>IQ208276919</v>
          </cell>
        </row>
        <row r="3229">
          <cell r="MH3229" t="str">
            <v>IQ254633466</v>
          </cell>
        </row>
        <row r="3230">
          <cell r="MH3230" t="str">
            <v>IQ24068024</v>
          </cell>
        </row>
        <row r="3231">
          <cell r="MH3231" t="str">
            <v>IQ37337131</v>
          </cell>
        </row>
        <row r="3232">
          <cell r="MH3232" t="str">
            <v>IQ132235255</v>
          </cell>
        </row>
        <row r="3233">
          <cell r="MH3233" t="str">
            <v>IQ12974640</v>
          </cell>
        </row>
        <row r="3234">
          <cell r="MH3234" t="str">
            <v>IQ250503953</v>
          </cell>
        </row>
        <row r="3235">
          <cell r="MH3235" t="str">
            <v>IQ61147314</v>
          </cell>
        </row>
        <row r="3236">
          <cell r="MH3236" t="str">
            <v>IQ12374982</v>
          </cell>
        </row>
        <row r="3237">
          <cell r="MH3237" t="str">
            <v>IQ27129959</v>
          </cell>
        </row>
        <row r="3238">
          <cell r="MH3238" t="str">
            <v>IQ224507804</v>
          </cell>
        </row>
        <row r="3239">
          <cell r="MH3239" t="str">
            <v>IQ241753913</v>
          </cell>
        </row>
        <row r="3240">
          <cell r="MH3240" t="str">
            <v>IQ28626822</v>
          </cell>
        </row>
        <row r="3241">
          <cell r="MH3241" t="str">
            <v>IQ4469980</v>
          </cell>
        </row>
        <row r="3242">
          <cell r="MH3242" t="str">
            <v>IQ99726837</v>
          </cell>
        </row>
        <row r="3243">
          <cell r="MH3243" t="str">
            <v>IQ272395012</v>
          </cell>
        </row>
        <row r="3244">
          <cell r="MH3244" t="str">
            <v>IQ256778339</v>
          </cell>
        </row>
        <row r="3245">
          <cell r="MH3245" t="str">
            <v>IQ22274803</v>
          </cell>
        </row>
        <row r="3246">
          <cell r="MH3246" t="str">
            <v>IQ24022485</v>
          </cell>
        </row>
        <row r="3247">
          <cell r="MH3247" t="str">
            <v>IQ226509316</v>
          </cell>
        </row>
        <row r="3248">
          <cell r="MH3248" t="str">
            <v>IQ32723007</v>
          </cell>
        </row>
        <row r="3249">
          <cell r="MH3249" t="str">
            <v>IQ53467181</v>
          </cell>
        </row>
        <row r="3250">
          <cell r="MH3250" t="str">
            <v>IQ32584518</v>
          </cell>
        </row>
        <row r="3251">
          <cell r="MH3251" t="str">
            <v>IQ41350209</v>
          </cell>
        </row>
        <row r="3252">
          <cell r="MH3252" t="str">
            <v>IQ6017022</v>
          </cell>
        </row>
        <row r="3253">
          <cell r="MH3253" t="str">
            <v>IQ24809114</v>
          </cell>
        </row>
        <row r="3254">
          <cell r="MH3254" t="str">
            <v>IQ21905</v>
          </cell>
        </row>
        <row r="3255">
          <cell r="MH3255" t="str">
            <v>IQ24704891</v>
          </cell>
        </row>
        <row r="3256">
          <cell r="MH3256" t="str">
            <v>IQ118882363</v>
          </cell>
        </row>
        <row r="3257">
          <cell r="MH3257" t="str">
            <v>IQ23796678</v>
          </cell>
        </row>
        <row r="3258">
          <cell r="MH3258" t="str">
            <v>IQ22106376</v>
          </cell>
        </row>
        <row r="3259">
          <cell r="MH3259" t="str">
            <v>IQ41287039</v>
          </cell>
        </row>
        <row r="3260">
          <cell r="MH3260" t="str">
            <v>IQ23720690</v>
          </cell>
        </row>
        <row r="3261">
          <cell r="MH3261" t="str">
            <v>IQ3734752</v>
          </cell>
        </row>
        <row r="3262">
          <cell r="MH3262" t="str">
            <v>IQ34481357</v>
          </cell>
        </row>
        <row r="3263">
          <cell r="MH3263" t="str">
            <v>IQ32749709</v>
          </cell>
        </row>
        <row r="3264">
          <cell r="MH3264" t="str">
            <v>IQ23585508</v>
          </cell>
        </row>
        <row r="3265">
          <cell r="MH3265" t="str">
            <v>IQ11791103</v>
          </cell>
        </row>
        <row r="3266">
          <cell r="MH3266" t="str">
            <v>IQ256889045</v>
          </cell>
        </row>
        <row r="3267">
          <cell r="MH3267" t="str">
            <v>IQ24378537</v>
          </cell>
        </row>
        <row r="3268">
          <cell r="MH3268" t="str">
            <v>IQ134312134</v>
          </cell>
        </row>
        <row r="3269">
          <cell r="MH3269" t="str">
            <v>IQ8515792</v>
          </cell>
        </row>
        <row r="3270">
          <cell r="MH3270" t="str">
            <v>IQ244358546</v>
          </cell>
        </row>
        <row r="3271">
          <cell r="MH3271" t="str">
            <v>IQ22353761</v>
          </cell>
        </row>
        <row r="3272">
          <cell r="MH3272" t="str">
            <v>IQ36214910</v>
          </cell>
        </row>
        <row r="3273">
          <cell r="MH3273" t="str">
            <v>IQ23712208</v>
          </cell>
        </row>
        <row r="3274">
          <cell r="MH3274" t="str">
            <v>IQ24623918</v>
          </cell>
        </row>
        <row r="3275">
          <cell r="MH3275" t="str">
            <v>IQ24364065</v>
          </cell>
        </row>
        <row r="3276">
          <cell r="MH3276" t="str">
            <v>IQ10714614</v>
          </cell>
        </row>
        <row r="3277">
          <cell r="MH3277" t="str">
            <v>IQ23046994</v>
          </cell>
        </row>
        <row r="3278">
          <cell r="MH3278" t="str">
            <v>IQ238553189</v>
          </cell>
        </row>
        <row r="3279">
          <cell r="MH3279" t="str">
            <v>IQ140731207</v>
          </cell>
        </row>
        <row r="3280">
          <cell r="MH3280" t="str">
            <v>IQ23609347</v>
          </cell>
        </row>
        <row r="3281">
          <cell r="MH3281" t="str">
            <v>IQ10177863</v>
          </cell>
        </row>
        <row r="3282">
          <cell r="MH3282" t="str">
            <v>IQ23928454</v>
          </cell>
        </row>
        <row r="3283">
          <cell r="MH3283" t="str">
            <v>IQ23721958</v>
          </cell>
        </row>
        <row r="3284">
          <cell r="MH3284" t="str">
            <v>IQ11781198</v>
          </cell>
        </row>
        <row r="3285">
          <cell r="MH3285" t="str">
            <v>IQ22030230</v>
          </cell>
        </row>
        <row r="3286">
          <cell r="MH3286" t="str">
            <v>IQ163707279</v>
          </cell>
        </row>
        <row r="3287">
          <cell r="MH3287" t="str">
            <v>IQ9849945</v>
          </cell>
        </row>
        <row r="3288">
          <cell r="MH3288" t="str">
            <v>IQ131729783</v>
          </cell>
        </row>
        <row r="3289">
          <cell r="MH3289" t="str">
            <v>IQ22453125</v>
          </cell>
        </row>
        <row r="3290">
          <cell r="MH3290" t="str">
            <v>IQ7758841</v>
          </cell>
        </row>
        <row r="3291">
          <cell r="MH3291" t="str">
            <v>IQ24559503</v>
          </cell>
        </row>
        <row r="3292">
          <cell r="MH3292" t="str">
            <v>IQ226951960</v>
          </cell>
        </row>
        <row r="3293">
          <cell r="MH3293" t="str">
            <v>IQ182489207</v>
          </cell>
        </row>
        <row r="3294">
          <cell r="MH3294" t="str">
            <v>IQ6163673</v>
          </cell>
        </row>
        <row r="3295">
          <cell r="MH3295" t="str">
            <v>IQ24082602</v>
          </cell>
        </row>
        <row r="3296">
          <cell r="MH3296" t="str">
            <v>IQ24047403</v>
          </cell>
        </row>
        <row r="3297">
          <cell r="MH3297" t="str">
            <v>IQ23626885</v>
          </cell>
        </row>
        <row r="3298">
          <cell r="MH3298" t="str">
            <v>IQ27145882</v>
          </cell>
        </row>
        <row r="3299">
          <cell r="MH3299" t="str">
            <v>IQ127168226</v>
          </cell>
        </row>
        <row r="3300">
          <cell r="MH3300" t="str">
            <v>IQ26839028</v>
          </cell>
        </row>
        <row r="3301">
          <cell r="MH3301" t="str">
            <v>IQ8160810</v>
          </cell>
        </row>
        <row r="3302">
          <cell r="MH3302" t="str">
            <v>IQ27043524</v>
          </cell>
        </row>
        <row r="3303">
          <cell r="MH3303" t="str">
            <v>IQ182152185</v>
          </cell>
        </row>
        <row r="3304">
          <cell r="MH3304" t="str">
            <v>IQ23182225</v>
          </cell>
        </row>
        <row r="3305">
          <cell r="MH3305" t="str">
            <v>IQ108510848</v>
          </cell>
        </row>
        <row r="3306">
          <cell r="MH3306" t="str">
            <v>IQ23500745</v>
          </cell>
        </row>
        <row r="3307">
          <cell r="MH3307" t="str">
            <v>IQ23584437</v>
          </cell>
        </row>
        <row r="3308">
          <cell r="MH3308" t="str">
            <v>IQ3118533</v>
          </cell>
        </row>
        <row r="3309">
          <cell r="MH3309" t="str">
            <v>IQ23870448</v>
          </cell>
        </row>
        <row r="3310">
          <cell r="MH3310" t="str">
            <v>IQ111394958</v>
          </cell>
        </row>
        <row r="3311">
          <cell r="MH3311" t="str">
            <v>IQ257107530</v>
          </cell>
        </row>
        <row r="3312">
          <cell r="MH3312" t="str">
            <v>IQ108801474</v>
          </cell>
        </row>
        <row r="3313">
          <cell r="MH3313" t="str">
            <v>IQ23529519</v>
          </cell>
        </row>
        <row r="3314">
          <cell r="MH3314" t="str">
            <v>IQ23644541</v>
          </cell>
        </row>
        <row r="3315">
          <cell r="MH3315" t="str">
            <v>IQ7129820</v>
          </cell>
        </row>
        <row r="3316">
          <cell r="MH3316" t="str">
            <v>IQ49122743</v>
          </cell>
        </row>
        <row r="3317">
          <cell r="MH3317" t="str">
            <v>IQ6102182</v>
          </cell>
        </row>
        <row r="3318">
          <cell r="MH3318" t="str">
            <v>IQ23482172</v>
          </cell>
        </row>
        <row r="3319">
          <cell r="MH3319" t="str">
            <v>IQ7733497</v>
          </cell>
        </row>
        <row r="3320">
          <cell r="MH3320" t="str">
            <v>IQ170596771</v>
          </cell>
        </row>
        <row r="3321">
          <cell r="MH3321" t="str">
            <v>IQ61131263</v>
          </cell>
        </row>
        <row r="3322">
          <cell r="MH3322" t="str">
            <v>IQ256911665</v>
          </cell>
        </row>
        <row r="3323">
          <cell r="MH3323" t="str">
            <v>IQ215757402</v>
          </cell>
        </row>
        <row r="3324">
          <cell r="MH3324" t="str">
            <v>IQ223275794</v>
          </cell>
        </row>
        <row r="3325">
          <cell r="MH3325" t="str">
            <v>IQ23832786</v>
          </cell>
        </row>
        <row r="3326">
          <cell r="MH3326" t="str">
            <v>IQ42434190</v>
          </cell>
        </row>
        <row r="3327">
          <cell r="MH3327" t="str">
            <v>IQ317562653</v>
          </cell>
        </row>
        <row r="3328">
          <cell r="MH3328" t="str">
            <v>IQ82767994</v>
          </cell>
        </row>
        <row r="3329">
          <cell r="MH3329" t="str">
            <v>IQ142749035</v>
          </cell>
        </row>
        <row r="3330">
          <cell r="MH3330" t="str">
            <v>IQ256851219</v>
          </cell>
        </row>
        <row r="3331">
          <cell r="MH3331" t="str">
            <v>IQ9280989</v>
          </cell>
        </row>
        <row r="3332">
          <cell r="MH3332" t="str">
            <v>IQ27310049</v>
          </cell>
        </row>
        <row r="3333">
          <cell r="MH3333" t="str">
            <v>IQ118255708</v>
          </cell>
        </row>
        <row r="3334">
          <cell r="MH3334" t="str">
            <v>IQ23755373</v>
          </cell>
        </row>
        <row r="3335">
          <cell r="MH3335" t="str">
            <v>IQ635206</v>
          </cell>
        </row>
        <row r="3336">
          <cell r="MH3336" t="str">
            <v>IQ4366754</v>
          </cell>
        </row>
        <row r="3337">
          <cell r="MH3337" t="str">
            <v>IQ62170262</v>
          </cell>
        </row>
        <row r="3338">
          <cell r="MH3338" t="str">
            <v>IQ20807515</v>
          </cell>
        </row>
        <row r="3339">
          <cell r="MH3339" t="str">
            <v>IQ27335806</v>
          </cell>
        </row>
        <row r="3340">
          <cell r="MH3340" t="str">
            <v>IQ4507984</v>
          </cell>
        </row>
        <row r="3341">
          <cell r="MH3341" t="str">
            <v>IQ27144404</v>
          </cell>
        </row>
        <row r="3342">
          <cell r="MH3342" t="str">
            <v>IQ22303681</v>
          </cell>
        </row>
        <row r="3343">
          <cell r="MH3343" t="str">
            <v>IQ51179687</v>
          </cell>
        </row>
        <row r="3344">
          <cell r="MH3344" t="str">
            <v>IQ24113212</v>
          </cell>
        </row>
        <row r="3345">
          <cell r="MH3345" t="str">
            <v>IQ27081775</v>
          </cell>
        </row>
        <row r="3346">
          <cell r="MH3346" t="str">
            <v>IQ5438791</v>
          </cell>
        </row>
        <row r="3347">
          <cell r="MH3347" t="str">
            <v>IQ532330274</v>
          </cell>
        </row>
        <row r="3348">
          <cell r="MH3348" t="str">
            <v>IQ153895507</v>
          </cell>
        </row>
        <row r="3349">
          <cell r="MH3349" t="str">
            <v>IQ29859333</v>
          </cell>
        </row>
        <row r="3350">
          <cell r="MH3350" t="str">
            <v>IQ246788553</v>
          </cell>
        </row>
        <row r="3351">
          <cell r="MH3351" t="str">
            <v>IQ48729520</v>
          </cell>
        </row>
        <row r="3352">
          <cell r="MH3352" t="str">
            <v>IQ24622911</v>
          </cell>
        </row>
        <row r="3353">
          <cell r="MH3353" t="str">
            <v>IQ3602088</v>
          </cell>
        </row>
        <row r="3354">
          <cell r="MH3354" t="str">
            <v>IQ36660675</v>
          </cell>
        </row>
        <row r="3355">
          <cell r="MH3355" t="str">
            <v>IQ4753477</v>
          </cell>
        </row>
        <row r="3356">
          <cell r="MH3356" t="str">
            <v>IQ26841584</v>
          </cell>
        </row>
        <row r="3357">
          <cell r="MH3357" t="str">
            <v>IQ238533404</v>
          </cell>
        </row>
        <row r="3358">
          <cell r="MH3358" t="str">
            <v>IQ26938578</v>
          </cell>
        </row>
        <row r="3359">
          <cell r="MH3359" t="str">
            <v>IQ237661266</v>
          </cell>
        </row>
        <row r="3360">
          <cell r="MH3360" t="str">
            <v>IQ37981015</v>
          </cell>
        </row>
        <row r="3361">
          <cell r="MH3361" t="str">
            <v>IQ4251194</v>
          </cell>
        </row>
        <row r="3362">
          <cell r="MH3362" t="str">
            <v>IQ12316577</v>
          </cell>
        </row>
        <row r="3363">
          <cell r="MH3363" t="str">
            <v>IQ238626694</v>
          </cell>
        </row>
        <row r="3364">
          <cell r="MH3364" t="str">
            <v>IQ4855891</v>
          </cell>
        </row>
        <row r="3365">
          <cell r="MH3365" t="str">
            <v>IQ264088233</v>
          </cell>
        </row>
        <row r="3366">
          <cell r="MH3366" t="str">
            <v>IQ27144582</v>
          </cell>
        </row>
        <row r="3367">
          <cell r="MH3367" t="str">
            <v>IQ242286981</v>
          </cell>
        </row>
        <row r="3368">
          <cell r="MH3368" t="str">
            <v>IQ27131394</v>
          </cell>
        </row>
        <row r="3369">
          <cell r="MH3369" t="str">
            <v>IQ26917546</v>
          </cell>
        </row>
        <row r="3370">
          <cell r="MH3370" t="str">
            <v>IQ98350445</v>
          </cell>
        </row>
        <row r="3371">
          <cell r="MH3371" t="str">
            <v>IQ35546528</v>
          </cell>
        </row>
        <row r="3372">
          <cell r="MH3372" t="str">
            <v>IQ10903187</v>
          </cell>
        </row>
        <row r="3373">
          <cell r="MH3373" t="str">
            <v>IQ24048620</v>
          </cell>
        </row>
        <row r="3374">
          <cell r="MH3374" t="str">
            <v>IQ22260614</v>
          </cell>
        </row>
        <row r="3375">
          <cell r="MH3375" t="str">
            <v>IQ26320831</v>
          </cell>
        </row>
        <row r="3376">
          <cell r="MH3376" t="str">
            <v>IQ313995836</v>
          </cell>
        </row>
        <row r="3377">
          <cell r="MH3377" t="str">
            <v>IQ142576</v>
          </cell>
        </row>
        <row r="3378">
          <cell r="MH3378" t="str">
            <v>IQ44731452</v>
          </cell>
        </row>
        <row r="3379">
          <cell r="MH3379" t="str">
            <v>IQ22105666</v>
          </cell>
        </row>
        <row r="3380">
          <cell r="MH3380" t="str">
            <v>IQ49684382</v>
          </cell>
        </row>
        <row r="3381">
          <cell r="MH3381" t="str">
            <v>IQ47606606</v>
          </cell>
        </row>
        <row r="3382">
          <cell r="MH3382" t="str">
            <v>IQ26914824</v>
          </cell>
        </row>
        <row r="3383">
          <cell r="MH3383" t="str">
            <v>IQ31017791</v>
          </cell>
        </row>
        <row r="3384">
          <cell r="MH3384" t="str">
            <v>IQ236645110</v>
          </cell>
        </row>
        <row r="3385">
          <cell r="MH3385" t="str">
            <v>IQ1440863</v>
          </cell>
        </row>
        <row r="3386">
          <cell r="MH3386" t="str">
            <v>IQ27085737</v>
          </cell>
        </row>
        <row r="3387">
          <cell r="MH3387" t="str">
            <v>IQ27484366</v>
          </cell>
        </row>
        <row r="3388">
          <cell r="MH3388" t="str">
            <v>IQ27146590</v>
          </cell>
        </row>
        <row r="3389">
          <cell r="MH3389" t="str">
            <v>IQ43923807</v>
          </cell>
        </row>
        <row r="3390">
          <cell r="MH3390" t="str">
            <v>IQ4460138</v>
          </cell>
        </row>
        <row r="3391">
          <cell r="MH3391" t="str">
            <v>IQ46565635</v>
          </cell>
        </row>
        <row r="3392">
          <cell r="MH3392" t="str">
            <v>IQ128536989</v>
          </cell>
        </row>
        <row r="3393">
          <cell r="MH3393" t="str">
            <v>IQ35674513</v>
          </cell>
        </row>
        <row r="3394">
          <cell r="MH3394" t="str">
            <v>IQ61767933</v>
          </cell>
        </row>
        <row r="3395">
          <cell r="MH3395" t="str">
            <v>IQ27061328</v>
          </cell>
        </row>
        <row r="3396">
          <cell r="MH3396" t="str">
            <v>IQ256488932</v>
          </cell>
        </row>
        <row r="3397">
          <cell r="MH3397" t="str">
            <v>IQ13064298</v>
          </cell>
        </row>
        <row r="3398">
          <cell r="MH3398" t="str">
            <v>IQ113895583</v>
          </cell>
        </row>
        <row r="3399">
          <cell r="MH3399" t="str">
            <v>IQ109223156</v>
          </cell>
        </row>
        <row r="3400">
          <cell r="MH3400" t="str">
            <v>IQ171043238</v>
          </cell>
        </row>
        <row r="3401">
          <cell r="MH3401" t="str">
            <v>IQ27936379</v>
          </cell>
        </row>
        <row r="3402">
          <cell r="MH3402" t="str">
            <v>IQ23697651</v>
          </cell>
        </row>
        <row r="3403">
          <cell r="MH3403" t="str">
            <v>IQ146305289</v>
          </cell>
        </row>
        <row r="3404">
          <cell r="MH3404" t="str">
            <v>IQ54137637</v>
          </cell>
        </row>
        <row r="3405">
          <cell r="MH3405" t="str">
            <v>IQ5482775</v>
          </cell>
        </row>
        <row r="3406">
          <cell r="MH3406" t="str">
            <v>IQ41383330</v>
          </cell>
        </row>
        <row r="3407">
          <cell r="MH3407" t="str">
            <v>IQ84543281</v>
          </cell>
        </row>
        <row r="3408">
          <cell r="MH3408" t="str">
            <v>IQ874353</v>
          </cell>
        </row>
        <row r="3409">
          <cell r="MH3409" t="str">
            <v>IQ132367792</v>
          </cell>
        </row>
        <row r="3410">
          <cell r="MH3410" t="str">
            <v>IQ34391878</v>
          </cell>
        </row>
        <row r="3411">
          <cell r="MH3411" t="str">
            <v>IQ216737157</v>
          </cell>
        </row>
        <row r="3412">
          <cell r="MH3412" t="str">
            <v>IQ6431730</v>
          </cell>
        </row>
        <row r="3413">
          <cell r="MH3413" t="str">
            <v>IQ128180928</v>
          </cell>
        </row>
        <row r="3414">
          <cell r="MH3414" t="str">
            <v>IQ24047328</v>
          </cell>
        </row>
        <row r="3415">
          <cell r="MH3415" t="str">
            <v>IQ53062697</v>
          </cell>
        </row>
        <row r="3416">
          <cell r="MH3416" t="str">
            <v>IQ3534980</v>
          </cell>
        </row>
        <row r="3417">
          <cell r="MH3417" t="str">
            <v>IQ23645918</v>
          </cell>
        </row>
        <row r="3418">
          <cell r="MH3418" t="str">
            <v>IQ41542072</v>
          </cell>
        </row>
        <row r="3419">
          <cell r="MH3419" t="str">
            <v>IQ23585737</v>
          </cell>
        </row>
        <row r="3420">
          <cell r="MH3420" t="str">
            <v>IQ23891912</v>
          </cell>
        </row>
        <row r="3421">
          <cell r="MH3421" t="str">
            <v>IQ23957623</v>
          </cell>
        </row>
        <row r="3422">
          <cell r="MH3422" t="str">
            <v>IQ687140</v>
          </cell>
        </row>
        <row r="3423">
          <cell r="MH3423" t="str">
            <v>IQ13314014</v>
          </cell>
        </row>
        <row r="3424">
          <cell r="MH3424" t="str">
            <v>IQ41286689</v>
          </cell>
        </row>
        <row r="3425">
          <cell r="MH3425" t="str">
            <v>IQ260920769</v>
          </cell>
        </row>
        <row r="3426">
          <cell r="MH3426" t="str">
            <v>IQ877572</v>
          </cell>
        </row>
        <row r="3427">
          <cell r="MH3427" t="str">
            <v>IQ231869583</v>
          </cell>
        </row>
        <row r="3428">
          <cell r="MH3428" t="str">
            <v>IQ4663360</v>
          </cell>
        </row>
        <row r="3429">
          <cell r="MH3429" t="str">
            <v>IQ23462429</v>
          </cell>
        </row>
        <row r="3430">
          <cell r="MH3430" t="str">
            <v>IQ3023697</v>
          </cell>
        </row>
        <row r="3431">
          <cell r="MH3431" t="str">
            <v>IQ42080659</v>
          </cell>
        </row>
        <row r="3432">
          <cell r="MH3432" t="str">
            <v>IQ22685735</v>
          </cell>
        </row>
        <row r="3433">
          <cell r="MH3433" t="str">
            <v>IQ8926705</v>
          </cell>
        </row>
        <row r="3434">
          <cell r="MH3434" t="str">
            <v>IQ23897835</v>
          </cell>
        </row>
        <row r="3435">
          <cell r="MH3435" t="str">
            <v>IQ53062673</v>
          </cell>
        </row>
        <row r="3436">
          <cell r="MH3436" t="str">
            <v>IQ35699773</v>
          </cell>
        </row>
        <row r="3437">
          <cell r="MH3437" t="str">
            <v>IQ1535487</v>
          </cell>
        </row>
        <row r="3438">
          <cell r="MH3438" t="str">
            <v>IQ1525398</v>
          </cell>
        </row>
        <row r="3439">
          <cell r="MH3439" t="str">
            <v>IQ26880407</v>
          </cell>
        </row>
        <row r="3440">
          <cell r="MH3440" t="str">
            <v>IQ35538678</v>
          </cell>
        </row>
        <row r="3441">
          <cell r="MH3441" t="str">
            <v>IQ24687621</v>
          </cell>
        </row>
        <row r="3442">
          <cell r="MH3442" t="str">
            <v>IQ24022385</v>
          </cell>
        </row>
        <row r="3443">
          <cell r="MH3443" t="str">
            <v>IQ9376137</v>
          </cell>
        </row>
        <row r="3444">
          <cell r="MH3444" t="str">
            <v>IQ35103664</v>
          </cell>
        </row>
        <row r="3445">
          <cell r="MH3445" t="str">
            <v>IQ59289629</v>
          </cell>
        </row>
        <row r="3446">
          <cell r="MH3446" t="str">
            <v>IQ127040166</v>
          </cell>
        </row>
        <row r="3447">
          <cell r="MH3447" t="str">
            <v>IQ551289329</v>
          </cell>
        </row>
        <row r="3448">
          <cell r="MH3448" t="str">
            <v>IQ216421305</v>
          </cell>
        </row>
        <row r="3449">
          <cell r="MH3449" t="str">
            <v>IQ5302812</v>
          </cell>
        </row>
        <row r="3450">
          <cell r="MH3450" t="str">
            <v>IQ21059045</v>
          </cell>
        </row>
        <row r="3451">
          <cell r="MH3451" t="str">
            <v>IQ143774130</v>
          </cell>
        </row>
        <row r="3452">
          <cell r="MH3452" t="str">
            <v>IQ97262747</v>
          </cell>
        </row>
        <row r="3453">
          <cell r="MH3453" t="str">
            <v>IQ11611042</v>
          </cell>
        </row>
        <row r="3454">
          <cell r="MH3454" t="str">
            <v>IQ1445023</v>
          </cell>
        </row>
        <row r="3455">
          <cell r="MH3455" t="str">
            <v>IQ50170268</v>
          </cell>
        </row>
        <row r="3456">
          <cell r="MH3456" t="str">
            <v>IQ54665448</v>
          </cell>
        </row>
        <row r="3457">
          <cell r="MH3457" t="str">
            <v>IQ20990128</v>
          </cell>
        </row>
        <row r="3458">
          <cell r="MH3458" t="str">
            <v>IQ22024634</v>
          </cell>
        </row>
        <row r="3459">
          <cell r="MH3459" t="str">
            <v>IQ242316736</v>
          </cell>
        </row>
        <row r="3460">
          <cell r="MH3460" t="str">
            <v>IQ24378269</v>
          </cell>
        </row>
        <row r="3461">
          <cell r="MH3461" t="str">
            <v>IQ35747338</v>
          </cell>
        </row>
        <row r="3462">
          <cell r="MH3462" t="str">
            <v>IQ24657504</v>
          </cell>
        </row>
        <row r="3463">
          <cell r="MH3463" t="str">
            <v>IQ27128392</v>
          </cell>
        </row>
        <row r="3464">
          <cell r="MH3464" t="str">
            <v>IQ243812979</v>
          </cell>
        </row>
        <row r="3465">
          <cell r="MH3465" t="str">
            <v>IQ114826355</v>
          </cell>
        </row>
        <row r="3466">
          <cell r="MH3466" t="str">
            <v>IQ143543648</v>
          </cell>
        </row>
        <row r="3467">
          <cell r="MH3467" t="str">
            <v>IQ4497043</v>
          </cell>
        </row>
        <row r="3468">
          <cell r="MH3468" t="str">
            <v>IQ26736065</v>
          </cell>
        </row>
        <row r="3469">
          <cell r="MH3469" t="str">
            <v>IQ26750092</v>
          </cell>
        </row>
        <row r="3470">
          <cell r="MH3470" t="str">
            <v>IQ966290</v>
          </cell>
        </row>
        <row r="3471">
          <cell r="MH3471" t="str">
            <v>IQ5074237</v>
          </cell>
        </row>
        <row r="3472">
          <cell r="MH3472" t="str">
            <v>IQ8781430</v>
          </cell>
        </row>
        <row r="3473">
          <cell r="MH3473" t="str">
            <v>IQ4840931</v>
          </cell>
        </row>
        <row r="3474">
          <cell r="MH3474" t="str">
            <v>IQ23589499</v>
          </cell>
        </row>
        <row r="3475">
          <cell r="MH3475" t="str">
            <v>IQ8276992</v>
          </cell>
        </row>
        <row r="3476">
          <cell r="MH3476" t="str">
            <v>IQ41299510</v>
          </cell>
        </row>
        <row r="3477">
          <cell r="MH3477" t="str">
            <v>IQ11063887</v>
          </cell>
        </row>
        <row r="3478">
          <cell r="MH3478" t="str">
            <v>IQ36314777</v>
          </cell>
        </row>
        <row r="3479">
          <cell r="MH3479" t="str">
            <v>IQ24656903</v>
          </cell>
        </row>
        <row r="3480">
          <cell r="MH3480" t="str">
            <v>IQ228019239</v>
          </cell>
        </row>
        <row r="3481">
          <cell r="MH3481" t="str">
            <v>IQ51886071</v>
          </cell>
        </row>
        <row r="3482">
          <cell r="MH3482" t="str">
            <v>IQ24193648</v>
          </cell>
        </row>
        <row r="3483">
          <cell r="MH3483" t="str">
            <v>IQ22387164</v>
          </cell>
        </row>
        <row r="3484">
          <cell r="MH3484" t="str">
            <v>IQ217248406</v>
          </cell>
        </row>
        <row r="3485">
          <cell r="MH3485" t="str">
            <v>IQ238631146</v>
          </cell>
        </row>
        <row r="3486">
          <cell r="MH3486" t="str">
            <v>IQ35158516</v>
          </cell>
        </row>
        <row r="3487">
          <cell r="MH3487" t="str">
            <v>IQ30373849</v>
          </cell>
        </row>
        <row r="3488">
          <cell r="MH3488" t="str">
            <v>IQ45045500</v>
          </cell>
        </row>
        <row r="3489">
          <cell r="MH3489" t="str">
            <v>IQ27144127</v>
          </cell>
        </row>
        <row r="3490">
          <cell r="MH3490" t="str">
            <v>IQ32809667</v>
          </cell>
        </row>
        <row r="3491">
          <cell r="MH3491" t="str">
            <v>IQ239804810</v>
          </cell>
        </row>
        <row r="3492">
          <cell r="MH3492" t="str">
            <v>IQ30864124</v>
          </cell>
        </row>
        <row r="3493">
          <cell r="MH3493" t="str">
            <v>IQ30563068</v>
          </cell>
        </row>
        <row r="3494">
          <cell r="MH3494" t="str">
            <v>IQ214162556</v>
          </cell>
        </row>
        <row r="3495">
          <cell r="MH3495" t="str">
            <v>IQ32505830</v>
          </cell>
        </row>
        <row r="3496">
          <cell r="MH3496" t="str">
            <v>IQ6113986</v>
          </cell>
        </row>
        <row r="3497">
          <cell r="MH3497" t="str">
            <v>IQ54111802</v>
          </cell>
        </row>
        <row r="3498">
          <cell r="MH3498" t="str">
            <v>IQ13338391</v>
          </cell>
        </row>
        <row r="3499">
          <cell r="MH3499" t="str">
            <v>IQ31139570</v>
          </cell>
        </row>
        <row r="3500">
          <cell r="MH3500" t="str">
            <v>IQ33012276</v>
          </cell>
        </row>
        <row r="3501">
          <cell r="MH3501" t="str">
            <v>IQ4055528</v>
          </cell>
        </row>
        <row r="3502">
          <cell r="MH3502" t="str">
            <v>IQ139153871</v>
          </cell>
        </row>
        <row r="3503">
          <cell r="MH3503" t="str">
            <v>IQ26789973</v>
          </cell>
        </row>
        <row r="3504">
          <cell r="MH3504" t="str">
            <v>IQ27351764</v>
          </cell>
        </row>
        <row r="3505">
          <cell r="MH3505" t="str">
            <v>IQ27365226</v>
          </cell>
        </row>
        <row r="3506">
          <cell r="MH3506" t="str">
            <v>IQ30826552</v>
          </cell>
        </row>
        <row r="3507">
          <cell r="MH3507" t="str">
            <v>IQ23643178</v>
          </cell>
        </row>
        <row r="3508">
          <cell r="MH3508" t="str">
            <v>IQ33304008</v>
          </cell>
        </row>
        <row r="3509">
          <cell r="MH3509" t="str">
            <v>IQ46339673</v>
          </cell>
        </row>
        <row r="3510">
          <cell r="MH3510" t="str">
            <v>IQ23418484</v>
          </cell>
        </row>
        <row r="3511">
          <cell r="MH3511" t="str">
            <v>IQ170454439</v>
          </cell>
        </row>
        <row r="3512">
          <cell r="MH3512" t="str">
            <v>IQ241744325</v>
          </cell>
        </row>
        <row r="3513">
          <cell r="MH3513" t="str">
            <v>IQ137423276</v>
          </cell>
        </row>
        <row r="3514">
          <cell r="MH3514" t="str">
            <v>IQ60284395</v>
          </cell>
        </row>
        <row r="3515">
          <cell r="MH3515" t="str">
            <v>IQ3769965</v>
          </cell>
        </row>
        <row r="3516">
          <cell r="MH3516" t="str">
            <v>IQ2231317</v>
          </cell>
        </row>
        <row r="3517">
          <cell r="MH3517" t="str">
            <v>IQ225676358</v>
          </cell>
        </row>
        <row r="3518">
          <cell r="MH3518" t="str">
            <v>IQ54408082</v>
          </cell>
        </row>
        <row r="3519">
          <cell r="MH3519" t="str">
            <v>IQ33011785</v>
          </cell>
        </row>
        <row r="3520">
          <cell r="MH3520" t="str">
            <v>IQ34613551</v>
          </cell>
        </row>
        <row r="3521">
          <cell r="MH3521" t="str">
            <v>IQ22615851</v>
          </cell>
        </row>
        <row r="3522">
          <cell r="MH3522" t="str">
            <v>IQ59646551</v>
          </cell>
        </row>
        <row r="3523">
          <cell r="MH3523" t="str">
            <v>IQ41953057</v>
          </cell>
        </row>
        <row r="3524">
          <cell r="MH3524" t="str">
            <v>IQ27083059</v>
          </cell>
        </row>
        <row r="3525">
          <cell r="MH3525" t="str">
            <v>IQ42727434</v>
          </cell>
        </row>
        <row r="3526">
          <cell r="MH3526" t="str">
            <v>IQ23885659</v>
          </cell>
        </row>
        <row r="3527">
          <cell r="MH3527" t="str">
            <v>IQ41285765</v>
          </cell>
        </row>
        <row r="3528">
          <cell r="MH3528" t="str">
            <v>IQ33228383</v>
          </cell>
        </row>
        <row r="3529">
          <cell r="MH3529" t="str">
            <v>IQ227993348</v>
          </cell>
        </row>
        <row r="3530">
          <cell r="MH3530" t="str">
            <v>IQ34279417</v>
          </cell>
        </row>
        <row r="3531">
          <cell r="MH3531" t="str">
            <v>IQ23298096</v>
          </cell>
        </row>
        <row r="3532">
          <cell r="MH3532" t="str">
            <v>IQ109402155</v>
          </cell>
        </row>
        <row r="3533">
          <cell r="MH3533" t="str">
            <v>IQ26417247</v>
          </cell>
        </row>
        <row r="3534">
          <cell r="MH3534" t="str">
            <v>IQ33254923</v>
          </cell>
        </row>
        <row r="3535">
          <cell r="MH3535" t="str">
            <v>IQ131720682</v>
          </cell>
        </row>
        <row r="3536">
          <cell r="MH3536" t="str">
            <v>IQ206984741</v>
          </cell>
        </row>
        <row r="3537">
          <cell r="MH3537" t="str">
            <v>IQ226805705</v>
          </cell>
        </row>
        <row r="3538">
          <cell r="MH3538" t="str">
            <v>IQ22560473</v>
          </cell>
        </row>
        <row r="3539">
          <cell r="MH3539" t="str">
            <v>IQ11883619</v>
          </cell>
        </row>
        <row r="3540">
          <cell r="MH3540" t="str">
            <v>IQ1066428</v>
          </cell>
        </row>
        <row r="3541">
          <cell r="MH3541" t="str">
            <v>IQ23720826</v>
          </cell>
        </row>
        <row r="3542">
          <cell r="MH3542" t="str">
            <v>IQ281132649</v>
          </cell>
        </row>
        <row r="3543">
          <cell r="MH3543" t="str">
            <v>IQ44543402</v>
          </cell>
        </row>
        <row r="3544">
          <cell r="MH3544" t="str">
            <v>IQ6614019</v>
          </cell>
        </row>
        <row r="3545">
          <cell r="MH3545" t="str">
            <v>IQ45323949</v>
          </cell>
        </row>
        <row r="3546">
          <cell r="MH3546" t="str">
            <v>IQ4662879</v>
          </cell>
        </row>
        <row r="3547">
          <cell r="MH3547" t="str">
            <v>IQ42435079</v>
          </cell>
        </row>
        <row r="3548">
          <cell r="MH3548" t="str">
            <v>IQ27519669</v>
          </cell>
        </row>
        <row r="3549">
          <cell r="MH3549" t="str">
            <v>IQ1007690</v>
          </cell>
        </row>
        <row r="3550">
          <cell r="MH3550" t="str">
            <v>IQ26809352</v>
          </cell>
        </row>
        <row r="3551">
          <cell r="MH3551" t="str">
            <v>IQ20579506</v>
          </cell>
        </row>
        <row r="3552">
          <cell r="MH3552" t="str">
            <v>IQ98349964</v>
          </cell>
        </row>
        <row r="3553">
          <cell r="MH3553" t="str">
            <v>IQ140168424</v>
          </cell>
        </row>
        <row r="3554">
          <cell r="MH3554" t="str">
            <v>IQ25181509</v>
          </cell>
        </row>
        <row r="3555">
          <cell r="MH3555" t="str">
            <v>IQ237755751</v>
          </cell>
        </row>
        <row r="3556">
          <cell r="MH3556" t="str">
            <v>IQ23067943</v>
          </cell>
        </row>
        <row r="3557">
          <cell r="MH3557" t="str">
            <v>IQ663907501</v>
          </cell>
        </row>
        <row r="3558">
          <cell r="MH3558" t="str">
            <v>IQ5721382</v>
          </cell>
        </row>
        <row r="3559">
          <cell r="MH3559" t="str">
            <v>IQ27408965</v>
          </cell>
        </row>
        <row r="3560">
          <cell r="MH3560" t="str">
            <v>IQ6243703</v>
          </cell>
        </row>
        <row r="3561">
          <cell r="MH3561" t="str">
            <v>IQ4365556</v>
          </cell>
        </row>
        <row r="3562">
          <cell r="MH3562" t="str">
            <v>IQ3534764</v>
          </cell>
        </row>
        <row r="3563">
          <cell r="MH3563" t="str">
            <v>IQ9664077</v>
          </cell>
        </row>
        <row r="3564">
          <cell r="MH3564" t="str">
            <v>IQ13728094</v>
          </cell>
        </row>
        <row r="3565">
          <cell r="MH3565" t="str">
            <v>IQ47265457</v>
          </cell>
        </row>
        <row r="3566">
          <cell r="MH3566" t="str">
            <v>IQ26916994</v>
          </cell>
        </row>
        <row r="3567">
          <cell r="MH3567" t="str">
            <v>IQ24001602</v>
          </cell>
        </row>
        <row r="3568">
          <cell r="MH3568" t="str">
            <v>IQ30883959</v>
          </cell>
        </row>
        <row r="3569">
          <cell r="MH3569" t="str">
            <v>IQ22087939</v>
          </cell>
        </row>
        <row r="3570">
          <cell r="MH3570" t="str">
            <v>IQ9050971</v>
          </cell>
        </row>
        <row r="3571">
          <cell r="MH3571" t="str">
            <v>IQ875839</v>
          </cell>
        </row>
        <row r="3572">
          <cell r="MH3572" t="str">
            <v>IQ27083499</v>
          </cell>
        </row>
        <row r="3573">
          <cell r="MH3573" t="str">
            <v>IQ127756092</v>
          </cell>
        </row>
        <row r="3574">
          <cell r="MH3574" t="str">
            <v>IQ26762632</v>
          </cell>
        </row>
        <row r="3575">
          <cell r="MH3575" t="str">
            <v>IQ4548383</v>
          </cell>
        </row>
        <row r="3576">
          <cell r="MH3576" t="str">
            <v>IQ11910427</v>
          </cell>
        </row>
        <row r="3577">
          <cell r="MH3577" t="str">
            <v>IQ215578718</v>
          </cell>
        </row>
        <row r="3578">
          <cell r="MH3578" t="str">
            <v>IQ428367079</v>
          </cell>
        </row>
        <row r="3579">
          <cell r="MH3579" t="str">
            <v>IQ36569536</v>
          </cell>
        </row>
        <row r="3580">
          <cell r="MH3580" t="str">
            <v>IQ32749711</v>
          </cell>
        </row>
        <row r="3581">
          <cell r="MH3581" t="str">
            <v>IQ172000004</v>
          </cell>
        </row>
        <row r="3582">
          <cell r="MH3582" t="str">
            <v>IQ569871059</v>
          </cell>
        </row>
        <row r="3583">
          <cell r="MH3583" t="str">
            <v>IQ127035975</v>
          </cell>
        </row>
        <row r="3584">
          <cell r="MH3584" t="str">
            <v>IQ27144826</v>
          </cell>
        </row>
        <row r="3585">
          <cell r="MH3585" t="str">
            <v>IQ61538095</v>
          </cell>
        </row>
        <row r="3586">
          <cell r="MH3586" t="str">
            <v>IQ47848441</v>
          </cell>
        </row>
        <row r="3587">
          <cell r="MH3587" t="str">
            <v>IQ228794631</v>
          </cell>
        </row>
        <row r="3588">
          <cell r="MH3588" t="str">
            <v>IQ528541758</v>
          </cell>
        </row>
        <row r="3589">
          <cell r="MH3589" t="str">
            <v>IQ28804592</v>
          </cell>
        </row>
        <row r="3590">
          <cell r="MH3590" t="str">
            <v>IQ238129586</v>
          </cell>
        </row>
        <row r="3591">
          <cell r="MH3591" t="str">
            <v>IQ32872490</v>
          </cell>
        </row>
        <row r="3592">
          <cell r="MH3592" t="str">
            <v>IQ23515540</v>
          </cell>
        </row>
        <row r="3593">
          <cell r="MH3593" t="str">
            <v>IQ799794</v>
          </cell>
        </row>
        <row r="3594">
          <cell r="MH3594" t="str">
            <v>IQ42646176</v>
          </cell>
        </row>
        <row r="3595">
          <cell r="MH3595" t="str">
            <v>IQ49616912</v>
          </cell>
        </row>
        <row r="3596">
          <cell r="MH3596" t="str">
            <v>IQ32584507</v>
          </cell>
        </row>
        <row r="3597">
          <cell r="MH3597" t="str">
            <v>IQ26897251</v>
          </cell>
        </row>
        <row r="3598">
          <cell r="MH3598" t="str">
            <v>IQ53306153</v>
          </cell>
        </row>
        <row r="3599">
          <cell r="MH3599" t="str">
            <v>IQ8083964</v>
          </cell>
        </row>
        <row r="3600">
          <cell r="MH3600" t="str">
            <v>IQ41384612</v>
          </cell>
        </row>
        <row r="3601">
          <cell r="MH3601" t="str">
            <v>IQ27349378</v>
          </cell>
        </row>
        <row r="3602">
          <cell r="MH3602" t="str">
            <v>IQ20457585</v>
          </cell>
        </row>
        <row r="3603">
          <cell r="MH3603" t="str">
            <v>IQ52167402</v>
          </cell>
        </row>
        <row r="3604">
          <cell r="MH3604" t="str">
            <v>IQ98129179</v>
          </cell>
        </row>
        <row r="3605">
          <cell r="MH3605" t="str">
            <v>IQ26621013</v>
          </cell>
        </row>
        <row r="3606">
          <cell r="MH3606" t="str">
            <v>IQ36309344</v>
          </cell>
        </row>
        <row r="3607">
          <cell r="MH3607" t="str">
            <v>IQ11761481</v>
          </cell>
        </row>
        <row r="3608">
          <cell r="MH3608" t="str">
            <v>IQ4455507</v>
          </cell>
        </row>
        <row r="3609">
          <cell r="MH3609" t="str">
            <v>IQ24194377</v>
          </cell>
        </row>
        <row r="3610">
          <cell r="MH3610" t="str">
            <v>IQ4037152</v>
          </cell>
        </row>
        <row r="3611">
          <cell r="MH3611" t="str">
            <v>IQ133201335</v>
          </cell>
        </row>
        <row r="3612">
          <cell r="MH3612" t="str">
            <v>IQ48678351</v>
          </cell>
        </row>
        <row r="3613">
          <cell r="MH3613" t="str">
            <v>IQ31133349</v>
          </cell>
        </row>
        <row r="3614">
          <cell r="MH3614" t="str">
            <v>IQ31064572</v>
          </cell>
        </row>
        <row r="3615">
          <cell r="MH3615" t="str">
            <v>IQ170158693</v>
          </cell>
        </row>
        <row r="3616">
          <cell r="MH3616" t="str">
            <v>IQ24493614</v>
          </cell>
        </row>
        <row r="3617">
          <cell r="MH3617" t="str">
            <v>IQ301989437</v>
          </cell>
        </row>
        <row r="3618">
          <cell r="MH3618" t="str">
            <v>IQ4561733</v>
          </cell>
        </row>
        <row r="3619">
          <cell r="MH3619" t="str">
            <v>IQ182054033</v>
          </cell>
        </row>
        <row r="3620">
          <cell r="MH3620" t="str">
            <v>IQ28627100</v>
          </cell>
        </row>
        <row r="3621">
          <cell r="MH3621" t="str">
            <v>IQ36769932</v>
          </cell>
        </row>
        <row r="3622">
          <cell r="MH3622" t="str">
            <v>IQ48714334</v>
          </cell>
        </row>
        <row r="3623">
          <cell r="MH3623" t="str">
            <v>IQ24423805</v>
          </cell>
        </row>
        <row r="3624">
          <cell r="MH3624" t="str">
            <v>IQ61145680</v>
          </cell>
        </row>
        <row r="3625">
          <cell r="MH3625" t="str">
            <v>IQ35561254</v>
          </cell>
        </row>
        <row r="3626">
          <cell r="MH3626" t="str">
            <v>IQ34277482</v>
          </cell>
        </row>
        <row r="3627">
          <cell r="MH3627" t="str">
            <v>IQ26813559</v>
          </cell>
        </row>
        <row r="3628">
          <cell r="MH3628" t="str">
            <v>IQ49528152</v>
          </cell>
        </row>
        <row r="3629">
          <cell r="MH3629" t="str">
            <v>IQ37895900</v>
          </cell>
        </row>
        <row r="3630">
          <cell r="MH3630" t="str">
            <v>IQ24310869</v>
          </cell>
        </row>
        <row r="3631">
          <cell r="MH3631" t="str">
            <v>IQ22367025</v>
          </cell>
        </row>
        <row r="3632">
          <cell r="MH3632" t="str">
            <v>IQ23374626</v>
          </cell>
        </row>
        <row r="3633">
          <cell r="MH3633" t="str">
            <v>IQ61147633</v>
          </cell>
        </row>
        <row r="3634">
          <cell r="MH3634" t="str">
            <v>IQ27161918</v>
          </cell>
        </row>
        <row r="3635">
          <cell r="MH3635" t="str">
            <v>IQ22185344</v>
          </cell>
        </row>
        <row r="3636">
          <cell r="MH3636" t="str">
            <v>IQ43534674</v>
          </cell>
        </row>
        <row r="3637">
          <cell r="MH3637" t="str">
            <v>IQ23941044</v>
          </cell>
        </row>
        <row r="3638">
          <cell r="MH3638" t="str">
            <v>IQ27364006</v>
          </cell>
        </row>
        <row r="3639">
          <cell r="MH3639" t="str">
            <v>IQ43288923</v>
          </cell>
        </row>
        <row r="3640">
          <cell r="MH3640" t="str">
            <v>IQ24084426</v>
          </cell>
        </row>
        <row r="3641">
          <cell r="MH3641" t="str">
            <v>IQ111541500</v>
          </cell>
        </row>
        <row r="3642">
          <cell r="MH3642" t="str">
            <v>IQ98780895</v>
          </cell>
        </row>
        <row r="3643">
          <cell r="MH3643" t="str">
            <v>IQ23733161</v>
          </cell>
        </row>
        <row r="3644">
          <cell r="MH3644" t="str">
            <v>IQ26878200</v>
          </cell>
        </row>
        <row r="3645">
          <cell r="MH3645" t="str">
            <v>IQ33012177</v>
          </cell>
        </row>
        <row r="3646">
          <cell r="MH3646" t="str">
            <v>IQ310584</v>
          </cell>
        </row>
        <row r="3647">
          <cell r="MH3647" t="str">
            <v>IQ60049433</v>
          </cell>
        </row>
        <row r="3648">
          <cell r="MH3648" t="str">
            <v>IQ23756762</v>
          </cell>
        </row>
        <row r="3649">
          <cell r="MH3649" t="str">
            <v>IQ59569196</v>
          </cell>
        </row>
        <row r="3650">
          <cell r="MH3650" t="str">
            <v>IQ39412759</v>
          </cell>
        </row>
        <row r="3651">
          <cell r="MH3651" t="str">
            <v>IQ53302426</v>
          </cell>
        </row>
        <row r="3652">
          <cell r="MH3652" t="str">
            <v>IQ23776983</v>
          </cell>
        </row>
        <row r="3653">
          <cell r="MH3653" t="str">
            <v>IQ27527691</v>
          </cell>
        </row>
        <row r="3654">
          <cell r="MH3654" t="str">
            <v>IQ112562969</v>
          </cell>
        </row>
        <row r="3655">
          <cell r="MH3655" t="str">
            <v>IQ24224700</v>
          </cell>
        </row>
        <row r="3656">
          <cell r="MH3656" t="str">
            <v>IQ99994201</v>
          </cell>
        </row>
        <row r="3657">
          <cell r="MH3657" t="str">
            <v>IQ36661627</v>
          </cell>
        </row>
        <row r="3658">
          <cell r="MH3658" t="str">
            <v>IQ32490020</v>
          </cell>
        </row>
        <row r="3659">
          <cell r="MH3659" t="str">
            <v>IQ27081758</v>
          </cell>
        </row>
        <row r="3660">
          <cell r="MH3660" t="str">
            <v>IQ5389685</v>
          </cell>
        </row>
        <row r="3661">
          <cell r="MH3661" t="str">
            <v>IQ8221745</v>
          </cell>
        </row>
        <row r="3662">
          <cell r="MH3662" t="str">
            <v>IQ36312677</v>
          </cell>
        </row>
        <row r="3663">
          <cell r="MH3663" t="str">
            <v>IQ45563577</v>
          </cell>
        </row>
        <row r="3664">
          <cell r="MH3664" t="str">
            <v>IQ27479603</v>
          </cell>
        </row>
        <row r="3665">
          <cell r="MH3665" t="str">
            <v>IQ39508591</v>
          </cell>
        </row>
        <row r="3666">
          <cell r="MH3666" t="str">
            <v>IQ36665958</v>
          </cell>
        </row>
        <row r="3667">
          <cell r="MH3667" t="str">
            <v>IQ11868079</v>
          </cell>
        </row>
        <row r="3668">
          <cell r="MH3668" t="str">
            <v>IQ24247071</v>
          </cell>
        </row>
        <row r="3669">
          <cell r="MH3669" t="str">
            <v>IQ20763308</v>
          </cell>
        </row>
        <row r="3670">
          <cell r="MH3670" t="str">
            <v>IQ28718182</v>
          </cell>
        </row>
        <row r="3671">
          <cell r="MH3671" t="str">
            <v>IQ59526045</v>
          </cell>
        </row>
        <row r="3672">
          <cell r="MH3672" t="str">
            <v>IQ52291642</v>
          </cell>
        </row>
        <row r="3673">
          <cell r="MH3673" t="str">
            <v>IQ8819497</v>
          </cell>
        </row>
        <row r="3674">
          <cell r="MH3674" t="str">
            <v>IQ3533874</v>
          </cell>
        </row>
        <row r="3675">
          <cell r="MH3675" t="str">
            <v>IQ1501629</v>
          </cell>
        </row>
        <row r="3676">
          <cell r="MH3676" t="str">
            <v>IQ141880064</v>
          </cell>
        </row>
        <row r="3677">
          <cell r="MH3677" t="str">
            <v>IQ51627713</v>
          </cell>
        </row>
        <row r="3678">
          <cell r="MH3678" t="str">
            <v>IQ253730</v>
          </cell>
        </row>
        <row r="3679">
          <cell r="MH3679" t="str">
            <v>IQ1598673</v>
          </cell>
        </row>
        <row r="3680">
          <cell r="MH3680" t="str">
            <v>IQ231879111</v>
          </cell>
        </row>
        <row r="3681">
          <cell r="MH3681" t="str">
            <v>IQ51949716</v>
          </cell>
        </row>
        <row r="3682">
          <cell r="MH3682" t="str">
            <v>IQ229004415</v>
          </cell>
        </row>
        <row r="3683">
          <cell r="MH3683" t="str">
            <v>IQ8687133</v>
          </cell>
        </row>
        <row r="3684">
          <cell r="MH3684" t="str">
            <v>IQ8591844</v>
          </cell>
        </row>
        <row r="3685">
          <cell r="MH3685" t="str">
            <v>IQ24179155</v>
          </cell>
        </row>
        <row r="3686">
          <cell r="MH3686" t="str">
            <v>IQ35131011</v>
          </cell>
        </row>
        <row r="3687">
          <cell r="MH3687" t="str">
            <v>IQ20584316</v>
          </cell>
        </row>
        <row r="3688">
          <cell r="MH3688" t="str">
            <v>IQ23899148</v>
          </cell>
        </row>
        <row r="3689">
          <cell r="MH3689" t="str">
            <v>IQ394470</v>
          </cell>
        </row>
        <row r="3690">
          <cell r="MH3690" t="str">
            <v>IQ22340090</v>
          </cell>
        </row>
        <row r="3691">
          <cell r="MH3691" t="str">
            <v>IQ34037451</v>
          </cell>
        </row>
        <row r="3692">
          <cell r="MH3692" t="str">
            <v>IQ61454134</v>
          </cell>
        </row>
        <row r="3693">
          <cell r="MH3693" t="str">
            <v>IQ133543697</v>
          </cell>
        </row>
        <row r="3694">
          <cell r="MH3694" t="str">
            <v>IQ35559299</v>
          </cell>
        </row>
        <row r="3695">
          <cell r="MH3695" t="str">
            <v>IQ79291491</v>
          </cell>
        </row>
        <row r="3696">
          <cell r="MH3696" t="str">
            <v>IQ111883862</v>
          </cell>
        </row>
        <row r="3697">
          <cell r="MH3697" t="str">
            <v>IQ34118472</v>
          </cell>
        </row>
        <row r="3698">
          <cell r="MH3698" t="str">
            <v>IQ973261</v>
          </cell>
        </row>
        <row r="3699">
          <cell r="MH3699" t="str">
            <v>IQ21805118</v>
          </cell>
        </row>
        <row r="3700">
          <cell r="MH3700" t="str">
            <v>IQ133554847</v>
          </cell>
        </row>
        <row r="3701">
          <cell r="MH3701" t="str">
            <v>IQ26146044</v>
          </cell>
        </row>
        <row r="3702">
          <cell r="MH3702" t="str">
            <v>IQ85151146</v>
          </cell>
        </row>
        <row r="3703">
          <cell r="MH3703" t="str">
            <v>IQ225134072</v>
          </cell>
        </row>
        <row r="3704">
          <cell r="MH3704" t="str">
            <v>IQ35158694</v>
          </cell>
        </row>
        <row r="3705">
          <cell r="MH3705" t="str">
            <v>IQ48971740</v>
          </cell>
        </row>
        <row r="3706">
          <cell r="MH3706" t="str">
            <v>IQ79597459</v>
          </cell>
        </row>
        <row r="3707">
          <cell r="MH3707" t="str">
            <v>IQ215829774</v>
          </cell>
        </row>
        <row r="3708">
          <cell r="MH3708" t="str">
            <v>IQ46877116</v>
          </cell>
        </row>
        <row r="3709">
          <cell r="MH3709" t="str">
            <v>IQ33011679</v>
          </cell>
        </row>
        <row r="3710">
          <cell r="MH3710" t="str">
            <v>IQ38304739</v>
          </cell>
        </row>
        <row r="3711">
          <cell r="MH3711" t="str">
            <v>IQ27484213</v>
          </cell>
        </row>
        <row r="3712">
          <cell r="MH3712" t="str">
            <v>IQ206401008</v>
          </cell>
        </row>
        <row r="3713">
          <cell r="MH3713" t="str">
            <v>IQ23856257</v>
          </cell>
        </row>
        <row r="3714">
          <cell r="MH3714" t="str">
            <v>IQ236719763</v>
          </cell>
        </row>
        <row r="3715">
          <cell r="MH3715" t="str">
            <v>IQ228841016</v>
          </cell>
        </row>
        <row r="3716">
          <cell r="MH3716" t="str">
            <v>IQ34397891</v>
          </cell>
        </row>
        <row r="3717">
          <cell r="MH3717" t="str">
            <v>IQ45112450</v>
          </cell>
        </row>
        <row r="3718">
          <cell r="MH3718" t="str">
            <v>IQ23219</v>
          </cell>
        </row>
        <row r="3719">
          <cell r="MH3719" t="str">
            <v>IQ30764509</v>
          </cell>
        </row>
        <row r="3720">
          <cell r="MH3720" t="str">
            <v>IQ62593747</v>
          </cell>
        </row>
        <row r="3721">
          <cell r="MH3721" t="str">
            <v>IQ52137277</v>
          </cell>
        </row>
        <row r="3722">
          <cell r="MH3722" t="str">
            <v>IQ26875796</v>
          </cell>
        </row>
        <row r="3723">
          <cell r="MH3723" t="str">
            <v>IQ22838945</v>
          </cell>
        </row>
        <row r="3724">
          <cell r="MH3724" t="str">
            <v>IQ35226937</v>
          </cell>
        </row>
        <row r="3725">
          <cell r="MH3725" t="str">
            <v>IQ32339983</v>
          </cell>
        </row>
        <row r="3726">
          <cell r="MH3726" t="str">
            <v>IQ20869</v>
          </cell>
        </row>
        <row r="3727">
          <cell r="MH3727" t="str">
            <v>IQ98128684</v>
          </cell>
        </row>
        <row r="3728">
          <cell r="MH3728" t="str">
            <v>IQ11706464</v>
          </cell>
        </row>
        <row r="3729">
          <cell r="MH3729" t="str">
            <v>IQ4663581</v>
          </cell>
        </row>
        <row r="3730">
          <cell r="MH3730" t="str">
            <v>IQ8248040</v>
          </cell>
        </row>
        <row r="3731">
          <cell r="MH3731" t="str">
            <v>IQ22930240</v>
          </cell>
        </row>
        <row r="3732">
          <cell r="MH3732" t="str">
            <v>IQ44539176</v>
          </cell>
        </row>
        <row r="3733">
          <cell r="MH3733" t="str">
            <v>IQ228439275</v>
          </cell>
        </row>
        <row r="3734">
          <cell r="MH3734" t="str">
            <v>IQ27146313</v>
          </cell>
        </row>
        <row r="3735">
          <cell r="MH3735" t="str">
            <v>IQ5092101</v>
          </cell>
        </row>
        <row r="3736">
          <cell r="MH3736" t="str">
            <v>IQ3176016</v>
          </cell>
        </row>
        <row r="3737">
          <cell r="MH3737" t="str">
            <v>IQ62079065</v>
          </cell>
        </row>
        <row r="3738">
          <cell r="MH3738" t="str">
            <v>IQ36475762</v>
          </cell>
        </row>
        <row r="3739">
          <cell r="MH3739" t="str">
            <v>IQ112216725</v>
          </cell>
        </row>
        <row r="3740">
          <cell r="MH3740" t="str">
            <v>IQ27146306</v>
          </cell>
        </row>
        <row r="3741">
          <cell r="MH3741" t="str">
            <v>IQ13597456</v>
          </cell>
        </row>
        <row r="3742">
          <cell r="MH3742" t="str">
            <v>IQ1056747</v>
          </cell>
        </row>
        <row r="3743">
          <cell r="MH3743" t="str">
            <v>IQ26761673</v>
          </cell>
        </row>
        <row r="3744">
          <cell r="MH3744" t="str">
            <v>IQ27146524</v>
          </cell>
        </row>
        <row r="3745">
          <cell r="MH3745" t="str">
            <v>IQ27083358</v>
          </cell>
        </row>
        <row r="3746">
          <cell r="MH3746" t="str">
            <v>IQ242689526</v>
          </cell>
        </row>
        <row r="3747">
          <cell r="MH3747" t="str">
            <v>IQ49060988</v>
          </cell>
        </row>
        <row r="3748">
          <cell r="MH3748" t="str">
            <v>IQ37413007</v>
          </cell>
        </row>
        <row r="3749">
          <cell r="MH3749" t="str">
            <v>IQ35197696</v>
          </cell>
        </row>
        <row r="3750">
          <cell r="MH3750" t="str">
            <v>IQ630641</v>
          </cell>
        </row>
        <row r="3751">
          <cell r="MH3751" t="str">
            <v>IQ2569467</v>
          </cell>
        </row>
        <row r="3752">
          <cell r="MH3752" t="str">
            <v>IQ27936381</v>
          </cell>
        </row>
        <row r="3753">
          <cell r="MH3753" t="str">
            <v>IQ11296293</v>
          </cell>
        </row>
        <row r="3754">
          <cell r="MH3754" t="str">
            <v>IQ1911378</v>
          </cell>
        </row>
        <row r="3755">
          <cell r="MH3755" t="str">
            <v>IQ108336271</v>
          </cell>
        </row>
        <row r="3756">
          <cell r="MH3756" t="str">
            <v>IQ140160141</v>
          </cell>
        </row>
        <row r="3757">
          <cell r="MH3757" t="str">
            <v>IQ49415517</v>
          </cell>
        </row>
        <row r="3758">
          <cell r="MH3758" t="str">
            <v>IQ49330483</v>
          </cell>
        </row>
        <row r="3759">
          <cell r="MH3759" t="str">
            <v>IQ5503065</v>
          </cell>
        </row>
        <row r="3760">
          <cell r="MH3760" t="str">
            <v>IQ83532423</v>
          </cell>
        </row>
        <row r="3761">
          <cell r="MH3761" t="str">
            <v>IQ24561078</v>
          </cell>
        </row>
        <row r="3762">
          <cell r="MH3762" t="str">
            <v>IQ26220398</v>
          </cell>
        </row>
        <row r="3763">
          <cell r="MH3763" t="str">
            <v>IQ41389079</v>
          </cell>
        </row>
        <row r="3764">
          <cell r="MH3764" t="str">
            <v>IQ160366543</v>
          </cell>
        </row>
        <row r="3765">
          <cell r="MH3765" t="str">
            <v>IQ41131420</v>
          </cell>
        </row>
        <row r="3766">
          <cell r="MH3766" t="str">
            <v>IQ27530343</v>
          </cell>
        </row>
        <row r="3767">
          <cell r="MH3767" t="str">
            <v>IQ51628019</v>
          </cell>
        </row>
        <row r="3768">
          <cell r="MH3768" t="str">
            <v>IQ52092487</v>
          </cell>
        </row>
        <row r="3769">
          <cell r="MH3769" t="str">
            <v>IQ26841467</v>
          </cell>
        </row>
        <row r="3770">
          <cell r="MH3770" t="str">
            <v>IQ128686014</v>
          </cell>
        </row>
        <row r="3771">
          <cell r="MH3771" t="str">
            <v>IQ23646216</v>
          </cell>
        </row>
        <row r="3772">
          <cell r="MH3772" t="str">
            <v>IQ229119127</v>
          </cell>
        </row>
        <row r="3773">
          <cell r="MH3773" t="str">
            <v>IQ6480203</v>
          </cell>
        </row>
        <row r="3774">
          <cell r="MH3774" t="str">
            <v>IQ9265800</v>
          </cell>
        </row>
        <row r="3775">
          <cell r="MH3775" t="str">
            <v>IQ98350465</v>
          </cell>
        </row>
        <row r="3776">
          <cell r="MH3776" t="str">
            <v>IQ21833274</v>
          </cell>
        </row>
        <row r="3777">
          <cell r="MH3777" t="str">
            <v>IQ27287554</v>
          </cell>
        </row>
        <row r="3778">
          <cell r="MH3778" t="str">
            <v>IQ365102504</v>
          </cell>
        </row>
        <row r="3779">
          <cell r="MH3779" t="str">
            <v>IQ109403848</v>
          </cell>
        </row>
        <row r="3780">
          <cell r="MH3780" t="str">
            <v>IQ269764</v>
          </cell>
        </row>
        <row r="3781">
          <cell r="MH3781" t="str">
            <v>IQ44678409</v>
          </cell>
        </row>
        <row r="3782">
          <cell r="MH3782" t="str">
            <v>IQ4564430</v>
          </cell>
        </row>
        <row r="3783">
          <cell r="MH3783" t="str">
            <v>IQ10289877</v>
          </cell>
        </row>
        <row r="3784">
          <cell r="MH3784" t="str">
            <v>IQ139072875</v>
          </cell>
        </row>
        <row r="3785">
          <cell r="MH3785" t="str">
            <v>IQ29764942</v>
          </cell>
        </row>
        <row r="3786">
          <cell r="MH3786" t="str">
            <v>IQ9683968</v>
          </cell>
        </row>
        <row r="3787">
          <cell r="MH3787" t="str">
            <v>IQ24404794</v>
          </cell>
        </row>
        <row r="3788">
          <cell r="MH3788" t="str">
            <v>IQ23872946</v>
          </cell>
        </row>
        <row r="3789">
          <cell r="MH3789" t="str">
            <v>IQ530030662</v>
          </cell>
        </row>
        <row r="3790">
          <cell r="MH3790" t="str">
            <v>IQ24225317</v>
          </cell>
        </row>
        <row r="3791">
          <cell r="MH3791" t="str">
            <v>IQ2067913</v>
          </cell>
        </row>
        <row r="3792">
          <cell r="MH3792" t="str">
            <v>IQ2762060</v>
          </cell>
        </row>
        <row r="3793">
          <cell r="MH3793" t="str">
            <v>IQ30645466</v>
          </cell>
        </row>
        <row r="3794">
          <cell r="MH3794" t="str">
            <v>IQ9559786</v>
          </cell>
        </row>
        <row r="3795">
          <cell r="MH3795" t="str">
            <v>IQ52987123</v>
          </cell>
        </row>
        <row r="3796">
          <cell r="MH3796" t="str">
            <v>IQ7283476</v>
          </cell>
        </row>
        <row r="3797">
          <cell r="MH3797" t="str">
            <v>IQ111540911</v>
          </cell>
        </row>
        <row r="3798">
          <cell r="MH3798" t="str">
            <v>IQ4849943</v>
          </cell>
        </row>
        <row r="3799">
          <cell r="MH3799" t="str">
            <v>IQ30685981</v>
          </cell>
        </row>
        <row r="3800">
          <cell r="MH3800" t="str">
            <v>IQ58212783</v>
          </cell>
        </row>
        <row r="3801">
          <cell r="MH3801" t="str">
            <v>IQ111537225</v>
          </cell>
        </row>
        <row r="3802">
          <cell r="MH3802" t="str">
            <v>IQ27145842</v>
          </cell>
        </row>
        <row r="3803">
          <cell r="MH3803" t="str">
            <v>IQ100851044</v>
          </cell>
        </row>
        <row r="3804">
          <cell r="MH3804" t="str">
            <v>IQ35485128</v>
          </cell>
        </row>
        <row r="3805">
          <cell r="MH3805" t="str">
            <v>IQ31160098</v>
          </cell>
        </row>
        <row r="3806">
          <cell r="MH3806" t="str">
            <v>IQ79723244</v>
          </cell>
        </row>
        <row r="3807">
          <cell r="MH3807" t="str">
            <v>IQ51827669</v>
          </cell>
        </row>
        <row r="3808">
          <cell r="MH3808" t="str">
            <v>IQ36567718</v>
          </cell>
        </row>
        <row r="3809">
          <cell r="MH3809" t="str">
            <v>IQ26688524</v>
          </cell>
        </row>
        <row r="3810">
          <cell r="MH3810" t="str">
            <v>IQ23420293</v>
          </cell>
        </row>
        <row r="3811">
          <cell r="MH3811" t="str">
            <v>IQ3716379</v>
          </cell>
        </row>
        <row r="3812">
          <cell r="MH3812" t="str">
            <v>IQ52709503</v>
          </cell>
        </row>
        <row r="3813">
          <cell r="MH3813" t="str">
            <v>IQ27628507</v>
          </cell>
        </row>
        <row r="3814">
          <cell r="MH3814" t="str">
            <v>IQ27487430</v>
          </cell>
        </row>
        <row r="3815">
          <cell r="MH3815" t="str">
            <v>IQ264392061</v>
          </cell>
        </row>
        <row r="3816">
          <cell r="MH3816" t="str">
            <v>IQ102170</v>
          </cell>
        </row>
        <row r="3817">
          <cell r="MH3817" t="str">
            <v>IQ26841606</v>
          </cell>
        </row>
        <row r="3818">
          <cell r="MH3818" t="str">
            <v>IQ51591634</v>
          </cell>
        </row>
        <row r="3819">
          <cell r="MH3819" t="str">
            <v>IQ51661329</v>
          </cell>
        </row>
        <row r="3820">
          <cell r="MH3820" t="str">
            <v>IQ127455545</v>
          </cell>
        </row>
        <row r="3821">
          <cell r="MH3821" t="str">
            <v>IQ4755027</v>
          </cell>
        </row>
        <row r="3822">
          <cell r="MH3822" t="str">
            <v>IQ37213619</v>
          </cell>
        </row>
        <row r="3823">
          <cell r="MH3823" t="str">
            <v>IQ21863226</v>
          </cell>
        </row>
        <row r="3824">
          <cell r="MH3824" t="str">
            <v>IQ51311596</v>
          </cell>
        </row>
        <row r="3825">
          <cell r="MH3825" t="str">
            <v>IQ26914695</v>
          </cell>
        </row>
        <row r="3826">
          <cell r="MH3826" t="str">
            <v>IQ61540036</v>
          </cell>
        </row>
        <row r="3827">
          <cell r="MH3827" t="str">
            <v>IQ6441114</v>
          </cell>
        </row>
        <row r="3828">
          <cell r="MH3828" t="str">
            <v>IQ1002513</v>
          </cell>
        </row>
        <row r="3829">
          <cell r="MH3829" t="str">
            <v>IQ23721123</v>
          </cell>
        </row>
        <row r="3830">
          <cell r="MH3830" t="str">
            <v>IQ33739924</v>
          </cell>
        </row>
        <row r="3831">
          <cell r="MH3831" t="str">
            <v>IQ24468825</v>
          </cell>
        </row>
        <row r="3832">
          <cell r="MH3832" t="str">
            <v>IQ49441245</v>
          </cell>
        </row>
        <row r="3833">
          <cell r="MH3833" t="str">
            <v>IQ3533223</v>
          </cell>
        </row>
        <row r="3834">
          <cell r="MH3834" t="str">
            <v>IQ45036855</v>
          </cell>
        </row>
        <row r="3835">
          <cell r="MH3835" t="str">
            <v>IQ320105</v>
          </cell>
        </row>
        <row r="3836">
          <cell r="MH3836" t="str">
            <v>IQ31093860</v>
          </cell>
        </row>
        <row r="3837">
          <cell r="MH3837" t="str">
            <v>IQ11343456</v>
          </cell>
        </row>
        <row r="3838">
          <cell r="MH3838" t="str">
            <v>IQ24867922</v>
          </cell>
        </row>
        <row r="3839">
          <cell r="MH3839" t="str">
            <v>IQ24702184</v>
          </cell>
        </row>
        <row r="3840">
          <cell r="MH3840" t="str">
            <v>IQ24586834</v>
          </cell>
        </row>
        <row r="3841">
          <cell r="MH3841" t="str">
            <v>IQ49186589</v>
          </cell>
        </row>
        <row r="3842">
          <cell r="MH3842" t="str">
            <v>IQ382649</v>
          </cell>
        </row>
        <row r="3843">
          <cell r="MH3843" t="str">
            <v>IQ140694036</v>
          </cell>
        </row>
        <row r="3844">
          <cell r="MH3844" t="str">
            <v>IQ2201685</v>
          </cell>
        </row>
        <row r="3845">
          <cell r="MH3845" t="str">
            <v>IQ11211451</v>
          </cell>
        </row>
        <row r="3846">
          <cell r="MH3846" t="str">
            <v>IQ27422917</v>
          </cell>
        </row>
        <row r="3847">
          <cell r="MH3847" t="str">
            <v>IQ46332524</v>
          </cell>
        </row>
        <row r="3848">
          <cell r="MH3848" t="str">
            <v>IQ127144497</v>
          </cell>
        </row>
        <row r="3849">
          <cell r="MH3849" t="str">
            <v>IQ27399417</v>
          </cell>
        </row>
        <row r="3850">
          <cell r="MH3850" t="str">
            <v>IQ23971580</v>
          </cell>
        </row>
        <row r="3851">
          <cell r="MH3851" t="str">
            <v>IQ4373921</v>
          </cell>
        </row>
        <row r="3852">
          <cell r="MH3852" t="str">
            <v>IQ24178559</v>
          </cell>
        </row>
        <row r="3853">
          <cell r="MH3853" t="str">
            <v>IQ10288669</v>
          </cell>
        </row>
        <row r="3854">
          <cell r="MH3854" t="str">
            <v>IQ27083968</v>
          </cell>
        </row>
        <row r="3855">
          <cell r="MH3855" t="str">
            <v>IQ7728485</v>
          </cell>
        </row>
        <row r="3856">
          <cell r="MH3856" t="str">
            <v>IQ60449490</v>
          </cell>
        </row>
        <row r="3857">
          <cell r="MH3857" t="str">
            <v>IQ8951991</v>
          </cell>
        </row>
        <row r="3858">
          <cell r="MH3858" t="str">
            <v>IQ35248888</v>
          </cell>
        </row>
        <row r="3859">
          <cell r="MH3859" t="str">
            <v>IQ140110536</v>
          </cell>
        </row>
        <row r="3860">
          <cell r="MH3860" t="str">
            <v>IQ46877555</v>
          </cell>
        </row>
        <row r="3861">
          <cell r="MH3861" t="str">
            <v>IQ26607533</v>
          </cell>
        </row>
        <row r="3862">
          <cell r="MH3862" t="str">
            <v>IQ26877964</v>
          </cell>
        </row>
        <row r="3863">
          <cell r="MH3863" t="str">
            <v>IQ59458379</v>
          </cell>
        </row>
        <row r="3864">
          <cell r="MH3864" t="str">
            <v>IQ34278600</v>
          </cell>
        </row>
        <row r="3865">
          <cell r="MH3865" t="str">
            <v>IQ4850729</v>
          </cell>
        </row>
        <row r="3866">
          <cell r="MH3866" t="str">
            <v>IQ99156185</v>
          </cell>
        </row>
        <row r="3867">
          <cell r="MH3867" t="str">
            <v>IQ248336515</v>
          </cell>
        </row>
        <row r="3868">
          <cell r="MH3868" t="str">
            <v>IQ27735029</v>
          </cell>
        </row>
        <row r="3869">
          <cell r="MH3869" t="str">
            <v>IQ25200416</v>
          </cell>
        </row>
        <row r="3870">
          <cell r="MH3870" t="str">
            <v>IQ22127748</v>
          </cell>
        </row>
        <row r="3871">
          <cell r="MH3871" t="str">
            <v>IQ23720940</v>
          </cell>
        </row>
        <row r="3872">
          <cell r="MH3872" t="str">
            <v>IQ262143837</v>
          </cell>
        </row>
        <row r="3873">
          <cell r="MH3873" t="str">
            <v>IQ182421833</v>
          </cell>
        </row>
        <row r="3874">
          <cell r="MH3874" t="str">
            <v>IQ31065158</v>
          </cell>
        </row>
        <row r="3875">
          <cell r="MH3875" t="str">
            <v>IQ4662676</v>
          </cell>
        </row>
        <row r="3876">
          <cell r="MH3876" t="str">
            <v>IQ6776116</v>
          </cell>
        </row>
        <row r="3877">
          <cell r="MH3877" t="str">
            <v>IQ4198117</v>
          </cell>
        </row>
        <row r="3878">
          <cell r="MH3878" t="str">
            <v>IQ23778493</v>
          </cell>
        </row>
        <row r="3879">
          <cell r="MH3879" t="str">
            <v>IQ3534971</v>
          </cell>
        </row>
        <row r="3880">
          <cell r="MH3880" t="str">
            <v>IQ45037045</v>
          </cell>
        </row>
        <row r="3881">
          <cell r="MH3881" t="str">
            <v>IQ48758934</v>
          </cell>
        </row>
        <row r="3882">
          <cell r="MH3882" t="str">
            <v>IQ4340596</v>
          </cell>
        </row>
        <row r="3883">
          <cell r="MH3883" t="str">
            <v>IQ38329501</v>
          </cell>
        </row>
        <row r="3884">
          <cell r="MH3884" t="str">
            <v>IQ11311615</v>
          </cell>
        </row>
        <row r="3885">
          <cell r="MH3885" t="str">
            <v>IQ4532992</v>
          </cell>
        </row>
        <row r="3886">
          <cell r="MH3886" t="str">
            <v>IQ4732703</v>
          </cell>
        </row>
        <row r="3887">
          <cell r="MH3887" t="str">
            <v>IQ30211715</v>
          </cell>
        </row>
        <row r="3888">
          <cell r="MH3888" t="str">
            <v>IQ50277994</v>
          </cell>
        </row>
        <row r="3889">
          <cell r="MH3889" t="str">
            <v>IQ38271450</v>
          </cell>
        </row>
        <row r="3890">
          <cell r="MH3890" t="str">
            <v>IQ32393252</v>
          </cell>
        </row>
        <row r="3891">
          <cell r="MH3891" t="str">
            <v>IQ899007</v>
          </cell>
        </row>
        <row r="3892">
          <cell r="MH3892" t="str">
            <v>IQ51044572</v>
          </cell>
        </row>
        <row r="3893">
          <cell r="MH3893" t="str">
            <v>IQ23734927</v>
          </cell>
        </row>
        <row r="3894">
          <cell r="MH3894" t="str">
            <v>IQ31017996</v>
          </cell>
        </row>
        <row r="3895">
          <cell r="MH3895" t="str">
            <v>IQ12870457</v>
          </cell>
        </row>
        <row r="3896">
          <cell r="MH3896" t="str">
            <v>IQ4579771</v>
          </cell>
        </row>
        <row r="3897">
          <cell r="MH3897" t="str">
            <v>IQ8744574</v>
          </cell>
        </row>
        <row r="3898">
          <cell r="MH3898" t="str">
            <v>IQ22187409</v>
          </cell>
        </row>
        <row r="3899">
          <cell r="MH3899" t="str">
            <v>IQ23899516</v>
          </cell>
        </row>
        <row r="3900">
          <cell r="MH3900" t="str">
            <v>IQ824967</v>
          </cell>
        </row>
        <row r="3901">
          <cell r="MH3901" t="str">
            <v>IQ23643805</v>
          </cell>
        </row>
        <row r="3902">
          <cell r="MH3902" t="str">
            <v>IQ23053110</v>
          </cell>
        </row>
        <row r="3903">
          <cell r="MH3903" t="str">
            <v>IQ31068083</v>
          </cell>
        </row>
        <row r="3904">
          <cell r="MH3904" t="str">
            <v>IQ30178756</v>
          </cell>
        </row>
        <row r="3905">
          <cell r="MH3905" t="str">
            <v>IQ13017033</v>
          </cell>
        </row>
        <row r="3906">
          <cell r="MH3906" t="str">
            <v>IQ20990246</v>
          </cell>
        </row>
        <row r="3907">
          <cell r="MH3907" t="str">
            <v>IQ9672981</v>
          </cell>
        </row>
        <row r="3908">
          <cell r="MH3908" t="str">
            <v>IQ84161233</v>
          </cell>
        </row>
        <row r="3909">
          <cell r="MH3909" t="str">
            <v>IQ1297374</v>
          </cell>
        </row>
        <row r="3910">
          <cell r="MH3910" t="str">
            <v>IQ311973087</v>
          </cell>
        </row>
        <row r="3911">
          <cell r="MH3911" t="str">
            <v>IQ701591</v>
          </cell>
        </row>
        <row r="3912">
          <cell r="MH3912" t="str">
            <v>IQ22341478</v>
          </cell>
        </row>
        <row r="3913">
          <cell r="MH3913" t="str">
            <v>IQ28730125</v>
          </cell>
        </row>
        <row r="3914">
          <cell r="MH3914" t="str">
            <v>IQ114358135</v>
          </cell>
        </row>
        <row r="3915">
          <cell r="MH3915" t="str">
            <v>IQ33836854</v>
          </cell>
        </row>
        <row r="3916">
          <cell r="MH3916" t="str">
            <v>IQ22244039</v>
          </cell>
        </row>
        <row r="3917">
          <cell r="MH3917" t="str">
            <v>IQ535713246</v>
          </cell>
        </row>
        <row r="3918">
          <cell r="MH3918" t="str">
            <v>IQ959836</v>
          </cell>
        </row>
        <row r="3919">
          <cell r="MH3919" t="str">
            <v>IQ35057004</v>
          </cell>
        </row>
        <row r="3920">
          <cell r="MH3920" t="str">
            <v>IQ754416</v>
          </cell>
        </row>
        <row r="3921">
          <cell r="MH3921" t="str">
            <v>IQ30834517</v>
          </cell>
        </row>
        <row r="3922">
          <cell r="MH3922" t="str">
            <v>IQ44464235</v>
          </cell>
        </row>
        <row r="3923">
          <cell r="MH3923" t="str">
            <v>IQ20507025</v>
          </cell>
        </row>
        <row r="3924">
          <cell r="MH3924" t="str">
            <v>IQ909539</v>
          </cell>
        </row>
        <row r="3925">
          <cell r="MH3925" t="str">
            <v>IQ35537854</v>
          </cell>
        </row>
        <row r="3926">
          <cell r="MH3926" t="str">
            <v>IQ27130299</v>
          </cell>
        </row>
        <row r="3927">
          <cell r="MH3927" t="str">
            <v>IQ27128519</v>
          </cell>
        </row>
        <row r="3928">
          <cell r="MH3928" t="str">
            <v>IQ23721402</v>
          </cell>
        </row>
        <row r="3929">
          <cell r="MH3929" t="str">
            <v>IQ874523</v>
          </cell>
        </row>
        <row r="3930">
          <cell r="MH3930" t="str">
            <v>IQ47767285</v>
          </cell>
        </row>
        <row r="3931">
          <cell r="MH3931" t="str">
            <v>IQ26812870</v>
          </cell>
        </row>
        <row r="3932">
          <cell r="MH3932" t="str">
            <v>IQ23958014</v>
          </cell>
        </row>
        <row r="3933">
          <cell r="MH3933" t="str">
            <v>IQ11187235</v>
          </cell>
        </row>
        <row r="3934">
          <cell r="MH3934" t="str">
            <v>IQ81836532</v>
          </cell>
        </row>
        <row r="3935">
          <cell r="MH3935" t="str">
            <v>IQ8751117</v>
          </cell>
        </row>
        <row r="3936">
          <cell r="MH3936" t="str">
            <v>IQ8237016</v>
          </cell>
        </row>
        <row r="3937">
          <cell r="MH3937" t="str">
            <v>IQ111391711</v>
          </cell>
        </row>
        <row r="3938">
          <cell r="MH3938" t="str">
            <v>IQ24743466</v>
          </cell>
        </row>
        <row r="3939">
          <cell r="MH3939" t="str">
            <v>IQ24203209</v>
          </cell>
        </row>
        <row r="3940">
          <cell r="MH3940" t="str">
            <v>IQ26735974</v>
          </cell>
        </row>
        <row r="3941">
          <cell r="MH3941" t="str">
            <v>IQ8970489</v>
          </cell>
        </row>
        <row r="3942">
          <cell r="MH3942" t="str">
            <v>IQ35489710</v>
          </cell>
        </row>
        <row r="3943">
          <cell r="MH3943" t="str">
            <v>IQ23927999</v>
          </cell>
        </row>
        <row r="3944">
          <cell r="MH3944" t="str">
            <v>IQ112996250</v>
          </cell>
        </row>
        <row r="3945">
          <cell r="MH3945" t="str">
            <v>IQ41355804</v>
          </cell>
        </row>
        <row r="3946">
          <cell r="MH3946" t="str">
            <v>IQ27061797</v>
          </cell>
        </row>
        <row r="3947">
          <cell r="MH3947" t="str">
            <v>IQ26878480</v>
          </cell>
        </row>
        <row r="3948">
          <cell r="MH3948" t="str">
            <v>IQ24658790</v>
          </cell>
        </row>
        <row r="3949">
          <cell r="MH3949" t="str">
            <v>IQ646157</v>
          </cell>
        </row>
        <row r="3950">
          <cell r="MH3950" t="str">
            <v>IQ31235195</v>
          </cell>
        </row>
        <row r="3951">
          <cell r="MH3951" t="str">
            <v>IQ47691342</v>
          </cell>
        </row>
        <row r="3952">
          <cell r="MH3952" t="str">
            <v>IQ32584452</v>
          </cell>
        </row>
        <row r="3953">
          <cell r="MH3953" t="str">
            <v>IQ2213911</v>
          </cell>
        </row>
        <row r="3954">
          <cell r="MH3954" t="str">
            <v>IQ109922341</v>
          </cell>
        </row>
        <row r="3955">
          <cell r="MH3955" t="str">
            <v>IQ22687183</v>
          </cell>
        </row>
        <row r="3956">
          <cell r="MH3956" t="str">
            <v>IQ410412</v>
          </cell>
        </row>
        <row r="3957">
          <cell r="MH3957" t="str">
            <v>IQ4533110</v>
          </cell>
        </row>
        <row r="3958">
          <cell r="MH3958" t="str">
            <v>IQ143884686</v>
          </cell>
        </row>
        <row r="3959">
          <cell r="MH3959" t="str">
            <v>IQ6256674</v>
          </cell>
        </row>
        <row r="3960">
          <cell r="MH3960" t="str">
            <v>IQ239306512</v>
          </cell>
        </row>
        <row r="3961">
          <cell r="MH3961" t="str">
            <v>IQ4554448</v>
          </cell>
        </row>
        <row r="3962">
          <cell r="MH3962" t="str">
            <v>IQ3765436</v>
          </cell>
        </row>
        <row r="3963">
          <cell r="MH3963" t="str">
            <v>IQ213674671</v>
          </cell>
        </row>
        <row r="3964">
          <cell r="MH3964" t="str">
            <v>IQ31013661</v>
          </cell>
        </row>
        <row r="3965">
          <cell r="MH3965" t="str">
            <v>IQ37885866</v>
          </cell>
        </row>
        <row r="3966">
          <cell r="MH3966" t="str">
            <v>IQ44497996</v>
          </cell>
        </row>
        <row r="3967">
          <cell r="MH3967" t="str">
            <v>IQ232320604</v>
          </cell>
        </row>
        <row r="3968">
          <cell r="MH3968" t="str">
            <v>IQ228105848</v>
          </cell>
        </row>
        <row r="3969">
          <cell r="MH3969" t="str">
            <v>IQ113634433</v>
          </cell>
        </row>
        <row r="3970">
          <cell r="MH3970" t="str">
            <v>IQ228774335</v>
          </cell>
        </row>
        <row r="3971">
          <cell r="MH3971" t="str">
            <v>IQ30642096</v>
          </cell>
        </row>
        <row r="3972">
          <cell r="MH3972" t="str">
            <v>IQ34278926</v>
          </cell>
        </row>
        <row r="3973">
          <cell r="MH3973" t="str">
            <v>IQ28607336</v>
          </cell>
        </row>
        <row r="3974">
          <cell r="MH3974" t="str">
            <v>IQ768440</v>
          </cell>
        </row>
        <row r="3975">
          <cell r="MH3975" t="str">
            <v>IQ36061404</v>
          </cell>
        </row>
        <row r="3976">
          <cell r="MH3976" t="str">
            <v>IQ22675370</v>
          </cell>
        </row>
        <row r="3977">
          <cell r="MH3977" t="str">
            <v>IQ28641514</v>
          </cell>
        </row>
        <row r="3978">
          <cell r="MH3978" t="str">
            <v>IQ53075498</v>
          </cell>
        </row>
        <row r="3979">
          <cell r="MH3979" t="str">
            <v>IQ52411881</v>
          </cell>
        </row>
        <row r="3980">
          <cell r="MH3980" t="str">
            <v>IQ5092655</v>
          </cell>
        </row>
        <row r="3981">
          <cell r="MH3981" t="str">
            <v>IQ20903302</v>
          </cell>
        </row>
        <row r="3982">
          <cell r="MH3982" t="str">
            <v>IQ27127899</v>
          </cell>
        </row>
        <row r="3983">
          <cell r="MH3983" t="str">
            <v>IQ580052735</v>
          </cell>
        </row>
        <row r="3984">
          <cell r="MH3984" t="str">
            <v>IQ8221857</v>
          </cell>
        </row>
        <row r="3985">
          <cell r="MH3985" t="str">
            <v>IQ26723626</v>
          </cell>
        </row>
        <row r="3986">
          <cell r="MH3986" t="str">
            <v>IQ27832272</v>
          </cell>
        </row>
        <row r="3987">
          <cell r="MH3987" t="str">
            <v>IQ554289411</v>
          </cell>
        </row>
        <row r="3988">
          <cell r="MH3988" t="str">
            <v>IQ24375872</v>
          </cell>
        </row>
        <row r="3989">
          <cell r="MH3989" t="str">
            <v>IQ37324592</v>
          </cell>
        </row>
        <row r="3990">
          <cell r="MH3990" t="str">
            <v>IQ27127912</v>
          </cell>
        </row>
        <row r="3991">
          <cell r="MH3991" t="str">
            <v>IQ44144909</v>
          </cell>
        </row>
        <row r="3992">
          <cell r="MH3992" t="str">
            <v>IQ10220126</v>
          </cell>
        </row>
        <row r="3993">
          <cell r="MH3993" t="str">
            <v>IQ23776956</v>
          </cell>
        </row>
        <row r="3994">
          <cell r="MH3994" t="str">
            <v>IQ23629671</v>
          </cell>
        </row>
        <row r="3995">
          <cell r="MH3995" t="str">
            <v>IQ23442947</v>
          </cell>
        </row>
        <row r="3996">
          <cell r="MH3996" t="str">
            <v>IQ118041754</v>
          </cell>
        </row>
        <row r="3997">
          <cell r="MH3997" t="str">
            <v>IQ20718077</v>
          </cell>
        </row>
        <row r="3998">
          <cell r="MH3998" t="str">
            <v>IQ59498513</v>
          </cell>
        </row>
        <row r="3999">
          <cell r="MH3999" t="str">
            <v>IQ2411316</v>
          </cell>
        </row>
        <row r="4000">
          <cell r="MH4000" t="str">
            <v>IQ22026623</v>
          </cell>
        </row>
        <row r="4001">
          <cell r="MH4001" t="str">
            <v>IQ237701504</v>
          </cell>
        </row>
        <row r="4002">
          <cell r="MH4002" t="str">
            <v>IQ53179633</v>
          </cell>
        </row>
        <row r="4003">
          <cell r="MH4003" t="str">
            <v>IQ27061320</v>
          </cell>
        </row>
        <row r="4004">
          <cell r="MH4004" t="str">
            <v>IQ27061131</v>
          </cell>
        </row>
        <row r="4005">
          <cell r="MH4005" t="str">
            <v>IQ8795297</v>
          </cell>
        </row>
        <row r="4006">
          <cell r="MH4006" t="str">
            <v>IQ53071031</v>
          </cell>
        </row>
        <row r="4007">
          <cell r="MH4007" t="str">
            <v>IQ24211270</v>
          </cell>
        </row>
        <row r="4008">
          <cell r="MH4008" t="str">
            <v>IQ1028830</v>
          </cell>
        </row>
        <row r="4009">
          <cell r="MH4009" t="str">
            <v>IQ236410937</v>
          </cell>
        </row>
        <row r="4010">
          <cell r="MH4010" t="str">
            <v>IQ7697802</v>
          </cell>
        </row>
        <row r="4011">
          <cell r="MH4011" t="str">
            <v>IQ23696826</v>
          </cell>
        </row>
        <row r="4012">
          <cell r="MH4012" t="str">
            <v>IQ141759754</v>
          </cell>
        </row>
        <row r="4013">
          <cell r="MH4013" t="str">
            <v>IQ130729369</v>
          </cell>
        </row>
        <row r="4014">
          <cell r="MH4014" t="str">
            <v>IQ84069792</v>
          </cell>
        </row>
        <row r="4015">
          <cell r="MH4015" t="str">
            <v>IQ23900394</v>
          </cell>
        </row>
        <row r="4016">
          <cell r="MH4016" t="str">
            <v>IQ26580294</v>
          </cell>
        </row>
        <row r="4017">
          <cell r="MH4017" t="str">
            <v>IQ27129962</v>
          </cell>
        </row>
        <row r="4018">
          <cell r="MH4018" t="str">
            <v>IQ27725896</v>
          </cell>
        </row>
        <row r="4019">
          <cell r="MH4019" t="str">
            <v>IQ35102103</v>
          </cell>
        </row>
        <row r="4020">
          <cell r="MH4020" t="str">
            <v>IQ108869952</v>
          </cell>
        </row>
        <row r="4021">
          <cell r="MH4021" t="str">
            <v>IQ144264889</v>
          </cell>
        </row>
        <row r="4022">
          <cell r="MH4022" t="str">
            <v>IQ11969961</v>
          </cell>
        </row>
        <row r="4023">
          <cell r="MH4023" t="str">
            <v>IQ23646680</v>
          </cell>
        </row>
        <row r="4024">
          <cell r="MH4024" t="str">
            <v>IQ9172475</v>
          </cell>
        </row>
        <row r="4025">
          <cell r="MH4025" t="str">
            <v>IQ27770027</v>
          </cell>
        </row>
        <row r="4026">
          <cell r="MH4026" t="str">
            <v>IQ8419452</v>
          </cell>
        </row>
        <row r="4027">
          <cell r="MH4027" t="str">
            <v>IQ216093783</v>
          </cell>
        </row>
        <row r="4028">
          <cell r="MH4028" t="str">
            <v>IQ24454733</v>
          </cell>
        </row>
        <row r="4029">
          <cell r="MH4029" t="str">
            <v>IQ105810960</v>
          </cell>
        </row>
        <row r="4030">
          <cell r="MH4030" t="str">
            <v>IQ23736272</v>
          </cell>
        </row>
        <row r="4031">
          <cell r="MH4031" t="str">
            <v>IQ50851224</v>
          </cell>
        </row>
        <row r="4032">
          <cell r="MH4032" t="str">
            <v>IQ23871651</v>
          </cell>
        </row>
        <row r="4033">
          <cell r="MH4033" t="str">
            <v>IQ9461514</v>
          </cell>
        </row>
        <row r="4034">
          <cell r="MH4034" t="str">
            <v>IQ46725840</v>
          </cell>
        </row>
        <row r="4035">
          <cell r="MH4035" t="str">
            <v>IQ43207567</v>
          </cell>
        </row>
        <row r="4036">
          <cell r="MH4036" t="str">
            <v>IQ304675274</v>
          </cell>
        </row>
        <row r="4037">
          <cell r="MH4037" t="str">
            <v>IQ27081816</v>
          </cell>
        </row>
        <row r="4038">
          <cell r="MH4038" t="str">
            <v>IQ50181088</v>
          </cell>
        </row>
        <row r="4039">
          <cell r="MH4039" t="str">
            <v>IQ24467553</v>
          </cell>
        </row>
        <row r="4040">
          <cell r="MH4040" t="str">
            <v>IQ46755067</v>
          </cell>
        </row>
        <row r="4041">
          <cell r="MH4041" t="str">
            <v>IQ35273804</v>
          </cell>
        </row>
        <row r="4042">
          <cell r="MH4042" t="str">
            <v>IQ24402281</v>
          </cell>
        </row>
        <row r="4043">
          <cell r="MH4043" t="str">
            <v>IQ4874466</v>
          </cell>
        </row>
        <row r="4044">
          <cell r="MH4044" t="str">
            <v>IQ34744278</v>
          </cell>
        </row>
        <row r="4045">
          <cell r="MH4045" t="str">
            <v>IQ4936461</v>
          </cell>
        </row>
        <row r="4046">
          <cell r="MH4046" t="str">
            <v>IQ27461513</v>
          </cell>
        </row>
        <row r="4047">
          <cell r="MH4047" t="str">
            <v>IQ32584654</v>
          </cell>
        </row>
        <row r="4048">
          <cell r="MH4048" t="str">
            <v>IQ36824776</v>
          </cell>
        </row>
        <row r="4049">
          <cell r="MH4049" t="str">
            <v>IQ6339127</v>
          </cell>
        </row>
        <row r="4050">
          <cell r="MH4050" t="str">
            <v>IQ6154818</v>
          </cell>
        </row>
        <row r="4051">
          <cell r="MH4051" t="str">
            <v>IQ233713195</v>
          </cell>
        </row>
        <row r="4052">
          <cell r="MH4052" t="str">
            <v>IQ5103085</v>
          </cell>
        </row>
        <row r="4053">
          <cell r="MH4053" t="str">
            <v>IQ27367574</v>
          </cell>
        </row>
        <row r="4054">
          <cell r="MH4054" t="str">
            <v>IQ24237383</v>
          </cell>
        </row>
        <row r="4055">
          <cell r="MH4055" t="str">
            <v>IQ105075</v>
          </cell>
        </row>
        <row r="4056">
          <cell r="MH4056" t="str">
            <v>IQ21010860</v>
          </cell>
        </row>
        <row r="4057">
          <cell r="MH4057" t="str">
            <v>IQ60454802</v>
          </cell>
        </row>
        <row r="4058">
          <cell r="MH4058" t="str">
            <v>IQ27220316</v>
          </cell>
        </row>
        <row r="4059">
          <cell r="MH4059" t="str">
            <v>IQ20628080</v>
          </cell>
        </row>
        <row r="4060">
          <cell r="MH4060" t="str">
            <v>IQ9273200</v>
          </cell>
        </row>
        <row r="4061">
          <cell r="MH4061" t="str">
            <v>IQ99217171</v>
          </cell>
        </row>
        <row r="4062">
          <cell r="MH4062" t="str">
            <v>IQ364332</v>
          </cell>
        </row>
        <row r="4063">
          <cell r="MH4063" t="str">
            <v>IQ44457442</v>
          </cell>
        </row>
        <row r="4064">
          <cell r="MH4064" t="str">
            <v>IQ23329910</v>
          </cell>
        </row>
        <row r="4065">
          <cell r="MH4065" t="str">
            <v>IQ23270690</v>
          </cell>
        </row>
        <row r="4066">
          <cell r="MH4066" t="str">
            <v>IQ228019329</v>
          </cell>
        </row>
        <row r="4067">
          <cell r="MH4067" t="str">
            <v>IQ10998096</v>
          </cell>
        </row>
        <row r="4068">
          <cell r="MH4068" t="str">
            <v>IQ24601930</v>
          </cell>
        </row>
        <row r="4069">
          <cell r="MH4069" t="str">
            <v>IQ36031328</v>
          </cell>
        </row>
        <row r="4070">
          <cell r="MH4070" t="str">
            <v>IQ32750673</v>
          </cell>
        </row>
        <row r="4071">
          <cell r="MH4071" t="str">
            <v>IQ111890350</v>
          </cell>
        </row>
        <row r="4072">
          <cell r="MH4072" t="str">
            <v>IQ24320743</v>
          </cell>
        </row>
        <row r="4073">
          <cell r="MH4073" t="str">
            <v>IQ99088949</v>
          </cell>
        </row>
        <row r="4074">
          <cell r="MH4074" t="str">
            <v>IQ575526410</v>
          </cell>
        </row>
        <row r="4075">
          <cell r="MH4075" t="str">
            <v>IQ33803627</v>
          </cell>
        </row>
        <row r="4076">
          <cell r="MH4076" t="str">
            <v>IQ24046724</v>
          </cell>
        </row>
        <row r="4077">
          <cell r="MH4077" t="str">
            <v>IQ4840988</v>
          </cell>
        </row>
        <row r="4078">
          <cell r="MH4078" t="str">
            <v>IQ116732897</v>
          </cell>
        </row>
        <row r="4079">
          <cell r="MH4079" t="str">
            <v>IQ11314646</v>
          </cell>
        </row>
        <row r="4080">
          <cell r="MH4080" t="str">
            <v>IQ38982628</v>
          </cell>
        </row>
        <row r="4081">
          <cell r="MH4081" t="str">
            <v>IQ10399920</v>
          </cell>
        </row>
        <row r="4082">
          <cell r="MH4082" t="str">
            <v>IQ33011668</v>
          </cell>
        </row>
        <row r="4083">
          <cell r="MH4083" t="str">
            <v>IQ42957747</v>
          </cell>
        </row>
        <row r="4084">
          <cell r="MH4084" t="str">
            <v>IQ35054897</v>
          </cell>
        </row>
        <row r="4085">
          <cell r="MH4085" t="str">
            <v>IQ873887</v>
          </cell>
        </row>
        <row r="4086">
          <cell r="MH4086" t="str">
            <v>IQ47684330</v>
          </cell>
        </row>
        <row r="4087">
          <cell r="MH4087" t="str">
            <v>IQ93710</v>
          </cell>
        </row>
        <row r="4088">
          <cell r="MH4088" t="str">
            <v>IQ35574929</v>
          </cell>
        </row>
        <row r="4089">
          <cell r="MH4089" t="str">
            <v>IQ7942279</v>
          </cell>
        </row>
        <row r="4090">
          <cell r="MH4090" t="str">
            <v>IQ49379797</v>
          </cell>
        </row>
        <row r="4091">
          <cell r="MH4091" t="str">
            <v>IQ28801849</v>
          </cell>
        </row>
        <row r="4092">
          <cell r="MH4092" t="str">
            <v>IQ43834865</v>
          </cell>
        </row>
        <row r="4093">
          <cell r="MH4093" t="str">
            <v>IQ47499068</v>
          </cell>
        </row>
        <row r="4094">
          <cell r="MH4094" t="str">
            <v>IQ52002329</v>
          </cell>
        </row>
        <row r="4095">
          <cell r="MH4095" t="str">
            <v>IQ26875945</v>
          </cell>
        </row>
        <row r="4096">
          <cell r="MH4096" t="str">
            <v>IQ50033250</v>
          </cell>
        </row>
        <row r="4097">
          <cell r="MH4097" t="str">
            <v>IQ6546023</v>
          </cell>
        </row>
        <row r="4098">
          <cell r="MH4098" t="str">
            <v>IQ37120079</v>
          </cell>
        </row>
        <row r="4099">
          <cell r="MH4099" t="str">
            <v>IQ42079276</v>
          </cell>
        </row>
        <row r="4100">
          <cell r="MH4100" t="str">
            <v>IQ36196407</v>
          </cell>
        </row>
        <row r="4101">
          <cell r="MH4101" t="str">
            <v>IQ38686489</v>
          </cell>
        </row>
        <row r="4102">
          <cell r="MH4102" t="str">
            <v>IQ20321</v>
          </cell>
        </row>
        <row r="4103">
          <cell r="MH4103" t="str">
            <v>IQ24348806</v>
          </cell>
        </row>
        <row r="4104">
          <cell r="MH4104" t="str">
            <v>IQ59321784</v>
          </cell>
        </row>
        <row r="4105">
          <cell r="MH4105" t="str">
            <v>IQ4567745</v>
          </cell>
        </row>
        <row r="4106">
          <cell r="MH4106" t="str">
            <v>IQ24183320</v>
          </cell>
        </row>
        <row r="4107">
          <cell r="MH4107" t="str">
            <v>IQ29163006</v>
          </cell>
        </row>
        <row r="4108">
          <cell r="MH4108" t="str">
            <v>IQ215766943</v>
          </cell>
        </row>
        <row r="4109">
          <cell r="MH4109" t="str">
            <v>IQ23529410</v>
          </cell>
        </row>
        <row r="4110">
          <cell r="MH4110" t="str">
            <v>IQ27768545</v>
          </cell>
        </row>
        <row r="4111">
          <cell r="MH4111" t="str">
            <v>IQ9917978</v>
          </cell>
        </row>
        <row r="4112">
          <cell r="MH4112" t="str">
            <v>IQ5092989</v>
          </cell>
        </row>
        <row r="4113">
          <cell r="MH4113" t="str">
            <v>IQ49378391</v>
          </cell>
        </row>
        <row r="4114">
          <cell r="MH4114" t="str">
            <v>IQ28676836</v>
          </cell>
        </row>
        <row r="4115">
          <cell r="MH4115" t="str">
            <v>IQ27527737</v>
          </cell>
        </row>
        <row r="4116">
          <cell r="MH4116" t="str">
            <v>IQ91880130</v>
          </cell>
        </row>
        <row r="4117">
          <cell r="MH4117" t="str">
            <v>IQ11147335</v>
          </cell>
        </row>
        <row r="4118">
          <cell r="MH4118" t="str">
            <v>IQ27081401</v>
          </cell>
        </row>
        <row r="4119">
          <cell r="MH4119" t="str">
            <v>IQ228668339</v>
          </cell>
        </row>
        <row r="4120">
          <cell r="MH4120" t="str">
            <v>IQ23597847</v>
          </cell>
        </row>
        <row r="4121">
          <cell r="MH4121" t="str">
            <v>IQ52509710</v>
          </cell>
        </row>
        <row r="4122">
          <cell r="MH4122" t="str">
            <v>IQ59076280</v>
          </cell>
        </row>
        <row r="4123">
          <cell r="MH4123" t="str">
            <v>IQ679149</v>
          </cell>
        </row>
        <row r="4124">
          <cell r="MH4124" t="str">
            <v>IQ5092064</v>
          </cell>
        </row>
        <row r="4125">
          <cell r="MH4125" t="str">
            <v>IQ13581465</v>
          </cell>
        </row>
        <row r="4126">
          <cell r="MH4126" t="str">
            <v>IQ33713700</v>
          </cell>
        </row>
        <row r="4127">
          <cell r="MH4127" t="str">
            <v>IQ107637</v>
          </cell>
        </row>
        <row r="4128">
          <cell r="MH4128" t="str">
            <v>IQ61540184</v>
          </cell>
        </row>
        <row r="4129">
          <cell r="MH4129" t="str">
            <v>IQ34940319</v>
          </cell>
        </row>
        <row r="4130">
          <cell r="MH4130" t="str">
            <v>IQ27083744</v>
          </cell>
        </row>
        <row r="4131">
          <cell r="MH4131" t="str">
            <v>IQ7280725</v>
          </cell>
        </row>
        <row r="4132">
          <cell r="MH4132" t="str">
            <v>IQ27128354</v>
          </cell>
        </row>
        <row r="4133">
          <cell r="MH4133" t="str">
            <v>IQ24914392</v>
          </cell>
        </row>
        <row r="4134">
          <cell r="MH4134" t="str">
            <v>IQ39311478</v>
          </cell>
        </row>
        <row r="4135">
          <cell r="MH4135" t="str">
            <v>IQ7668157</v>
          </cell>
        </row>
        <row r="4136">
          <cell r="MH4136" t="str">
            <v>IQ26749572</v>
          </cell>
        </row>
        <row r="4137">
          <cell r="MH4137" t="str">
            <v>IQ28627004</v>
          </cell>
        </row>
        <row r="4138">
          <cell r="MH4138" t="str">
            <v>IQ32482173</v>
          </cell>
        </row>
        <row r="4139">
          <cell r="MH4139" t="str">
            <v>IQ639955</v>
          </cell>
        </row>
        <row r="4140">
          <cell r="MH4140" t="str">
            <v>IQ1032034</v>
          </cell>
        </row>
        <row r="4141">
          <cell r="MH4141" t="str">
            <v>IQ22515669</v>
          </cell>
        </row>
        <row r="4142">
          <cell r="MH4142" t="str">
            <v>IQ34763732</v>
          </cell>
        </row>
        <row r="4143">
          <cell r="MH4143" t="str">
            <v>IQ23733836</v>
          </cell>
        </row>
        <row r="4144">
          <cell r="MH4144" t="str">
            <v>IQ37460393</v>
          </cell>
        </row>
        <row r="4145">
          <cell r="MH4145" t="str">
            <v>IQ30196655</v>
          </cell>
        </row>
        <row r="4146">
          <cell r="MH4146" t="str">
            <v>IQ27461013</v>
          </cell>
        </row>
        <row r="4147">
          <cell r="MH4147" t="str">
            <v>IQ4480731</v>
          </cell>
        </row>
        <row r="4148">
          <cell r="MH4148" t="str">
            <v>IQ35561688</v>
          </cell>
        </row>
        <row r="4149">
          <cell r="MH4149" t="str">
            <v>IQ35197854</v>
          </cell>
        </row>
        <row r="4150">
          <cell r="MH4150" t="str">
            <v>IQ118325498</v>
          </cell>
        </row>
        <row r="4151">
          <cell r="MH4151" t="str">
            <v>IQ20610598</v>
          </cell>
        </row>
        <row r="4152">
          <cell r="MH4152" t="str">
            <v>IQ881900</v>
          </cell>
        </row>
        <row r="4153">
          <cell r="MH4153" t="str">
            <v>IQ79609259</v>
          </cell>
        </row>
        <row r="4154">
          <cell r="MH4154" t="str">
            <v>IQ27161893</v>
          </cell>
        </row>
        <row r="4155">
          <cell r="MH4155" t="str">
            <v>IQ47873221</v>
          </cell>
        </row>
        <row r="4156">
          <cell r="MH4156" t="str">
            <v>IQ5489556</v>
          </cell>
        </row>
        <row r="4157">
          <cell r="MH4157" t="str">
            <v>IQ33536687</v>
          </cell>
        </row>
        <row r="4158">
          <cell r="MH4158" t="str">
            <v>IQ7714694</v>
          </cell>
        </row>
        <row r="4159">
          <cell r="MH4159" t="str">
            <v>IQ35542156</v>
          </cell>
        </row>
        <row r="4160">
          <cell r="MH4160" t="str">
            <v>IQ196637445</v>
          </cell>
        </row>
        <row r="4161">
          <cell r="MH4161" t="str">
            <v>IQ807376</v>
          </cell>
        </row>
        <row r="4162">
          <cell r="MH4162" t="str">
            <v>IQ23676809</v>
          </cell>
        </row>
        <row r="4163">
          <cell r="MH4163" t="str">
            <v>IQ22299660</v>
          </cell>
        </row>
        <row r="4164">
          <cell r="MH4164" t="str">
            <v>IQ875507</v>
          </cell>
        </row>
        <row r="4165">
          <cell r="MH4165" t="str">
            <v>IQ36434474</v>
          </cell>
        </row>
        <row r="4166">
          <cell r="MH4166" t="str">
            <v>IQ49677390</v>
          </cell>
        </row>
        <row r="4167">
          <cell r="MH4167" t="str">
            <v>IQ29055420</v>
          </cell>
        </row>
        <row r="4168">
          <cell r="MH4168" t="str">
            <v>IQ27938057</v>
          </cell>
        </row>
        <row r="4169">
          <cell r="MH4169" t="str">
            <v>IQ9003143</v>
          </cell>
        </row>
        <row r="4170">
          <cell r="MH4170" t="str">
            <v>IQ35541444</v>
          </cell>
        </row>
        <row r="4171">
          <cell r="MH4171" t="str">
            <v>IQ26977099</v>
          </cell>
        </row>
        <row r="4172">
          <cell r="MH4172" t="str">
            <v>IQ46539416</v>
          </cell>
        </row>
        <row r="4173">
          <cell r="MH4173" t="str">
            <v>IQ3813727</v>
          </cell>
        </row>
        <row r="4174">
          <cell r="MH4174" t="str">
            <v>IQ23839163</v>
          </cell>
        </row>
        <row r="4175">
          <cell r="MH4175" t="str">
            <v>IQ47772512</v>
          </cell>
        </row>
        <row r="4176">
          <cell r="MH4176" t="str">
            <v>IQ22092394</v>
          </cell>
        </row>
        <row r="4177">
          <cell r="MH4177" t="str">
            <v>IQ32676656</v>
          </cell>
        </row>
        <row r="4178">
          <cell r="MH4178" t="str">
            <v>IQ35858858</v>
          </cell>
        </row>
        <row r="4179">
          <cell r="MH4179" t="str">
            <v>IQ26477933</v>
          </cell>
        </row>
        <row r="4180">
          <cell r="MH4180" t="str">
            <v>IQ20989182</v>
          </cell>
        </row>
        <row r="4181">
          <cell r="MH4181" t="str">
            <v>IQ37409398</v>
          </cell>
        </row>
        <row r="4182">
          <cell r="MH4182" t="str">
            <v>IQ36510952</v>
          </cell>
        </row>
        <row r="4183">
          <cell r="MH4183" t="str">
            <v>IQ49972558</v>
          </cell>
        </row>
        <row r="4184">
          <cell r="MH4184" t="str">
            <v>IQ51186414</v>
          </cell>
        </row>
        <row r="4185">
          <cell r="MH4185" t="str">
            <v>IQ26736444</v>
          </cell>
        </row>
        <row r="4186">
          <cell r="MH4186" t="str">
            <v>IQ24493030</v>
          </cell>
        </row>
        <row r="4187">
          <cell r="MH4187" t="str">
            <v>IQ35227653</v>
          </cell>
        </row>
        <row r="4188">
          <cell r="MH4188" t="str">
            <v>IQ27146814</v>
          </cell>
        </row>
        <row r="4189">
          <cell r="MH4189" t="str">
            <v>IQ27061646</v>
          </cell>
        </row>
        <row r="4190">
          <cell r="MH4190" t="str">
            <v>IQ254111417</v>
          </cell>
        </row>
        <row r="4191">
          <cell r="MH4191" t="str">
            <v>IQ27084226</v>
          </cell>
        </row>
        <row r="4192">
          <cell r="MH4192" t="str">
            <v>IQ2105031</v>
          </cell>
        </row>
        <row r="4193">
          <cell r="MH4193" t="str">
            <v>IQ44787029</v>
          </cell>
        </row>
        <row r="4194">
          <cell r="MH4194" t="str">
            <v>IQ27145740</v>
          </cell>
        </row>
        <row r="4195">
          <cell r="MH4195" t="str">
            <v>IQ3473697</v>
          </cell>
        </row>
        <row r="4196">
          <cell r="MH4196" t="str">
            <v>IQ46056598</v>
          </cell>
        </row>
        <row r="4197">
          <cell r="MH4197" t="str">
            <v>IQ839611</v>
          </cell>
        </row>
        <row r="4198">
          <cell r="MH4198" t="str">
            <v>IQ24026051</v>
          </cell>
        </row>
        <row r="4199">
          <cell r="MH4199" t="str">
            <v>IQ28495657</v>
          </cell>
        </row>
        <row r="4200">
          <cell r="MH4200" t="str">
            <v>IQ27331442</v>
          </cell>
        </row>
        <row r="4201">
          <cell r="MH4201" t="str">
            <v>IQ33012127</v>
          </cell>
        </row>
        <row r="4202">
          <cell r="MH4202" t="str">
            <v>IQ27929419</v>
          </cell>
        </row>
        <row r="4203">
          <cell r="MH4203" t="str">
            <v>IQ22182464</v>
          </cell>
        </row>
        <row r="4204">
          <cell r="MH4204" t="str">
            <v>IQ1241120</v>
          </cell>
        </row>
        <row r="4205">
          <cell r="MH4205" t="str">
            <v>IQ32721890</v>
          </cell>
        </row>
        <row r="4206">
          <cell r="MH4206" t="str">
            <v>IQ22579438</v>
          </cell>
        </row>
        <row r="4207">
          <cell r="MH4207" t="str">
            <v>IQ22523296</v>
          </cell>
        </row>
        <row r="4208">
          <cell r="MH4208" t="str">
            <v>IQ34418065</v>
          </cell>
        </row>
        <row r="4209">
          <cell r="MH4209" t="str">
            <v>IQ43246583</v>
          </cell>
        </row>
        <row r="4210">
          <cell r="MH4210" t="str">
            <v>IQ144190936</v>
          </cell>
        </row>
        <row r="4211">
          <cell r="MH4211" t="str">
            <v>IQ27146438</v>
          </cell>
        </row>
        <row r="4212">
          <cell r="MH4212" t="str">
            <v>IQ47768374</v>
          </cell>
        </row>
        <row r="4213">
          <cell r="MH4213" t="str">
            <v>IQ12316013</v>
          </cell>
        </row>
        <row r="4214">
          <cell r="MH4214" t="str">
            <v>IQ24675819</v>
          </cell>
        </row>
        <row r="4215">
          <cell r="MH4215" t="str">
            <v>IQ27061155</v>
          </cell>
        </row>
        <row r="4216">
          <cell r="MH4216" t="str">
            <v>IQ59455364</v>
          </cell>
        </row>
        <row r="4217">
          <cell r="MH4217" t="str">
            <v>IQ27082949</v>
          </cell>
        </row>
        <row r="4218">
          <cell r="MH4218" t="str">
            <v>IQ62569594</v>
          </cell>
        </row>
        <row r="4219">
          <cell r="MH4219" t="str">
            <v>IQ11899929</v>
          </cell>
        </row>
        <row r="4220">
          <cell r="MH4220" t="str">
            <v>IQ27085785</v>
          </cell>
        </row>
        <row r="4221">
          <cell r="MH4221" t="str">
            <v>IQ27352309</v>
          </cell>
        </row>
        <row r="4222">
          <cell r="MH4222" t="str">
            <v>IQ35154880</v>
          </cell>
        </row>
        <row r="4223">
          <cell r="MH4223" t="str">
            <v>IQ7959141</v>
          </cell>
        </row>
        <row r="4224">
          <cell r="MH4224" t="str">
            <v>IQ26688600</v>
          </cell>
        </row>
        <row r="4225">
          <cell r="MH4225" t="str">
            <v>IQ35344727</v>
          </cell>
        </row>
        <row r="4226">
          <cell r="MH4226" t="str">
            <v>IQ32676609</v>
          </cell>
        </row>
        <row r="4227">
          <cell r="MH4227" t="str">
            <v>IQ22918908</v>
          </cell>
        </row>
        <row r="4228">
          <cell r="MH4228" t="str">
            <v>IQ794018</v>
          </cell>
        </row>
        <row r="4229">
          <cell r="MH4229" t="str">
            <v>IQ35016812</v>
          </cell>
        </row>
        <row r="4230">
          <cell r="MH4230" t="str">
            <v>IQ30660951</v>
          </cell>
        </row>
        <row r="4231">
          <cell r="MH4231" t="str">
            <v>IQ35556550</v>
          </cell>
        </row>
        <row r="4232">
          <cell r="MH4232" t="str">
            <v>IQ904029</v>
          </cell>
        </row>
        <row r="4233">
          <cell r="MH4233" t="str">
            <v>IQ10698189</v>
          </cell>
        </row>
        <row r="4234">
          <cell r="MH4234" t="str">
            <v>IQ27420696</v>
          </cell>
        </row>
        <row r="4235">
          <cell r="MH4235" t="str">
            <v>IQ44704223</v>
          </cell>
        </row>
        <row r="4236">
          <cell r="MH4236" t="str">
            <v>IQ23460137</v>
          </cell>
        </row>
        <row r="4237">
          <cell r="MH4237" t="str">
            <v>IQ302274634</v>
          </cell>
        </row>
        <row r="4238">
          <cell r="MH4238" t="str">
            <v>IQ23719</v>
          </cell>
        </row>
        <row r="4239">
          <cell r="MH4239" t="str">
            <v>IQ106345048</v>
          </cell>
        </row>
        <row r="4240">
          <cell r="MH4240" t="str">
            <v>IQ5478172</v>
          </cell>
        </row>
        <row r="4241">
          <cell r="MH4241" t="str">
            <v>IQ6183359</v>
          </cell>
        </row>
        <row r="4242">
          <cell r="MH4242" t="str">
            <v>IQ47631254</v>
          </cell>
        </row>
        <row r="4243">
          <cell r="MH4243" t="str">
            <v>IQ52129077</v>
          </cell>
        </row>
        <row r="4244">
          <cell r="MH4244" t="str">
            <v>IQ27273340</v>
          </cell>
        </row>
        <row r="4245">
          <cell r="MH4245" t="str">
            <v>IQ52988656</v>
          </cell>
        </row>
        <row r="4246">
          <cell r="MH4246" t="str">
            <v>IQ139938035</v>
          </cell>
        </row>
        <row r="4247">
          <cell r="MH4247" t="str">
            <v>IQ6767797</v>
          </cell>
        </row>
        <row r="4248">
          <cell r="MH4248" t="str">
            <v>IQ27128772</v>
          </cell>
        </row>
        <row r="4249">
          <cell r="MH4249" t="str">
            <v>IQ27083692</v>
          </cell>
        </row>
        <row r="4250">
          <cell r="MH4250" t="str">
            <v>IQ35541167</v>
          </cell>
        </row>
        <row r="4251">
          <cell r="MH4251" t="str">
            <v>IQ27408100</v>
          </cell>
        </row>
        <row r="4252">
          <cell r="MH4252" t="str">
            <v>IQ53179731</v>
          </cell>
        </row>
        <row r="4253">
          <cell r="MH4253" t="str">
            <v>IQ3164188</v>
          </cell>
        </row>
        <row r="4254">
          <cell r="MH4254" t="str">
            <v>IQ23447273</v>
          </cell>
        </row>
        <row r="4255">
          <cell r="MH4255" t="str">
            <v>IQ27127586</v>
          </cell>
        </row>
        <row r="4256">
          <cell r="MH4256" t="str">
            <v>IQ4817579</v>
          </cell>
        </row>
        <row r="4257">
          <cell r="MH4257" t="str">
            <v>IQ24083736</v>
          </cell>
        </row>
        <row r="4258">
          <cell r="MH4258" t="str">
            <v>IQ8795087</v>
          </cell>
        </row>
        <row r="4259">
          <cell r="MH4259" t="str">
            <v>IQ54206344</v>
          </cell>
        </row>
        <row r="4260">
          <cell r="MH4260" t="str">
            <v>IQ109021932</v>
          </cell>
        </row>
        <row r="4261">
          <cell r="MH4261" t="str">
            <v>IQ302741151</v>
          </cell>
        </row>
        <row r="4262">
          <cell r="MH4262" t="str">
            <v>IQ32585958</v>
          </cell>
        </row>
        <row r="4263">
          <cell r="MH4263" t="str">
            <v>IQ4855172</v>
          </cell>
        </row>
        <row r="4264">
          <cell r="MH4264" t="str">
            <v>IQ35485095</v>
          </cell>
        </row>
        <row r="4265">
          <cell r="MH4265" t="str">
            <v>IQ51195231</v>
          </cell>
        </row>
        <row r="4266">
          <cell r="MH4266" t="str">
            <v>IQ31217174</v>
          </cell>
        </row>
        <row r="4267">
          <cell r="MH4267" t="str">
            <v>IQ37379527</v>
          </cell>
        </row>
        <row r="4268">
          <cell r="MH4268" t="str">
            <v>IQ50956844</v>
          </cell>
        </row>
        <row r="4269">
          <cell r="MH4269" t="str">
            <v>IQ32874240</v>
          </cell>
        </row>
        <row r="4270">
          <cell r="MH4270" t="str">
            <v>IQ52248280</v>
          </cell>
        </row>
        <row r="4271">
          <cell r="MH4271" t="str">
            <v>IQ53503700</v>
          </cell>
        </row>
        <row r="4272">
          <cell r="MH4272" t="str">
            <v>IQ40180038</v>
          </cell>
        </row>
        <row r="4273">
          <cell r="MH4273" t="str">
            <v>IQ107331</v>
          </cell>
        </row>
        <row r="4274">
          <cell r="MH4274" t="str">
            <v>IQ53063373</v>
          </cell>
        </row>
        <row r="4275">
          <cell r="MH4275" t="str">
            <v>IQ27770020</v>
          </cell>
        </row>
        <row r="4276">
          <cell r="MH4276" t="str">
            <v>IQ37565527</v>
          </cell>
        </row>
        <row r="4277">
          <cell r="MH4277" t="str">
            <v>IQ21008658</v>
          </cell>
        </row>
        <row r="4278">
          <cell r="MH4278" t="str">
            <v>IQ23872906</v>
          </cell>
        </row>
        <row r="4279">
          <cell r="MH4279" t="str">
            <v>IQ23627379</v>
          </cell>
        </row>
        <row r="4280">
          <cell r="MH4280" t="str">
            <v>IQ6664038</v>
          </cell>
        </row>
        <row r="4281">
          <cell r="MH4281" t="str">
            <v>IQ27198074</v>
          </cell>
        </row>
        <row r="4282">
          <cell r="MH4282" t="str">
            <v>IQ8142382</v>
          </cell>
        </row>
        <row r="4283">
          <cell r="MH4283" t="str">
            <v>IQ4765605</v>
          </cell>
        </row>
        <row r="4284">
          <cell r="MH4284" t="str">
            <v>IQ41260500</v>
          </cell>
        </row>
        <row r="4285">
          <cell r="MH4285" t="str">
            <v>IQ30492069</v>
          </cell>
        </row>
        <row r="4286">
          <cell r="MH4286" t="str">
            <v>IQ27241898</v>
          </cell>
        </row>
        <row r="4287">
          <cell r="MH4287" t="str">
            <v>IQ33254775</v>
          </cell>
        </row>
        <row r="4288">
          <cell r="MH4288" t="str">
            <v>IQ34279432</v>
          </cell>
        </row>
        <row r="4289">
          <cell r="MH4289" t="str">
            <v>IQ35130628</v>
          </cell>
        </row>
        <row r="4290">
          <cell r="MH4290" t="str">
            <v>IQ27147357</v>
          </cell>
        </row>
        <row r="4291">
          <cell r="MH4291" t="str">
            <v>IQ35016284</v>
          </cell>
        </row>
        <row r="4292">
          <cell r="MH4292" t="str">
            <v>IQ9768917</v>
          </cell>
        </row>
        <row r="4293">
          <cell r="MH4293" t="str">
            <v>IQ32584565</v>
          </cell>
        </row>
        <row r="4294">
          <cell r="MH4294" t="str">
            <v>IQ20759258</v>
          </cell>
        </row>
        <row r="4295">
          <cell r="MH4295" t="str">
            <v>IQ35584986</v>
          </cell>
        </row>
        <row r="4296">
          <cell r="MH4296" t="str">
            <v>IQ5909311</v>
          </cell>
        </row>
        <row r="4297">
          <cell r="MH4297" t="str">
            <v>IQ21010743</v>
          </cell>
        </row>
        <row r="4298">
          <cell r="MH4298" t="str">
            <v>IQ5569972</v>
          </cell>
        </row>
        <row r="4299">
          <cell r="MH4299" t="str">
            <v>IQ35057205</v>
          </cell>
        </row>
        <row r="4300">
          <cell r="MH4300" t="str">
            <v>IQ35205438</v>
          </cell>
        </row>
        <row r="4301">
          <cell r="MH4301" t="str">
            <v>IQ6035420</v>
          </cell>
        </row>
        <row r="4302">
          <cell r="MH4302" t="str">
            <v>IQ4840591</v>
          </cell>
        </row>
        <row r="4303">
          <cell r="MH4303" t="str">
            <v>IQ630409</v>
          </cell>
        </row>
        <row r="4304">
          <cell r="MH4304" t="str">
            <v>IQ6452967</v>
          </cell>
        </row>
        <row r="4305">
          <cell r="MH4305" t="str">
            <v>IQ35108772</v>
          </cell>
        </row>
        <row r="4306">
          <cell r="MH4306" t="str">
            <v>IQ240365777</v>
          </cell>
        </row>
        <row r="4307">
          <cell r="MH4307" t="str">
            <v>IQ35108417</v>
          </cell>
        </row>
        <row r="4308">
          <cell r="MH4308" t="str">
            <v>IQ1682971</v>
          </cell>
        </row>
        <row r="4309">
          <cell r="MH4309" t="str">
            <v>IQ35131571</v>
          </cell>
        </row>
        <row r="4310">
          <cell r="MH4310" t="str">
            <v>IQ27147131</v>
          </cell>
        </row>
        <row r="4311">
          <cell r="MH4311" t="str">
            <v>IQ29465981</v>
          </cell>
        </row>
        <row r="4312">
          <cell r="MH4312" t="str">
            <v>IQ10337732</v>
          </cell>
        </row>
        <row r="4313">
          <cell r="MH4313" t="str">
            <v>IQ21215</v>
          </cell>
        </row>
        <row r="4314">
          <cell r="MH4314" t="str">
            <v>IQ27082261</v>
          </cell>
        </row>
        <row r="4315">
          <cell r="MH4315" t="str">
            <v>IQ4857243</v>
          </cell>
        </row>
        <row r="4316">
          <cell r="MH4316" t="str">
            <v>IQ27331322</v>
          </cell>
        </row>
        <row r="4317">
          <cell r="MH4317" t="str">
            <v>IQ34512354</v>
          </cell>
        </row>
        <row r="4318">
          <cell r="MH4318" t="str">
            <v>IQ8058824</v>
          </cell>
        </row>
        <row r="4319">
          <cell r="MH4319" t="str">
            <v>IQ41383656</v>
          </cell>
        </row>
        <row r="4320">
          <cell r="MH4320" t="str">
            <v>IQ36035043</v>
          </cell>
        </row>
        <row r="4321">
          <cell r="MH4321" t="str">
            <v>IQ51814227</v>
          </cell>
        </row>
        <row r="4322">
          <cell r="MH4322" t="str">
            <v>IQ24021694</v>
          </cell>
        </row>
        <row r="4323">
          <cell r="MH4323" t="str">
            <v>IQ27427714</v>
          </cell>
        </row>
        <row r="4324">
          <cell r="MH4324" t="str">
            <v>IQ59741312</v>
          </cell>
        </row>
        <row r="4325">
          <cell r="MH4325" t="str">
            <v>IQ27482597</v>
          </cell>
        </row>
        <row r="4326">
          <cell r="MH4326" t="str">
            <v>IQ542586350</v>
          </cell>
        </row>
        <row r="4327">
          <cell r="MH4327" t="str">
            <v>IQ27527137</v>
          </cell>
        </row>
        <row r="4328">
          <cell r="MH4328" t="str">
            <v>IQ27364324</v>
          </cell>
        </row>
        <row r="4329">
          <cell r="MH4329" t="str">
            <v>IQ26433396</v>
          </cell>
        </row>
        <row r="4330">
          <cell r="MH4330" t="str">
            <v>IQ41356472</v>
          </cell>
        </row>
        <row r="4331">
          <cell r="MH4331" t="str">
            <v>IQ3698669</v>
          </cell>
        </row>
        <row r="4332">
          <cell r="MH4332" t="str">
            <v>IQ9630913</v>
          </cell>
        </row>
        <row r="4333">
          <cell r="MH4333" t="str">
            <v>IQ35538480</v>
          </cell>
        </row>
        <row r="4334">
          <cell r="MH4334" t="str">
            <v>IQ22336043</v>
          </cell>
        </row>
        <row r="4335">
          <cell r="MH4335" t="str">
            <v>IQ22830088</v>
          </cell>
        </row>
        <row r="4336">
          <cell r="MH4336" t="str">
            <v>IQ20932306</v>
          </cell>
        </row>
        <row r="4337">
          <cell r="MH4337" t="str">
            <v>IQ12754089</v>
          </cell>
        </row>
        <row r="4338">
          <cell r="MH4338" t="str">
            <v>IQ283166757</v>
          </cell>
        </row>
        <row r="4339">
          <cell r="MH4339" t="str">
            <v>IQ27061373</v>
          </cell>
        </row>
        <row r="4340">
          <cell r="MH4340" t="str">
            <v>IQ41599364</v>
          </cell>
        </row>
        <row r="4341">
          <cell r="MH4341" t="str">
            <v>IQ27147233</v>
          </cell>
        </row>
        <row r="4342">
          <cell r="MH4342" t="str">
            <v>IQ3534565</v>
          </cell>
        </row>
        <row r="4343">
          <cell r="MH4343" t="str">
            <v>IQ228008495</v>
          </cell>
        </row>
        <row r="4344">
          <cell r="MH4344" t="str">
            <v>IQ5839257</v>
          </cell>
        </row>
        <row r="4345">
          <cell r="MH4345" t="str">
            <v>IQ8751409</v>
          </cell>
        </row>
        <row r="4346">
          <cell r="MH4346" t="str">
            <v>IQ227938130</v>
          </cell>
        </row>
        <row r="4347">
          <cell r="MH4347" t="str">
            <v>IQ229998</v>
          </cell>
        </row>
        <row r="4348">
          <cell r="MH4348" t="str">
            <v>IQ45083356</v>
          </cell>
        </row>
        <row r="4349">
          <cell r="MH4349" t="str">
            <v>IQ27484618</v>
          </cell>
        </row>
        <row r="4350">
          <cell r="MH4350" t="str">
            <v>IQ51507050</v>
          </cell>
        </row>
        <row r="4351">
          <cell r="MH4351" t="str">
            <v>IQ35044764</v>
          </cell>
        </row>
        <row r="4352">
          <cell r="MH4352" t="str">
            <v>IQ23896673</v>
          </cell>
        </row>
        <row r="4353">
          <cell r="MH4353" t="str">
            <v>IQ24914483</v>
          </cell>
        </row>
        <row r="4354">
          <cell r="MH4354" t="str">
            <v>IQ35021625</v>
          </cell>
        </row>
        <row r="4355">
          <cell r="MH4355" t="str">
            <v>IQ231840861</v>
          </cell>
        </row>
        <row r="4356">
          <cell r="MH4356" t="str">
            <v>IQ27061243</v>
          </cell>
        </row>
        <row r="4357">
          <cell r="MH4357" t="str">
            <v>IQ36309414</v>
          </cell>
        </row>
        <row r="4358">
          <cell r="MH4358" t="str">
            <v>IQ127373163</v>
          </cell>
        </row>
        <row r="4359">
          <cell r="MH4359" t="str">
            <v>IQ23568678</v>
          </cell>
        </row>
        <row r="4360">
          <cell r="MH4360" t="str">
            <v>IQ12058680</v>
          </cell>
        </row>
        <row r="4361">
          <cell r="MH4361" t="str">
            <v>IQ25024419</v>
          </cell>
        </row>
        <row r="4362">
          <cell r="MH4362" t="str">
            <v>IQ23626699</v>
          </cell>
        </row>
        <row r="4363">
          <cell r="MH4363" t="str">
            <v>IQ5103409</v>
          </cell>
        </row>
        <row r="4364">
          <cell r="MH4364" t="str">
            <v>IQ23941494</v>
          </cell>
        </row>
        <row r="4365">
          <cell r="MH4365" t="str">
            <v>IQ36848727</v>
          </cell>
        </row>
        <row r="4366">
          <cell r="MH4366" t="str">
            <v>IQ23928947</v>
          </cell>
        </row>
        <row r="4367">
          <cell r="MH4367" t="str">
            <v>IQ3539859</v>
          </cell>
        </row>
        <row r="4368">
          <cell r="MH4368" t="str">
            <v>IQ27197293</v>
          </cell>
        </row>
        <row r="4369">
          <cell r="MH4369" t="str">
            <v>IQ27083535</v>
          </cell>
        </row>
        <row r="4370">
          <cell r="MH4370" t="str">
            <v>IQ23778536</v>
          </cell>
        </row>
        <row r="4371">
          <cell r="MH4371" t="str">
            <v>IQ6951566</v>
          </cell>
        </row>
        <row r="4372">
          <cell r="MH4372" t="str">
            <v>IQ23135629</v>
          </cell>
        </row>
        <row r="4373">
          <cell r="MH4373" t="str">
            <v>IQ5544884</v>
          </cell>
        </row>
        <row r="4374">
          <cell r="MH4374" t="str">
            <v>IQ26687965</v>
          </cell>
        </row>
        <row r="4375">
          <cell r="MH4375" t="str">
            <v>IQ49156661</v>
          </cell>
        </row>
        <row r="4376">
          <cell r="MH4376" t="str">
            <v>IQ26762640</v>
          </cell>
        </row>
        <row r="4377">
          <cell r="MH4377" t="str">
            <v>IQ23612068</v>
          </cell>
        </row>
        <row r="4378">
          <cell r="MH4378" t="str">
            <v>IQ23698736</v>
          </cell>
        </row>
        <row r="4379">
          <cell r="MH4379" t="str">
            <v>IQ12926615</v>
          </cell>
        </row>
        <row r="4380">
          <cell r="MH4380" t="str">
            <v>IQ8089848</v>
          </cell>
        </row>
        <row r="4381">
          <cell r="MH4381" t="str">
            <v>IQ23898130</v>
          </cell>
        </row>
        <row r="4382">
          <cell r="MH4382" t="str">
            <v>IQ27937972</v>
          </cell>
        </row>
        <row r="4383">
          <cell r="MH4383" t="str">
            <v>IQ35103673</v>
          </cell>
        </row>
        <row r="4384">
          <cell r="MH4384" t="str">
            <v>IQ36480342</v>
          </cell>
        </row>
        <row r="4385">
          <cell r="MH4385" t="str">
            <v>IQ26763202</v>
          </cell>
        </row>
        <row r="4386">
          <cell r="MH4386" t="str">
            <v>IQ27147433</v>
          </cell>
        </row>
        <row r="4387">
          <cell r="MH4387" t="str">
            <v>IQ27364675</v>
          </cell>
        </row>
        <row r="4388">
          <cell r="MH4388" t="str">
            <v>IQ35017220</v>
          </cell>
        </row>
        <row r="4389">
          <cell r="MH4389" t="str">
            <v>IQ8057603</v>
          </cell>
        </row>
        <row r="4390">
          <cell r="MH4390" t="str">
            <v>IQ27083341</v>
          </cell>
        </row>
        <row r="4391">
          <cell r="MH4391" t="str">
            <v>IQ27368483</v>
          </cell>
        </row>
        <row r="4392">
          <cell r="MH4392" t="str">
            <v>IQ36475408</v>
          </cell>
        </row>
        <row r="4393">
          <cell r="MH4393" t="str">
            <v>IQ26359594</v>
          </cell>
        </row>
        <row r="4394">
          <cell r="MH4394" t="str">
            <v>IQ20763405</v>
          </cell>
        </row>
        <row r="4395">
          <cell r="MH4395" t="str">
            <v>IQ185128</v>
          </cell>
        </row>
        <row r="4396">
          <cell r="MH4396" t="str">
            <v>IQ532755</v>
          </cell>
        </row>
        <row r="4397">
          <cell r="MH4397" t="str">
            <v>IQ27129470</v>
          </cell>
        </row>
        <row r="4398">
          <cell r="MH4398" t="str">
            <v>IQ29947588</v>
          </cell>
        </row>
        <row r="4399">
          <cell r="MH4399" t="str">
            <v>IQ46726697</v>
          </cell>
        </row>
        <row r="4400">
          <cell r="MH4400" t="str">
            <v>IQ54497998</v>
          </cell>
        </row>
        <row r="4401">
          <cell r="MH4401" t="str">
            <v>IQ5477152</v>
          </cell>
        </row>
        <row r="4402">
          <cell r="MH4402" t="str">
            <v>IQ46009402</v>
          </cell>
        </row>
        <row r="4403">
          <cell r="MH4403" t="str">
            <v>IQ1027191</v>
          </cell>
        </row>
        <row r="4404">
          <cell r="MH4404" t="str">
            <v>IQ13642949</v>
          </cell>
        </row>
        <row r="4405">
          <cell r="MH4405" t="str">
            <v>IQ3534547</v>
          </cell>
        </row>
        <row r="4406">
          <cell r="MH4406" t="str">
            <v>IQ42747847</v>
          </cell>
        </row>
        <row r="4407">
          <cell r="MH4407" t="str">
            <v>IQ43920786</v>
          </cell>
        </row>
        <row r="4408">
          <cell r="MH4408" t="str">
            <v>IQ43965479</v>
          </cell>
        </row>
        <row r="4409">
          <cell r="MH4409" t="str">
            <v>IQ23857403</v>
          </cell>
        </row>
        <row r="4410">
          <cell r="MH4410" t="str">
            <v>IQ988918</v>
          </cell>
        </row>
        <row r="4411">
          <cell r="MH4411" t="str">
            <v>IQ4842905</v>
          </cell>
        </row>
        <row r="4412">
          <cell r="MH4412" t="str">
            <v>IQ52056286</v>
          </cell>
        </row>
        <row r="4413">
          <cell r="MH4413" t="str">
            <v>IQ23858264</v>
          </cell>
        </row>
        <row r="4414">
          <cell r="MH4414" t="str">
            <v>IQ27129850</v>
          </cell>
        </row>
        <row r="4415">
          <cell r="MH4415" t="str">
            <v>IQ12738754</v>
          </cell>
        </row>
        <row r="4416">
          <cell r="MH4416" t="str">
            <v>IQ1926169</v>
          </cell>
        </row>
        <row r="4417">
          <cell r="MH4417" t="str">
            <v>IQ32749640</v>
          </cell>
        </row>
        <row r="4418">
          <cell r="MH4418" t="str">
            <v>IQ4509472</v>
          </cell>
        </row>
        <row r="4419">
          <cell r="MH4419" t="str">
            <v>IQ1074344</v>
          </cell>
        </row>
        <row r="4420">
          <cell r="MH4420" t="str">
            <v>IQ878935</v>
          </cell>
        </row>
        <row r="4421">
          <cell r="MH4421" t="str">
            <v>IQ26878080</v>
          </cell>
        </row>
        <row r="4422">
          <cell r="MH4422" t="str">
            <v>IQ8121978</v>
          </cell>
        </row>
        <row r="4423">
          <cell r="MH4423" t="str">
            <v>IQ34281927</v>
          </cell>
        </row>
        <row r="4424">
          <cell r="MH4424" t="str">
            <v>IQ27129852</v>
          </cell>
        </row>
        <row r="4425">
          <cell r="MH4425" t="str">
            <v>IQ43207610</v>
          </cell>
        </row>
        <row r="4426">
          <cell r="MH4426" t="str">
            <v>IQ34036990</v>
          </cell>
        </row>
        <row r="4427">
          <cell r="MH4427" t="str">
            <v>IQ115208578</v>
          </cell>
        </row>
        <row r="4428">
          <cell r="MH4428" t="str">
            <v>IQ1540901</v>
          </cell>
        </row>
        <row r="4429">
          <cell r="MH4429" t="str">
            <v>IQ26272958</v>
          </cell>
        </row>
        <row r="4430">
          <cell r="MH4430" t="str">
            <v>IQ53369584</v>
          </cell>
        </row>
        <row r="4431">
          <cell r="MH4431" t="str">
            <v>IQ35696507</v>
          </cell>
        </row>
        <row r="4432">
          <cell r="MH4432" t="str">
            <v>IQ4858271</v>
          </cell>
        </row>
        <row r="4433">
          <cell r="MH4433" t="str">
            <v>IQ283173073</v>
          </cell>
        </row>
        <row r="4434">
          <cell r="MH4434" t="str">
            <v>IQ37185624</v>
          </cell>
        </row>
        <row r="4435">
          <cell r="MH4435" t="str">
            <v>IQ32750220</v>
          </cell>
        </row>
        <row r="4436">
          <cell r="MH4436" t="str">
            <v>IQ24523292</v>
          </cell>
        </row>
        <row r="4437">
          <cell r="MH4437" t="str">
            <v>IQ4161380</v>
          </cell>
        </row>
        <row r="4438">
          <cell r="MH4438" t="str">
            <v>IQ26746686</v>
          </cell>
        </row>
        <row r="4439">
          <cell r="MH4439" t="str">
            <v>IQ33171935</v>
          </cell>
        </row>
        <row r="4440">
          <cell r="MH4440" t="str">
            <v>IQ23898395</v>
          </cell>
        </row>
        <row r="4441">
          <cell r="MH4441" t="str">
            <v>IQ9447019</v>
          </cell>
        </row>
        <row r="4442">
          <cell r="MH4442" t="str">
            <v>IQ30999822</v>
          </cell>
        </row>
        <row r="4443">
          <cell r="MH4443" t="str">
            <v>IQ5303138</v>
          </cell>
        </row>
        <row r="4444">
          <cell r="MH4444" t="str">
            <v>IQ23722419</v>
          </cell>
        </row>
        <row r="4445">
          <cell r="MH4445" t="str">
            <v>IQ27669526</v>
          </cell>
        </row>
        <row r="4446">
          <cell r="MH4446" t="str">
            <v>IQ24904113</v>
          </cell>
        </row>
        <row r="4447">
          <cell r="MH4447" t="str">
            <v>IQ32623192</v>
          </cell>
        </row>
        <row r="4448">
          <cell r="MH4448" t="str">
            <v>IQ7646260</v>
          </cell>
        </row>
        <row r="4449">
          <cell r="MH4449" t="str">
            <v>IQ33735811</v>
          </cell>
        </row>
        <row r="4450">
          <cell r="MH4450" t="str">
            <v>IQ38923241</v>
          </cell>
        </row>
        <row r="4451">
          <cell r="MH4451" t="str">
            <v>IQ2568192</v>
          </cell>
        </row>
        <row r="4452">
          <cell r="MH4452" t="str">
            <v>IQ1456904</v>
          </cell>
        </row>
        <row r="4453">
          <cell r="MH4453" t="str">
            <v>IQ26763284</v>
          </cell>
        </row>
        <row r="4454">
          <cell r="MH4454" t="str">
            <v>IQ27129906</v>
          </cell>
        </row>
        <row r="4455">
          <cell r="MH4455" t="str">
            <v>IQ433247713</v>
          </cell>
        </row>
        <row r="4456">
          <cell r="MH4456" t="str">
            <v>IQ23858102</v>
          </cell>
        </row>
        <row r="4457">
          <cell r="MH4457" t="str">
            <v>IQ24656440</v>
          </cell>
        </row>
        <row r="4458">
          <cell r="MH4458" t="str">
            <v>IQ24346196</v>
          </cell>
        </row>
        <row r="4459">
          <cell r="MH4459" t="str">
            <v>IQ26879838</v>
          </cell>
        </row>
        <row r="4460">
          <cell r="MH4460" t="str">
            <v>IQ22760478</v>
          </cell>
        </row>
        <row r="4461">
          <cell r="MH4461" t="str">
            <v>IQ23838253</v>
          </cell>
        </row>
        <row r="4462">
          <cell r="MH4462" t="str">
            <v>IQ24390246</v>
          </cell>
        </row>
        <row r="4463">
          <cell r="MH4463" t="str">
            <v>IQ20704209</v>
          </cell>
        </row>
        <row r="4464">
          <cell r="MH4464" t="str">
            <v>IQ8160303</v>
          </cell>
        </row>
        <row r="4465">
          <cell r="MH4465" t="str">
            <v>IQ27409852</v>
          </cell>
        </row>
        <row r="4466">
          <cell r="MH4466" t="str">
            <v>IQ23720859</v>
          </cell>
        </row>
        <row r="4467">
          <cell r="MH4467" t="str">
            <v>IQ47168773</v>
          </cell>
        </row>
        <row r="4468">
          <cell r="MH4468" t="str">
            <v>IQ35155291</v>
          </cell>
        </row>
        <row r="4469">
          <cell r="MH4469" t="str">
            <v>IQ40787094</v>
          </cell>
        </row>
        <row r="4470">
          <cell r="MH4470" t="str">
            <v>IQ254947226</v>
          </cell>
        </row>
        <row r="4471">
          <cell r="MH4471" t="str">
            <v>IQ30865660</v>
          </cell>
        </row>
        <row r="4472">
          <cell r="MH4472" t="str">
            <v>IQ35483557</v>
          </cell>
        </row>
        <row r="4473">
          <cell r="MH4473" t="str">
            <v>IQ35158391</v>
          </cell>
        </row>
        <row r="4474">
          <cell r="MH4474" t="str">
            <v>IQ24493948</v>
          </cell>
        </row>
        <row r="4475">
          <cell r="MH4475" t="str">
            <v>IQ1550112</v>
          </cell>
        </row>
        <row r="4476">
          <cell r="MH4476" t="str">
            <v>IQ27669531</v>
          </cell>
        </row>
        <row r="4477">
          <cell r="MH4477" t="str">
            <v>IQ23610460</v>
          </cell>
        </row>
        <row r="4478">
          <cell r="MH4478" t="str">
            <v>IQ41355702</v>
          </cell>
        </row>
        <row r="4479">
          <cell r="MH4479" t="str">
            <v>IQ36873601</v>
          </cell>
        </row>
        <row r="4480">
          <cell r="MH4480" t="str">
            <v>IQ5019662</v>
          </cell>
        </row>
        <row r="4481">
          <cell r="MH4481" t="str">
            <v>IQ44786173</v>
          </cell>
        </row>
        <row r="4482">
          <cell r="MH4482" t="str">
            <v>IQ7373131</v>
          </cell>
        </row>
        <row r="4483">
          <cell r="MH4483" t="str">
            <v>IQ35858625</v>
          </cell>
        </row>
        <row r="4484">
          <cell r="MH4484" t="str">
            <v>IQ27481979</v>
          </cell>
        </row>
        <row r="4485">
          <cell r="MH4485" t="str">
            <v>IQ2339223</v>
          </cell>
        </row>
        <row r="4486">
          <cell r="MH4486" t="str">
            <v>IQ35041124</v>
          </cell>
        </row>
        <row r="4487">
          <cell r="MH4487" t="str">
            <v>IQ11791302</v>
          </cell>
        </row>
        <row r="4488">
          <cell r="MH4488" t="str">
            <v>IQ24310583</v>
          </cell>
        </row>
        <row r="4489">
          <cell r="MH4489" t="str">
            <v>IQ23710806</v>
          </cell>
        </row>
        <row r="4490">
          <cell r="MH4490" t="str">
            <v>IQ6437673</v>
          </cell>
        </row>
        <row r="4491">
          <cell r="MH4491" t="str">
            <v>IQ27146774</v>
          </cell>
        </row>
        <row r="4492">
          <cell r="MH4492" t="str">
            <v>IQ24080811</v>
          </cell>
        </row>
        <row r="4493">
          <cell r="MH4493" t="str">
            <v>IQ42654574</v>
          </cell>
        </row>
        <row r="4494">
          <cell r="MH4494" t="str">
            <v>IQ27061144</v>
          </cell>
        </row>
        <row r="4495">
          <cell r="MH4495" t="str">
            <v>IQ34388296</v>
          </cell>
        </row>
        <row r="4496">
          <cell r="MH4496" t="str">
            <v>IQ118417570</v>
          </cell>
        </row>
        <row r="4497">
          <cell r="MH4497" t="str">
            <v>IQ42627008</v>
          </cell>
        </row>
        <row r="4498">
          <cell r="MH4498" t="str">
            <v>IQ84233739</v>
          </cell>
        </row>
        <row r="4499">
          <cell r="MH4499" t="str">
            <v>IQ27770024</v>
          </cell>
        </row>
        <row r="4500">
          <cell r="MH4500" t="str">
            <v>IQ27147307</v>
          </cell>
        </row>
        <row r="4501">
          <cell r="MH4501" t="str">
            <v>IQ5885460</v>
          </cell>
        </row>
        <row r="4502">
          <cell r="MH4502" t="str">
            <v>IQ23838406</v>
          </cell>
        </row>
        <row r="4503">
          <cell r="MH4503" t="str">
            <v>IQ26878565</v>
          </cell>
        </row>
        <row r="4504">
          <cell r="MH4504" t="str">
            <v>IQ23707755</v>
          </cell>
        </row>
        <row r="4505">
          <cell r="MH4505" t="str">
            <v>IQ3694388</v>
          </cell>
        </row>
        <row r="4506">
          <cell r="MH4506" t="str">
            <v>IQ4855522</v>
          </cell>
        </row>
        <row r="4507">
          <cell r="MH4507" t="str">
            <v>IQ8129163</v>
          </cell>
        </row>
        <row r="4508">
          <cell r="MH4508" t="str">
            <v>IQ6465044</v>
          </cell>
        </row>
        <row r="4509">
          <cell r="MH4509" t="str">
            <v>IQ27147331</v>
          </cell>
        </row>
        <row r="4510">
          <cell r="MH4510" t="str">
            <v>IQ27771660</v>
          </cell>
        </row>
        <row r="4511">
          <cell r="MH4511" t="str">
            <v>IQ26809816</v>
          </cell>
        </row>
        <row r="4512">
          <cell r="MH4512" t="str">
            <v>IQ25054175</v>
          </cell>
        </row>
        <row r="4513">
          <cell r="MH4513" t="str">
            <v>IQ40819263</v>
          </cell>
        </row>
        <row r="4514">
          <cell r="MH4514" t="str">
            <v>IQ47942606</v>
          </cell>
        </row>
        <row r="4515">
          <cell r="MH4515" t="str">
            <v>IQ27530391</v>
          </cell>
        </row>
        <row r="4516">
          <cell r="MH4516" t="str">
            <v>IQ3709742</v>
          </cell>
        </row>
        <row r="4517">
          <cell r="MH4517" t="str">
            <v>IQ998508</v>
          </cell>
        </row>
        <row r="4518">
          <cell r="MH4518" t="str">
            <v>IQ225053513</v>
          </cell>
        </row>
        <row r="4519">
          <cell r="MH4519" t="str">
            <v>IQ20759234</v>
          </cell>
        </row>
        <row r="4520">
          <cell r="MH4520" t="str">
            <v>IQ690108</v>
          </cell>
        </row>
        <row r="4521">
          <cell r="MH4521" t="str">
            <v>IQ4583613</v>
          </cell>
        </row>
        <row r="4522">
          <cell r="MH4522" t="str">
            <v>IQ30588526</v>
          </cell>
        </row>
        <row r="4523">
          <cell r="MH4523" t="str">
            <v>IQ25694969</v>
          </cell>
        </row>
        <row r="4524">
          <cell r="MH4524" t="str">
            <v>IQ4776154</v>
          </cell>
        </row>
        <row r="4525">
          <cell r="MH4525" t="str">
            <v>IQ882628</v>
          </cell>
        </row>
        <row r="4526">
          <cell r="MH4526" t="str">
            <v>IQ26635427</v>
          </cell>
        </row>
        <row r="4527">
          <cell r="MH4527" t="str">
            <v>IQ45276323</v>
          </cell>
        </row>
        <row r="4528">
          <cell r="MH4528" t="str">
            <v>IQ27147101</v>
          </cell>
        </row>
        <row r="4529">
          <cell r="MH4529" t="str">
            <v>IQ13518786</v>
          </cell>
        </row>
        <row r="4530">
          <cell r="MH4530" t="str">
            <v>IQ35669325</v>
          </cell>
        </row>
        <row r="4531">
          <cell r="MH4531" t="str">
            <v>IQ8276525</v>
          </cell>
        </row>
        <row r="4532">
          <cell r="MH4532" t="str">
            <v>IQ280964532</v>
          </cell>
        </row>
        <row r="4533">
          <cell r="MH4533" t="str">
            <v>IQ12073253</v>
          </cell>
        </row>
        <row r="4534">
          <cell r="MH4534" t="str">
            <v>IQ39480558</v>
          </cell>
        </row>
        <row r="4535">
          <cell r="MH4535" t="str">
            <v>IQ34538074</v>
          </cell>
        </row>
        <row r="4536">
          <cell r="MH4536" t="str">
            <v>IQ108992408</v>
          </cell>
        </row>
        <row r="4537">
          <cell r="MH4537" t="str">
            <v>IQ30124471</v>
          </cell>
        </row>
        <row r="4538">
          <cell r="MH4538" t="str">
            <v>IQ27527022</v>
          </cell>
        </row>
        <row r="4539">
          <cell r="MH4539" t="str">
            <v>IQ30720039</v>
          </cell>
        </row>
        <row r="4540">
          <cell r="MH4540" t="str">
            <v>IQ7473619</v>
          </cell>
        </row>
        <row r="4541">
          <cell r="MH4541" t="str">
            <v>IQ4235568</v>
          </cell>
        </row>
        <row r="4542">
          <cell r="MH4542" t="str">
            <v>IQ24964605</v>
          </cell>
        </row>
        <row r="4543">
          <cell r="MH4543" t="str">
            <v>IQ50874030</v>
          </cell>
        </row>
        <row r="4544">
          <cell r="MH4544" t="str">
            <v>IQ46452179</v>
          </cell>
        </row>
        <row r="4545">
          <cell r="MH4545" t="str">
            <v>IQ31018224</v>
          </cell>
        </row>
        <row r="4546">
          <cell r="MH4546" t="str">
            <v>IQ6970624</v>
          </cell>
        </row>
        <row r="4547">
          <cell r="MH4547" t="str">
            <v>IQ848883</v>
          </cell>
        </row>
        <row r="4548">
          <cell r="MH4548" t="str">
            <v>IQ677147</v>
          </cell>
        </row>
        <row r="4549">
          <cell r="MH4549" t="str">
            <v>IQ27061716</v>
          </cell>
        </row>
        <row r="4550">
          <cell r="MH4550" t="str">
            <v>IQ35131331</v>
          </cell>
        </row>
        <row r="4551">
          <cell r="MH4551" t="str">
            <v>IQ20889</v>
          </cell>
        </row>
        <row r="4552">
          <cell r="MH4552" t="str">
            <v>IQ29640169</v>
          </cell>
        </row>
        <row r="4553">
          <cell r="MH4553" t="str">
            <v>IQ1161694</v>
          </cell>
        </row>
        <row r="4554">
          <cell r="MH4554" t="str">
            <v>IQ62204310</v>
          </cell>
        </row>
        <row r="4555">
          <cell r="MH4555" t="str">
            <v>IQ22393265</v>
          </cell>
        </row>
        <row r="4556">
          <cell r="MH4556" t="str">
            <v>IQ1539399</v>
          </cell>
        </row>
        <row r="4557">
          <cell r="MH4557" t="str">
            <v>IQ26416072</v>
          </cell>
        </row>
        <row r="4558">
          <cell r="MH4558" t="str">
            <v>IQ27161930</v>
          </cell>
        </row>
        <row r="4559">
          <cell r="MH4559" t="str">
            <v>IQ4171437</v>
          </cell>
        </row>
        <row r="4560">
          <cell r="MH4560" t="str">
            <v>IQ27146452</v>
          </cell>
        </row>
        <row r="4561">
          <cell r="MH4561" t="str">
            <v>IQ23645673</v>
          </cell>
        </row>
        <row r="4562">
          <cell r="MH4562" t="str">
            <v>IQ23597722</v>
          </cell>
        </row>
        <row r="4563">
          <cell r="MH4563" t="str">
            <v>IQ59646470</v>
          </cell>
        </row>
        <row r="4564">
          <cell r="MH4564" t="str">
            <v>IQ34047745</v>
          </cell>
        </row>
        <row r="4565">
          <cell r="MH4565" t="str">
            <v>IQ47608148</v>
          </cell>
        </row>
        <row r="4566">
          <cell r="MH4566" t="str">
            <v>IQ24545592</v>
          </cell>
        </row>
        <row r="4567">
          <cell r="MH4567" t="str">
            <v>IQ27147596</v>
          </cell>
        </row>
        <row r="4568">
          <cell r="MH4568" t="str">
            <v>IQ310558770</v>
          </cell>
        </row>
        <row r="4569">
          <cell r="MH4569" t="str">
            <v>IQ24603654</v>
          </cell>
        </row>
        <row r="4570">
          <cell r="MH4570" t="str">
            <v>IQ23777204</v>
          </cell>
        </row>
        <row r="4571">
          <cell r="MH4571" t="str">
            <v>IQ27528751</v>
          </cell>
        </row>
        <row r="4572">
          <cell r="MH4572" t="str">
            <v>IQ36686514</v>
          </cell>
        </row>
        <row r="4573">
          <cell r="MH4573" t="str">
            <v>IQ48762664</v>
          </cell>
        </row>
        <row r="4574">
          <cell r="MH4574" t="str">
            <v>IQ24424765</v>
          </cell>
        </row>
        <row r="4575">
          <cell r="MH4575" t="str">
            <v>IQ24208357</v>
          </cell>
        </row>
        <row r="4576">
          <cell r="MH4576" t="str">
            <v>IQ51442402</v>
          </cell>
        </row>
        <row r="4577">
          <cell r="MH4577" t="str">
            <v>IQ109609109</v>
          </cell>
        </row>
        <row r="4578">
          <cell r="MH4578" t="str">
            <v>IQ3154970</v>
          </cell>
        </row>
        <row r="4579">
          <cell r="MH4579" t="str">
            <v>IQ37255284</v>
          </cell>
        </row>
        <row r="4580">
          <cell r="MH4580" t="str">
            <v>IQ215919749</v>
          </cell>
        </row>
        <row r="4581">
          <cell r="MH4581" t="str">
            <v>IQ299199</v>
          </cell>
        </row>
        <row r="4582">
          <cell r="MH4582" t="str">
            <v>IQ227937731</v>
          </cell>
        </row>
        <row r="4583">
          <cell r="MH4583" t="str">
            <v>IQ35885806</v>
          </cell>
        </row>
        <row r="4584">
          <cell r="MH4584" t="str">
            <v>IQ4876742</v>
          </cell>
        </row>
        <row r="4585">
          <cell r="MH4585" t="str">
            <v>IQ4542504</v>
          </cell>
        </row>
        <row r="4586">
          <cell r="MH4586" t="str">
            <v>IQ8910230</v>
          </cell>
        </row>
        <row r="4587">
          <cell r="MH4587" t="str">
            <v>IQ24402018</v>
          </cell>
        </row>
        <row r="4588">
          <cell r="MH4588" t="str">
            <v>IQ4422241</v>
          </cell>
        </row>
        <row r="4589">
          <cell r="MH4589" t="str">
            <v>IQ27525942</v>
          </cell>
        </row>
        <row r="4590">
          <cell r="MH4590" t="str">
            <v>IQ22212557</v>
          </cell>
        </row>
        <row r="4591">
          <cell r="MH4591" t="str">
            <v>IQ9131899</v>
          </cell>
        </row>
        <row r="4592">
          <cell r="MH4592" t="str">
            <v>IQ29606926</v>
          </cell>
        </row>
        <row r="4593">
          <cell r="MH4593" t="str">
            <v>IQ115699825</v>
          </cell>
        </row>
        <row r="4594">
          <cell r="MH4594" t="str">
            <v>IQ163894</v>
          </cell>
        </row>
        <row r="4595">
          <cell r="MH4595" t="str">
            <v>IQ27147276</v>
          </cell>
        </row>
        <row r="4596">
          <cell r="MH4596" t="str">
            <v>IQ35019096</v>
          </cell>
        </row>
        <row r="4597">
          <cell r="MH4597" t="str">
            <v>IQ6124888</v>
          </cell>
        </row>
        <row r="4598">
          <cell r="MH4598" t="str">
            <v>IQ32584610</v>
          </cell>
        </row>
        <row r="4599">
          <cell r="MH4599" t="str">
            <v>IQ36012468</v>
          </cell>
        </row>
        <row r="4600">
          <cell r="MH4600" t="str">
            <v>IQ27146755</v>
          </cell>
        </row>
        <row r="4601">
          <cell r="MH4601" t="str">
            <v>IQ27061617</v>
          </cell>
        </row>
        <row r="4602">
          <cell r="MH4602" t="str">
            <v>IQ24022462</v>
          </cell>
        </row>
        <row r="4603">
          <cell r="MH4603" t="str">
            <v>IQ27146637</v>
          </cell>
        </row>
        <row r="4604">
          <cell r="MH4604" t="str">
            <v>IQ23940272</v>
          </cell>
        </row>
        <row r="4605">
          <cell r="MH4605" t="str">
            <v>IQ1600404</v>
          </cell>
        </row>
        <row r="4606">
          <cell r="MH4606" t="str">
            <v>IQ33012486</v>
          </cell>
        </row>
        <row r="4607">
          <cell r="MH4607" t="str">
            <v>IQ22685351</v>
          </cell>
        </row>
        <row r="4608">
          <cell r="MH4608" t="str">
            <v>IQ27085606</v>
          </cell>
        </row>
        <row r="4609">
          <cell r="MH4609" t="str">
            <v>IQ27527014</v>
          </cell>
        </row>
        <row r="4610">
          <cell r="MH4610" t="str">
            <v>IQ24011936</v>
          </cell>
        </row>
        <row r="4611">
          <cell r="MH4611" t="str">
            <v>IQ27146686</v>
          </cell>
        </row>
        <row r="4612">
          <cell r="MH4612" t="str">
            <v>IQ4767998</v>
          </cell>
        </row>
        <row r="4613">
          <cell r="MH4613" t="str">
            <v>IQ4472464</v>
          </cell>
        </row>
        <row r="4614">
          <cell r="MH4614" t="str">
            <v>IQ4564205</v>
          </cell>
        </row>
        <row r="4615">
          <cell r="MH4615" t="str">
            <v>IQ96780</v>
          </cell>
        </row>
        <row r="4616">
          <cell r="MH4616" t="str">
            <v>IQ35446206</v>
          </cell>
        </row>
        <row r="4617">
          <cell r="MH4617" t="str">
            <v>IQ23397</v>
          </cell>
        </row>
        <row r="4618">
          <cell r="MH4618" t="str">
            <v>IQ23614229</v>
          </cell>
        </row>
        <row r="4619">
          <cell r="MH4619" t="str">
            <v>IQ4182810</v>
          </cell>
        </row>
        <row r="4620">
          <cell r="MH4620" t="str">
            <v>IQ27084060</v>
          </cell>
        </row>
        <row r="4621">
          <cell r="MH4621" t="str">
            <v>IQ20960127</v>
          </cell>
        </row>
        <row r="4622">
          <cell r="MH4622" t="str">
            <v>IQ4524757</v>
          </cell>
        </row>
        <row r="4623">
          <cell r="MH4623" t="str">
            <v>IQ1199058</v>
          </cell>
        </row>
        <row r="4624">
          <cell r="MH4624" t="str">
            <v>IQ20821737</v>
          </cell>
        </row>
        <row r="4625">
          <cell r="MH4625" t="str">
            <v>IQ32694578</v>
          </cell>
        </row>
        <row r="4626">
          <cell r="MH4626" t="str">
            <v>IQ27146798</v>
          </cell>
        </row>
        <row r="4627">
          <cell r="MH4627" t="str">
            <v>IQ23775950</v>
          </cell>
        </row>
        <row r="4628">
          <cell r="MH4628" t="str">
            <v>IQ35542234</v>
          </cell>
        </row>
        <row r="4629">
          <cell r="MH4629" t="str">
            <v>IQ23775965</v>
          </cell>
        </row>
        <row r="4630">
          <cell r="MH4630" t="str">
            <v>IQ36033593</v>
          </cell>
        </row>
        <row r="4631">
          <cell r="MH4631" t="str">
            <v>IQ26898195</v>
          </cell>
        </row>
        <row r="4632">
          <cell r="MH4632" t="str">
            <v>IQ27528944</v>
          </cell>
        </row>
        <row r="4633">
          <cell r="MH4633" t="str">
            <v>IQ52131184</v>
          </cell>
        </row>
        <row r="4634">
          <cell r="MH4634" t="str">
            <v>IQ21731478</v>
          </cell>
        </row>
        <row r="4635">
          <cell r="MH4635" t="str">
            <v>IQ37187356</v>
          </cell>
        </row>
        <row r="4636">
          <cell r="MH4636" t="str">
            <v>IQ23712477</v>
          </cell>
        </row>
        <row r="4637">
          <cell r="MH4637" t="str">
            <v>IQ39478059</v>
          </cell>
        </row>
        <row r="4638">
          <cell r="MH4638" t="str">
            <v>IQ134252427</v>
          </cell>
        </row>
        <row r="4639">
          <cell r="MH4639" t="str">
            <v>IQ27422897</v>
          </cell>
        </row>
        <row r="4640">
          <cell r="MH4640" t="str">
            <v>IQ20771435</v>
          </cell>
        </row>
        <row r="4641">
          <cell r="MH4641" t="str">
            <v>IQ6562730</v>
          </cell>
        </row>
        <row r="4642">
          <cell r="MH4642" t="str">
            <v>IQ3770392</v>
          </cell>
        </row>
        <row r="4643">
          <cell r="MH4643" t="str">
            <v>IQ39214114</v>
          </cell>
        </row>
        <row r="4644">
          <cell r="MH4644" t="str">
            <v>IQ3534972</v>
          </cell>
        </row>
        <row r="4645">
          <cell r="MH4645" t="str">
            <v>IQ24211233</v>
          </cell>
        </row>
        <row r="4646">
          <cell r="MH4646" t="str">
            <v>IQ61237662</v>
          </cell>
        </row>
        <row r="4647">
          <cell r="MH4647" t="str">
            <v>IQ26793025</v>
          </cell>
        </row>
        <row r="4648">
          <cell r="MH4648" t="str">
            <v>IQ324502</v>
          </cell>
        </row>
        <row r="4649">
          <cell r="MH4649" t="str">
            <v>IQ24885638</v>
          </cell>
        </row>
        <row r="4650">
          <cell r="MH4650" t="str">
            <v>IQ26808255</v>
          </cell>
        </row>
        <row r="4651">
          <cell r="MH4651" t="str">
            <v>IQ49552701</v>
          </cell>
        </row>
        <row r="4652">
          <cell r="MH4652" t="str">
            <v>IQ27128252</v>
          </cell>
        </row>
        <row r="4653">
          <cell r="MH4653" t="str">
            <v>IQ26669770</v>
          </cell>
        </row>
        <row r="4654">
          <cell r="MH4654" t="str">
            <v>IQ27351246</v>
          </cell>
        </row>
        <row r="4655">
          <cell r="MH4655" t="str">
            <v>IQ25007830</v>
          </cell>
        </row>
        <row r="4656">
          <cell r="MH4656" t="str">
            <v>IQ639954</v>
          </cell>
        </row>
        <row r="4657">
          <cell r="MH4657" t="str">
            <v>IQ12298935</v>
          </cell>
        </row>
        <row r="4658">
          <cell r="MH4658" t="str">
            <v>IQ23565713</v>
          </cell>
        </row>
        <row r="4659">
          <cell r="MH4659" t="str">
            <v>IQ1540904</v>
          </cell>
        </row>
        <row r="4660">
          <cell r="MH4660" t="str">
            <v>IQ684036</v>
          </cell>
        </row>
        <row r="4661">
          <cell r="MH4661" t="str">
            <v>IQ5664999</v>
          </cell>
        </row>
        <row r="4662">
          <cell r="MH4662" t="str">
            <v>IQ26736173</v>
          </cell>
        </row>
        <row r="4663">
          <cell r="MH4663" t="str">
            <v>IQ41863279</v>
          </cell>
        </row>
        <row r="4664">
          <cell r="MH4664" t="str">
            <v>IQ24084473</v>
          </cell>
        </row>
        <row r="4665">
          <cell r="MH4665" t="str">
            <v>IQ30589496</v>
          </cell>
        </row>
        <row r="4666">
          <cell r="MH4666" t="str">
            <v>IQ35230600</v>
          </cell>
        </row>
        <row r="4667">
          <cell r="MH4667" t="str">
            <v>IQ27084171</v>
          </cell>
        </row>
        <row r="4668">
          <cell r="MH4668" t="str">
            <v>IQ5073951</v>
          </cell>
        </row>
        <row r="4669">
          <cell r="MH4669" t="str">
            <v>IQ23459112</v>
          </cell>
        </row>
        <row r="4670">
          <cell r="MH4670" t="str">
            <v>IQ4807581</v>
          </cell>
        </row>
        <row r="4671">
          <cell r="MH4671" t="str">
            <v>IQ4803030</v>
          </cell>
        </row>
        <row r="4672">
          <cell r="MH4672" t="str">
            <v>IQ23956473</v>
          </cell>
        </row>
        <row r="4673">
          <cell r="MH4673" t="str">
            <v>IQ24425341</v>
          </cell>
        </row>
        <row r="4674">
          <cell r="MH4674" t="str">
            <v>IQ51376890</v>
          </cell>
        </row>
        <row r="4675">
          <cell r="MH4675" t="str">
            <v>IQ324492</v>
          </cell>
        </row>
        <row r="4676">
          <cell r="MH4676" t="str">
            <v>IQ27368564</v>
          </cell>
        </row>
        <row r="4677">
          <cell r="MH4677" t="str">
            <v>IQ24806742</v>
          </cell>
        </row>
        <row r="4678">
          <cell r="MH4678" t="str">
            <v>IQ1151264</v>
          </cell>
        </row>
        <row r="4679">
          <cell r="MH4679" t="str">
            <v>IQ32749653</v>
          </cell>
        </row>
        <row r="4680">
          <cell r="MH4680" t="str">
            <v>IQ25051636</v>
          </cell>
        </row>
        <row r="4681">
          <cell r="MH4681" t="str">
            <v>IQ22687621</v>
          </cell>
        </row>
        <row r="4682">
          <cell r="MH4682" t="str">
            <v>IQ22757741</v>
          </cell>
        </row>
        <row r="4683">
          <cell r="MH4683" t="str">
            <v>IQ22062907</v>
          </cell>
        </row>
        <row r="4684">
          <cell r="MH4684" t="str">
            <v>IQ27306873</v>
          </cell>
        </row>
        <row r="4685">
          <cell r="MH4685" t="str">
            <v>IQ30613035</v>
          </cell>
        </row>
        <row r="4686">
          <cell r="MH4686" t="str">
            <v>IQ268074276</v>
          </cell>
        </row>
        <row r="4687">
          <cell r="MH4687" t="str">
            <v>IQ741165</v>
          </cell>
        </row>
        <row r="4688">
          <cell r="MH4688" t="str">
            <v>IQ4258822</v>
          </cell>
        </row>
        <row r="4689">
          <cell r="MH4689" t="str">
            <v>IQ34336878</v>
          </cell>
        </row>
        <row r="4690">
          <cell r="MH4690" t="str">
            <v>IQ60272080</v>
          </cell>
        </row>
        <row r="4691">
          <cell r="MH4691" t="str">
            <v>IQ8424484</v>
          </cell>
        </row>
        <row r="4692">
          <cell r="MH4692" t="str">
            <v>IQ27081316</v>
          </cell>
        </row>
        <row r="4693">
          <cell r="MH4693" t="str">
            <v>IQ4508556</v>
          </cell>
        </row>
        <row r="4694">
          <cell r="MH4694" t="str">
            <v>IQ22884006</v>
          </cell>
        </row>
        <row r="4695">
          <cell r="MH4695" t="str">
            <v>IQ27128195</v>
          </cell>
        </row>
        <row r="4696">
          <cell r="MH4696" t="str">
            <v>IQ32824739</v>
          </cell>
        </row>
        <row r="4697">
          <cell r="MH4697" t="str">
            <v>IQ44672953</v>
          </cell>
        </row>
        <row r="4698">
          <cell r="MH4698" t="str">
            <v>IQ6313452</v>
          </cell>
        </row>
        <row r="4699">
          <cell r="MH4699" t="str">
            <v>IQ26813587</v>
          </cell>
        </row>
        <row r="4700">
          <cell r="MH4700" t="str">
            <v>IQ9328596</v>
          </cell>
        </row>
        <row r="4701">
          <cell r="MH4701" t="str">
            <v>IQ26916864</v>
          </cell>
        </row>
        <row r="4702">
          <cell r="MH4702" t="str">
            <v>IQ27461189</v>
          </cell>
        </row>
        <row r="4703">
          <cell r="MH4703" t="str">
            <v>IQ43322221</v>
          </cell>
        </row>
        <row r="4704">
          <cell r="MH4704" t="str">
            <v>IQ33875569</v>
          </cell>
        </row>
        <row r="4705">
          <cell r="MH4705" t="str">
            <v>IQ4290972</v>
          </cell>
        </row>
        <row r="4706">
          <cell r="MH4706" t="str">
            <v>IQ21817977</v>
          </cell>
        </row>
        <row r="4707">
          <cell r="MH4707" t="str">
            <v>IQ36146197</v>
          </cell>
        </row>
        <row r="4708">
          <cell r="MH4708" t="str">
            <v>IQ64792227</v>
          </cell>
        </row>
        <row r="4709">
          <cell r="MH4709" t="str">
            <v>IQ51235591</v>
          </cell>
        </row>
        <row r="4710">
          <cell r="MH4710" t="str">
            <v>IQ23036429</v>
          </cell>
        </row>
        <row r="4711">
          <cell r="MH4711" t="str">
            <v>IQ23711794</v>
          </cell>
        </row>
        <row r="4712">
          <cell r="MH4712" t="str">
            <v>IQ61228315</v>
          </cell>
        </row>
        <row r="4713">
          <cell r="MH4713" t="str">
            <v>IQ23873736</v>
          </cell>
        </row>
        <row r="4714">
          <cell r="MH4714" t="str">
            <v>IQ24793848</v>
          </cell>
        </row>
        <row r="4715">
          <cell r="MH4715" t="str">
            <v>IQ318159</v>
          </cell>
        </row>
        <row r="4716">
          <cell r="MH4716" t="str">
            <v>IQ961847</v>
          </cell>
        </row>
        <row r="4717">
          <cell r="MH4717" t="str">
            <v>IQ23676921</v>
          </cell>
        </row>
        <row r="4718">
          <cell r="MH4718" t="str">
            <v>IQ8537680</v>
          </cell>
        </row>
        <row r="4719">
          <cell r="MH4719" t="str">
            <v>IQ38920441</v>
          </cell>
        </row>
        <row r="4720">
          <cell r="MH4720" t="str">
            <v>IQ1911289</v>
          </cell>
        </row>
        <row r="4721">
          <cell r="MH4721" t="str">
            <v>IQ254777326</v>
          </cell>
        </row>
        <row r="4722">
          <cell r="MH4722" t="str">
            <v>IQ36659032</v>
          </cell>
        </row>
        <row r="4723">
          <cell r="MH4723" t="str">
            <v>IQ23626166</v>
          </cell>
        </row>
        <row r="4724">
          <cell r="MH4724" t="str">
            <v>IQ4346966</v>
          </cell>
        </row>
        <row r="4725">
          <cell r="MH4725" t="str">
            <v>IQ28717229</v>
          </cell>
        </row>
        <row r="4726">
          <cell r="MH4726" t="str">
            <v>IQ27287560</v>
          </cell>
        </row>
        <row r="4727">
          <cell r="MH4727" t="str">
            <v>IQ6476204</v>
          </cell>
        </row>
        <row r="4728">
          <cell r="MH4728" t="str">
            <v>IQ42112047</v>
          </cell>
        </row>
        <row r="4729">
          <cell r="MH4729" t="str">
            <v>IQ49407880</v>
          </cell>
        </row>
        <row r="4730">
          <cell r="MH4730" t="str">
            <v>IQ8839488</v>
          </cell>
        </row>
        <row r="4731">
          <cell r="MH4731" t="str">
            <v>IQ31211307</v>
          </cell>
        </row>
        <row r="4732">
          <cell r="MH4732" t="str">
            <v>IQ24426508</v>
          </cell>
        </row>
        <row r="4733">
          <cell r="MH4733" t="str">
            <v>IQ23334873</v>
          </cell>
        </row>
        <row r="4734">
          <cell r="MH4734" t="str">
            <v>IQ26813488</v>
          </cell>
        </row>
        <row r="4735">
          <cell r="MH4735" t="str">
            <v>IQ26687851</v>
          </cell>
        </row>
        <row r="4736">
          <cell r="MH4736" t="str">
            <v>IQ24398496</v>
          </cell>
        </row>
        <row r="4737">
          <cell r="MH4737" t="str">
            <v>IQ24011789</v>
          </cell>
        </row>
        <row r="4738">
          <cell r="MH4738" t="str">
            <v>IQ4775995</v>
          </cell>
        </row>
        <row r="4739">
          <cell r="MH4739" t="str">
            <v>IQ35196161</v>
          </cell>
        </row>
        <row r="4740">
          <cell r="MH4740" t="str">
            <v>IQ27482851</v>
          </cell>
        </row>
        <row r="4741">
          <cell r="MH4741" t="str">
            <v>IQ36511618</v>
          </cell>
        </row>
        <row r="4742">
          <cell r="MH4742" t="str">
            <v>IQ35041556</v>
          </cell>
        </row>
        <row r="4743">
          <cell r="MH4743" t="str">
            <v>IQ27771647</v>
          </cell>
        </row>
        <row r="4744">
          <cell r="MH4744" t="str">
            <v>IQ26917086</v>
          </cell>
        </row>
        <row r="4745">
          <cell r="MH4745" t="str">
            <v>IQ27083302</v>
          </cell>
        </row>
        <row r="4746">
          <cell r="MH4746" t="str">
            <v>IQ26745376</v>
          </cell>
        </row>
        <row r="4747">
          <cell r="MH4747" t="str">
            <v>IQ35537488</v>
          </cell>
        </row>
        <row r="4748">
          <cell r="MH4748" t="str">
            <v>IQ27936382</v>
          </cell>
        </row>
        <row r="4749">
          <cell r="MH4749" t="str">
            <v>IQ27146765</v>
          </cell>
        </row>
        <row r="4750">
          <cell r="MH4750" t="str">
            <v>IQ263745269</v>
          </cell>
        </row>
        <row r="4751">
          <cell r="MH4751" t="str">
            <v>IQ60960510</v>
          </cell>
        </row>
        <row r="4752">
          <cell r="MH4752" t="str">
            <v>IQ49406733</v>
          </cell>
        </row>
        <row r="4753">
          <cell r="MH4753" t="str">
            <v>IQ26809401</v>
          </cell>
        </row>
        <row r="4754">
          <cell r="MH4754" t="str">
            <v>IQ27368222</v>
          </cell>
        </row>
        <row r="4755">
          <cell r="MH4755" t="str">
            <v>IQ124932</v>
          </cell>
        </row>
        <row r="4756">
          <cell r="MH4756" t="str">
            <v>IQ26792910</v>
          </cell>
        </row>
        <row r="4757">
          <cell r="MH4757" t="str">
            <v>IQ3679975</v>
          </cell>
        </row>
        <row r="4758">
          <cell r="MH4758" t="str">
            <v>IQ27530436</v>
          </cell>
        </row>
        <row r="4759">
          <cell r="MH4759" t="str">
            <v>IQ6272554</v>
          </cell>
        </row>
        <row r="4760">
          <cell r="MH4760" t="str">
            <v>IQ11777766</v>
          </cell>
        </row>
        <row r="4761">
          <cell r="MH4761" t="str">
            <v>IQ1001540</v>
          </cell>
        </row>
        <row r="4762">
          <cell r="MH4762" t="str">
            <v>IQ8403417</v>
          </cell>
        </row>
        <row r="4763">
          <cell r="MH4763" t="str">
            <v>IQ4792214</v>
          </cell>
        </row>
        <row r="4764">
          <cell r="MH4764" t="str">
            <v>IQ69183519</v>
          </cell>
        </row>
        <row r="4765">
          <cell r="MH4765" t="str">
            <v>IQ27145685</v>
          </cell>
        </row>
        <row r="4766">
          <cell r="MH4766" t="str">
            <v>IQ9015861</v>
          </cell>
        </row>
        <row r="4767">
          <cell r="MH4767" t="str">
            <v>IQ32824940</v>
          </cell>
        </row>
        <row r="4768">
          <cell r="MH4768" t="str">
            <v>IQ948495</v>
          </cell>
        </row>
        <row r="4769">
          <cell r="MH4769" t="str">
            <v>IQ25105134</v>
          </cell>
        </row>
        <row r="4770">
          <cell r="MH4770" t="str">
            <v>IQ35884954</v>
          </cell>
        </row>
        <row r="4771">
          <cell r="MH4771" t="str">
            <v>IQ37337419</v>
          </cell>
        </row>
        <row r="4772">
          <cell r="MH4772" t="str">
            <v>IQ46407149</v>
          </cell>
        </row>
        <row r="4773">
          <cell r="MH4773" t="str">
            <v>IQ45796200</v>
          </cell>
        </row>
        <row r="4774">
          <cell r="MH4774" t="str">
            <v>IQ304430497</v>
          </cell>
        </row>
        <row r="4775">
          <cell r="MH4775" t="str">
            <v>IQ27461600</v>
          </cell>
        </row>
        <row r="4776">
          <cell r="MH4776" t="str">
            <v>IQ26914715</v>
          </cell>
        </row>
        <row r="4777">
          <cell r="MH4777" t="str">
            <v>IQ109406146</v>
          </cell>
        </row>
        <row r="4778">
          <cell r="MH4778" t="str">
            <v>IQ23971283</v>
          </cell>
        </row>
        <row r="4779">
          <cell r="MH4779" t="str">
            <v>IQ59192999</v>
          </cell>
        </row>
        <row r="4780">
          <cell r="MH4780" t="str">
            <v>IQ11765181</v>
          </cell>
        </row>
        <row r="4781">
          <cell r="MH4781" t="str">
            <v>IQ27510261</v>
          </cell>
        </row>
        <row r="4782">
          <cell r="MH4782" t="str">
            <v>IQ723175</v>
          </cell>
        </row>
        <row r="4783">
          <cell r="MH4783" t="str">
            <v>IQ13102709</v>
          </cell>
        </row>
        <row r="4784">
          <cell r="MH4784" t="str">
            <v>IQ23777094</v>
          </cell>
        </row>
        <row r="4785">
          <cell r="MH4785" t="str">
            <v>IQ96781</v>
          </cell>
        </row>
        <row r="4786">
          <cell r="MH4786" t="str">
            <v>IQ24907159</v>
          </cell>
        </row>
        <row r="4787">
          <cell r="MH4787" t="str">
            <v>IQ49713936</v>
          </cell>
        </row>
        <row r="4788">
          <cell r="MH4788" t="str">
            <v>IQ7186364</v>
          </cell>
        </row>
        <row r="4789">
          <cell r="MH4789" t="str">
            <v>IQ37322409</v>
          </cell>
        </row>
        <row r="4790">
          <cell r="MH4790" t="str">
            <v>IQ27128718</v>
          </cell>
        </row>
        <row r="4791">
          <cell r="MH4791" t="str">
            <v>IQ24066065</v>
          </cell>
        </row>
        <row r="4792">
          <cell r="MH4792" t="str">
            <v>IQ5074274</v>
          </cell>
        </row>
        <row r="4793">
          <cell r="MH4793" t="str">
            <v>IQ20703353</v>
          </cell>
        </row>
        <row r="4794">
          <cell r="MH4794" t="str">
            <v>IQ27368109</v>
          </cell>
        </row>
        <row r="4795">
          <cell r="MH4795" t="str">
            <v>IQ262348014</v>
          </cell>
        </row>
        <row r="4796">
          <cell r="MH4796" t="str">
            <v>IQ27483469</v>
          </cell>
        </row>
        <row r="4797">
          <cell r="MH4797" t="str">
            <v>IQ39437412</v>
          </cell>
        </row>
        <row r="4798">
          <cell r="MH4798" t="str">
            <v>IQ23755378</v>
          </cell>
        </row>
        <row r="4799">
          <cell r="MH4799" t="str">
            <v>IQ262344025</v>
          </cell>
        </row>
        <row r="4800">
          <cell r="MH4800" t="str">
            <v>IQ2173851</v>
          </cell>
        </row>
        <row r="4801">
          <cell r="MH4801" t="str">
            <v>IQ34029743</v>
          </cell>
        </row>
        <row r="4802">
          <cell r="MH4802" t="str">
            <v>IQ5113765</v>
          </cell>
        </row>
        <row r="4803">
          <cell r="MH4803" t="str">
            <v>IQ177031</v>
          </cell>
        </row>
        <row r="4804">
          <cell r="MH4804" t="str">
            <v>IQ666715</v>
          </cell>
        </row>
        <row r="4805">
          <cell r="MH4805" t="str">
            <v>IQ1106286</v>
          </cell>
        </row>
        <row r="4806">
          <cell r="MH4806" t="str">
            <v>IQ33573617</v>
          </cell>
        </row>
        <row r="4807">
          <cell r="MH4807" t="str">
            <v>IQ11172807</v>
          </cell>
        </row>
        <row r="4808">
          <cell r="MH4808" t="str">
            <v>IQ4578595</v>
          </cell>
        </row>
        <row r="4809">
          <cell r="MH4809" t="str">
            <v>IQ23515486</v>
          </cell>
        </row>
        <row r="4810">
          <cell r="MH4810" t="str">
            <v>IQ24601921</v>
          </cell>
        </row>
        <row r="4811">
          <cell r="MH4811" t="str">
            <v>IQ44457831</v>
          </cell>
        </row>
        <row r="4812">
          <cell r="MH4812" t="str">
            <v>IQ37414783</v>
          </cell>
        </row>
        <row r="4813">
          <cell r="MH4813" t="str">
            <v>IQ37186394</v>
          </cell>
        </row>
        <row r="4814">
          <cell r="MH4814" t="str">
            <v>IQ4773812</v>
          </cell>
        </row>
        <row r="4815">
          <cell r="MH4815" t="str">
            <v>IQ5927189</v>
          </cell>
        </row>
        <row r="4816">
          <cell r="MH4816" t="str">
            <v>IQ324500</v>
          </cell>
        </row>
        <row r="4817">
          <cell r="MH4817" t="str">
            <v>IQ985875</v>
          </cell>
        </row>
        <row r="4818">
          <cell r="MH4818" t="str">
            <v>IQ788225</v>
          </cell>
        </row>
        <row r="4819">
          <cell r="MH4819" t="str">
            <v>IQ108841</v>
          </cell>
        </row>
        <row r="4820">
          <cell r="MH4820" t="str">
            <v>IQ33065992</v>
          </cell>
        </row>
        <row r="4821">
          <cell r="MH4821" t="str">
            <v>IQ35126748</v>
          </cell>
        </row>
        <row r="4822">
          <cell r="MH4822" t="str">
            <v>IQ32892217</v>
          </cell>
        </row>
        <row r="4823">
          <cell r="MH4823" t="str">
            <v>IQ27061214</v>
          </cell>
        </row>
        <row r="4824">
          <cell r="MH4824" t="str">
            <v>IQ23954747</v>
          </cell>
        </row>
        <row r="4825">
          <cell r="MH4825" t="str">
            <v>IQ27510337</v>
          </cell>
        </row>
        <row r="4826">
          <cell r="MH4826" t="str">
            <v>IQ4539288</v>
          </cell>
        </row>
        <row r="4827">
          <cell r="MH4827" t="str">
            <v>IQ208445</v>
          </cell>
        </row>
        <row r="4828">
          <cell r="MH4828" t="str">
            <v>IQ560248</v>
          </cell>
        </row>
        <row r="4829">
          <cell r="MH4829" t="str">
            <v>IQ59490030</v>
          </cell>
        </row>
        <row r="4830">
          <cell r="MH4830" t="str">
            <v>IQ35108077</v>
          </cell>
        </row>
        <row r="4831">
          <cell r="MH4831" t="str">
            <v>IQ27146864</v>
          </cell>
        </row>
        <row r="4832">
          <cell r="MH4832" t="str">
            <v>IQ27528955</v>
          </cell>
        </row>
        <row r="4833">
          <cell r="MH4833" t="str">
            <v>IQ20357568</v>
          </cell>
        </row>
        <row r="4834">
          <cell r="MH4834" t="str">
            <v>IQ5452850</v>
          </cell>
        </row>
        <row r="4835">
          <cell r="MH4835" t="str">
            <v>IQ35373228</v>
          </cell>
        </row>
        <row r="4836">
          <cell r="MH4836" t="str">
            <v>IQ32387031</v>
          </cell>
        </row>
        <row r="4837">
          <cell r="MH4837" t="str">
            <v>IQ31133372</v>
          </cell>
        </row>
        <row r="4838">
          <cell r="MH4838" t="str">
            <v>IQ35292398</v>
          </cell>
        </row>
        <row r="4839">
          <cell r="MH4839" t="str">
            <v>IQ903115</v>
          </cell>
        </row>
        <row r="4840">
          <cell r="MH4840" t="str">
            <v>IQ312200308</v>
          </cell>
        </row>
        <row r="4841">
          <cell r="MH4841" t="str">
            <v>IQ5092438</v>
          </cell>
        </row>
        <row r="4842">
          <cell r="MH4842" t="str">
            <v>IQ27778925</v>
          </cell>
        </row>
        <row r="4843">
          <cell r="MH4843" t="str">
            <v>IQ27483509</v>
          </cell>
        </row>
        <row r="4844">
          <cell r="MH4844" t="str">
            <v>IQ35017586</v>
          </cell>
        </row>
        <row r="4845">
          <cell r="MH4845" t="str">
            <v>IQ658536</v>
          </cell>
        </row>
        <row r="4846">
          <cell r="MH4846" t="str">
            <v>IQ35443272</v>
          </cell>
        </row>
        <row r="4847">
          <cell r="MH4847" t="str">
            <v>IQ35229804</v>
          </cell>
        </row>
        <row r="4848">
          <cell r="MH4848" t="str">
            <v>IQ6986335</v>
          </cell>
        </row>
        <row r="4849">
          <cell r="MH4849" t="str">
            <v>IQ23812743</v>
          </cell>
        </row>
        <row r="4850">
          <cell r="MH4850" t="str">
            <v>IQ26917047</v>
          </cell>
        </row>
        <row r="4851">
          <cell r="MH4851" t="str">
            <v>IQ35424852</v>
          </cell>
        </row>
        <row r="4852">
          <cell r="MH4852" t="str">
            <v>IQ27525625</v>
          </cell>
        </row>
        <row r="4853">
          <cell r="MH4853" t="str">
            <v>IQ12298259</v>
          </cell>
        </row>
        <row r="4854">
          <cell r="MH4854" t="str">
            <v>IQ27585126</v>
          </cell>
        </row>
        <row r="4855">
          <cell r="MH4855" t="str">
            <v>IQ1452509</v>
          </cell>
        </row>
        <row r="4856">
          <cell r="MH4856" t="str">
            <v>IQ32527432</v>
          </cell>
        </row>
        <row r="4857">
          <cell r="MH4857" t="str">
            <v>IQ27129071</v>
          </cell>
        </row>
        <row r="4858">
          <cell r="MH4858" t="str">
            <v>IQ26605921</v>
          </cell>
        </row>
        <row r="4859">
          <cell r="MH4859" t="str">
            <v>IQ27143563</v>
          </cell>
        </row>
        <row r="4860">
          <cell r="MH4860" t="str">
            <v>IQ33301526</v>
          </cell>
        </row>
        <row r="4861">
          <cell r="MH4861" t="str">
            <v>IQ27127541</v>
          </cell>
        </row>
        <row r="4862">
          <cell r="MH4862" t="str">
            <v>IQ11106408</v>
          </cell>
        </row>
        <row r="4863">
          <cell r="MH4863" t="str">
            <v>IQ5914502</v>
          </cell>
        </row>
        <row r="4864">
          <cell r="MH4864" t="str">
            <v>IQ37092088</v>
          </cell>
        </row>
        <row r="4865">
          <cell r="MH4865" t="str">
            <v>IQ24494795</v>
          </cell>
        </row>
        <row r="4866">
          <cell r="MH4866" t="str">
            <v>IQ23813432</v>
          </cell>
        </row>
        <row r="4867">
          <cell r="MH4867" t="str">
            <v>IQ6462212</v>
          </cell>
        </row>
        <row r="4868">
          <cell r="MH4868" t="str">
            <v>IQ2755635</v>
          </cell>
        </row>
        <row r="4869">
          <cell r="MH4869" t="str">
            <v>IQ2814991</v>
          </cell>
        </row>
        <row r="4870">
          <cell r="MH4870" t="str">
            <v>IQ3534406</v>
          </cell>
        </row>
        <row r="4871">
          <cell r="MH4871" t="str">
            <v>IQ12169762</v>
          </cell>
        </row>
        <row r="4872">
          <cell r="MH4872" t="str">
            <v>IQ26822908</v>
          </cell>
        </row>
        <row r="4873">
          <cell r="MH4873" t="str">
            <v>IQ22882762</v>
          </cell>
        </row>
        <row r="4874">
          <cell r="MH4874" t="str">
            <v>IQ33576304</v>
          </cell>
        </row>
        <row r="4875">
          <cell r="MH4875" t="str">
            <v>IQ4509421</v>
          </cell>
        </row>
        <row r="4876">
          <cell r="MH4876" t="str">
            <v>IQ969343</v>
          </cell>
        </row>
        <row r="4877">
          <cell r="MH4877" t="str">
            <v>IQ4841067</v>
          </cell>
        </row>
        <row r="4878">
          <cell r="MH4878" t="str">
            <v>IQ61538649</v>
          </cell>
        </row>
        <row r="4879">
          <cell r="MH4879" t="str">
            <v>IQ9829518</v>
          </cell>
        </row>
        <row r="4880">
          <cell r="MH4880" t="str">
            <v>IQ1032379</v>
          </cell>
        </row>
        <row r="4881">
          <cell r="MH4881" t="str">
            <v>IQ27483480</v>
          </cell>
        </row>
        <row r="4882">
          <cell r="MH4882" t="str">
            <v>IQ846850</v>
          </cell>
        </row>
        <row r="4883">
          <cell r="MH4883" t="str">
            <v>IQ35446743</v>
          </cell>
        </row>
        <row r="4884">
          <cell r="MH4884" t="str">
            <v>IQ24364331</v>
          </cell>
        </row>
        <row r="4885">
          <cell r="MH4885" t="str">
            <v>IQ26899094</v>
          </cell>
        </row>
        <row r="4886">
          <cell r="MH4886" t="str">
            <v>IQ23110532</v>
          </cell>
        </row>
        <row r="4887">
          <cell r="MH4887" t="str">
            <v>IQ25976427</v>
          </cell>
        </row>
        <row r="4888">
          <cell r="MH4888" t="str">
            <v>IQ638822</v>
          </cell>
        </row>
        <row r="4889">
          <cell r="MH4889" t="str">
            <v>IQ116887938</v>
          </cell>
        </row>
        <row r="4890">
          <cell r="MH4890" t="str">
            <v>IQ35042073</v>
          </cell>
        </row>
        <row r="4891">
          <cell r="MH4891" t="str">
            <v>IQ35672753</v>
          </cell>
        </row>
        <row r="4892">
          <cell r="MH4892" t="str">
            <v>IQ35132786</v>
          </cell>
        </row>
        <row r="4893">
          <cell r="MH4893" t="str">
            <v>IQ8935456</v>
          </cell>
        </row>
        <row r="4894">
          <cell r="MH4894" t="str">
            <v>IQ138241</v>
          </cell>
        </row>
        <row r="4895">
          <cell r="MH4895" t="str">
            <v>IQ27351639</v>
          </cell>
        </row>
        <row r="4896">
          <cell r="MH4896" t="str">
            <v>IQ24404076</v>
          </cell>
        </row>
        <row r="4897">
          <cell r="MH4897" t="str">
            <v>IQ134117836</v>
          </cell>
        </row>
        <row r="4898">
          <cell r="MH4898" t="str">
            <v>IQ20407626</v>
          </cell>
        </row>
        <row r="4899">
          <cell r="MH4899" t="str">
            <v>IQ20407752</v>
          </cell>
        </row>
        <row r="4900">
          <cell r="MH4900" t="str">
            <v>IQ23735937</v>
          </cell>
        </row>
        <row r="4901">
          <cell r="MH4901" t="str">
            <v>IQ4877770</v>
          </cell>
        </row>
        <row r="4902">
          <cell r="MH4902" t="str">
            <v>IQ35483562</v>
          </cell>
        </row>
        <row r="4903">
          <cell r="MH4903" t="str">
            <v>IQ20903526</v>
          </cell>
        </row>
        <row r="4904">
          <cell r="MH4904" t="str">
            <v>IQ33964364</v>
          </cell>
        </row>
        <row r="4905">
          <cell r="MH4905" t="str">
            <v>IQ34700492</v>
          </cell>
        </row>
        <row r="4906">
          <cell r="MH4906" t="str">
            <v>IQ13514191</v>
          </cell>
        </row>
        <row r="4907">
          <cell r="MH4907" t="str">
            <v>IQ27083100</v>
          </cell>
        </row>
        <row r="4908">
          <cell r="MH4908" t="str">
            <v>IQ4483619</v>
          </cell>
        </row>
        <row r="4909">
          <cell r="MH4909" t="str">
            <v>IQ30577291</v>
          </cell>
        </row>
        <row r="4910">
          <cell r="MH4910" t="str">
            <v>IQ874483</v>
          </cell>
        </row>
        <row r="4911">
          <cell r="MH4911" t="str">
            <v>IQ4481131</v>
          </cell>
        </row>
        <row r="4912">
          <cell r="MH4912" t="str">
            <v>IQ24083171</v>
          </cell>
        </row>
        <row r="4913">
          <cell r="MH4913" t="str">
            <v>IQ216236382</v>
          </cell>
        </row>
        <row r="4914">
          <cell r="MH4914" t="str">
            <v>IQ43963252</v>
          </cell>
        </row>
        <row r="4915">
          <cell r="MH4915" t="str">
            <v>IQ1943383</v>
          </cell>
        </row>
        <row r="4916">
          <cell r="MH4916" t="str">
            <v>IQ42222518</v>
          </cell>
        </row>
        <row r="4917">
          <cell r="MH4917" t="str">
            <v>IQ53504687</v>
          </cell>
        </row>
        <row r="4918">
          <cell r="MH4918" t="str">
            <v>IQ36509306</v>
          </cell>
        </row>
        <row r="4919">
          <cell r="MH4919" t="str">
            <v>IQ24192407</v>
          </cell>
        </row>
        <row r="4920">
          <cell r="MH4920" t="str">
            <v>IQ23570265</v>
          </cell>
        </row>
        <row r="4921">
          <cell r="MH4921" t="str">
            <v>IQ26630090</v>
          </cell>
        </row>
        <row r="4922">
          <cell r="MH4922" t="str">
            <v>IQ9471328</v>
          </cell>
        </row>
        <row r="4923">
          <cell r="MH4923" t="str">
            <v>IQ27061596</v>
          </cell>
        </row>
        <row r="4924">
          <cell r="MH4924" t="str">
            <v>IQ27129084</v>
          </cell>
        </row>
        <row r="4925">
          <cell r="MH4925" t="str">
            <v>IQ34073249</v>
          </cell>
        </row>
        <row r="4926">
          <cell r="MH4926" t="str">
            <v>IQ27147289</v>
          </cell>
        </row>
        <row r="4927">
          <cell r="MH4927" t="str">
            <v>IQ44706706</v>
          </cell>
        </row>
        <row r="4928">
          <cell r="MH4928" t="str">
            <v>IQ23734218</v>
          </cell>
        </row>
        <row r="4929">
          <cell r="MH4929" t="str">
            <v>IQ27527669</v>
          </cell>
        </row>
        <row r="4930">
          <cell r="MH4930" t="str">
            <v>IQ744927</v>
          </cell>
        </row>
        <row r="4931">
          <cell r="MH4931" t="str">
            <v>IQ27128409</v>
          </cell>
        </row>
        <row r="4932">
          <cell r="MH4932" t="str">
            <v>IQ48815918</v>
          </cell>
        </row>
        <row r="4933">
          <cell r="MH4933" t="str">
            <v>IQ5409974</v>
          </cell>
        </row>
        <row r="4934">
          <cell r="MH4934" t="str">
            <v>IQ27061064</v>
          </cell>
        </row>
        <row r="4935">
          <cell r="MH4935" t="str">
            <v>IQ27525932</v>
          </cell>
        </row>
        <row r="4936">
          <cell r="MH4936" t="str">
            <v>IQ106676554</v>
          </cell>
        </row>
        <row r="4937">
          <cell r="MH4937" t="str">
            <v>IQ24269026</v>
          </cell>
        </row>
        <row r="4938">
          <cell r="MH4938" t="str">
            <v>IQ4600103</v>
          </cell>
        </row>
        <row r="4939">
          <cell r="MH4939" t="str">
            <v>IQ24047842</v>
          </cell>
        </row>
        <row r="4940">
          <cell r="MH4940" t="str">
            <v>IQ32946750</v>
          </cell>
        </row>
        <row r="4941">
          <cell r="MH4941" t="str">
            <v>IQ4029847</v>
          </cell>
        </row>
        <row r="4942">
          <cell r="MH4942" t="str">
            <v>IQ23685786</v>
          </cell>
        </row>
        <row r="4943">
          <cell r="MH4943" t="str">
            <v>IQ3534562</v>
          </cell>
        </row>
        <row r="4944">
          <cell r="MH4944" t="str">
            <v>IQ3534974</v>
          </cell>
        </row>
        <row r="4945">
          <cell r="MH4945" t="str">
            <v>IQ3037497</v>
          </cell>
        </row>
        <row r="4946">
          <cell r="MH4946" t="str">
            <v>IQ22184861</v>
          </cell>
        </row>
        <row r="4947">
          <cell r="MH4947" t="str">
            <v>IQ24048693</v>
          </cell>
        </row>
        <row r="4948">
          <cell r="MH4948" t="str">
            <v>IQ10945401</v>
          </cell>
        </row>
        <row r="4949">
          <cell r="MH4949" t="str">
            <v>IQ22096459</v>
          </cell>
        </row>
        <row r="4950">
          <cell r="MH4950" t="str">
            <v>IQ23775146</v>
          </cell>
        </row>
        <row r="4951">
          <cell r="MH4951" t="str">
            <v>IQ23839424</v>
          </cell>
        </row>
        <row r="4952">
          <cell r="MH4952" t="str">
            <v>IQ44494490</v>
          </cell>
        </row>
        <row r="4953">
          <cell r="MH4953" t="str">
            <v>IQ33875175</v>
          </cell>
        </row>
        <row r="4954">
          <cell r="MH4954" t="str">
            <v>IQ30640718</v>
          </cell>
        </row>
        <row r="4955">
          <cell r="MH4955" t="str">
            <v>IQ7914486</v>
          </cell>
        </row>
        <row r="4956">
          <cell r="MH4956" t="str">
            <v>IQ295849757</v>
          </cell>
        </row>
        <row r="4957">
          <cell r="MH4957" t="str">
            <v>IQ27310778</v>
          </cell>
        </row>
        <row r="4958">
          <cell r="MH4958" t="str">
            <v>IQ1443426</v>
          </cell>
        </row>
        <row r="4959">
          <cell r="MH4959" t="str">
            <v>IQ22155371</v>
          </cell>
        </row>
        <row r="4960">
          <cell r="MH4960" t="str">
            <v>IQ35443942</v>
          </cell>
        </row>
        <row r="4961">
          <cell r="MH4961" t="str">
            <v>IQ1057050</v>
          </cell>
        </row>
        <row r="4962">
          <cell r="MH4962" t="str">
            <v>IQ7222812</v>
          </cell>
        </row>
        <row r="4963">
          <cell r="MH4963" t="str">
            <v>IQ6733579</v>
          </cell>
        </row>
        <row r="4964">
          <cell r="MH4964" t="str">
            <v>IQ23937458</v>
          </cell>
        </row>
        <row r="4965">
          <cell r="MH4965" t="str">
            <v>IQ24901755</v>
          </cell>
        </row>
        <row r="4966">
          <cell r="MH4966" t="str">
            <v>IQ27146599</v>
          </cell>
        </row>
        <row r="4967">
          <cell r="MH4967" t="str">
            <v>IQ35425224</v>
          </cell>
        </row>
        <row r="4968">
          <cell r="MH4968" t="str">
            <v>IQ30354751</v>
          </cell>
        </row>
        <row r="4969">
          <cell r="MH4969" t="str">
            <v>IQ35246289</v>
          </cell>
        </row>
        <row r="4970">
          <cell r="MH4970" t="str">
            <v>IQ20412985</v>
          </cell>
        </row>
        <row r="4971">
          <cell r="MH4971" t="str">
            <v>IQ27146220</v>
          </cell>
        </row>
        <row r="4972">
          <cell r="MH4972" t="str">
            <v>IQ10331305</v>
          </cell>
        </row>
        <row r="4973">
          <cell r="MH4973" t="str">
            <v>IQ4532530</v>
          </cell>
        </row>
        <row r="4974">
          <cell r="MH4974" t="str">
            <v>IQ529234</v>
          </cell>
        </row>
        <row r="4975">
          <cell r="MH4975" t="str">
            <v>IQ21125</v>
          </cell>
        </row>
        <row r="4976">
          <cell r="MH4976" t="str">
            <v>IQ27144205</v>
          </cell>
        </row>
        <row r="4977">
          <cell r="MH4977" t="str">
            <v>IQ26840585</v>
          </cell>
        </row>
        <row r="4978">
          <cell r="MH4978" t="str">
            <v>IQ23895738</v>
          </cell>
        </row>
        <row r="4979">
          <cell r="MH4979" t="str">
            <v>IQ26896857</v>
          </cell>
        </row>
        <row r="4980">
          <cell r="MH4980" t="str">
            <v>IQ24495458</v>
          </cell>
        </row>
        <row r="4981">
          <cell r="MH4981" t="str">
            <v>IQ5303101</v>
          </cell>
        </row>
        <row r="4982">
          <cell r="MH4982" t="str">
            <v>IQ26880338</v>
          </cell>
        </row>
        <row r="4983">
          <cell r="MH4983" t="str">
            <v>IQ23775206</v>
          </cell>
        </row>
        <row r="4984">
          <cell r="MH4984" t="str">
            <v>IQ27365186</v>
          </cell>
        </row>
        <row r="4985">
          <cell r="MH4985" t="str">
            <v>IQ69172595</v>
          </cell>
        </row>
        <row r="4986">
          <cell r="MH4986" t="str">
            <v>IQ34072094</v>
          </cell>
        </row>
        <row r="4987">
          <cell r="MH4987" t="str">
            <v>IQ27482320</v>
          </cell>
        </row>
        <row r="4988">
          <cell r="MH4988" t="str">
            <v>IQ4372443</v>
          </cell>
        </row>
        <row r="4989">
          <cell r="MH4989" t="str">
            <v>IQ35485107</v>
          </cell>
        </row>
        <row r="4990">
          <cell r="MH4990" t="str">
            <v>IQ23586219</v>
          </cell>
        </row>
        <row r="4991">
          <cell r="MH4991" t="str">
            <v>IQ25007314</v>
          </cell>
        </row>
        <row r="4992">
          <cell r="MH4992" t="str">
            <v>IQ28717841</v>
          </cell>
        </row>
        <row r="4993">
          <cell r="MH4993" t="str">
            <v>IQ127592910</v>
          </cell>
        </row>
      </sheetData>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Key Stats"/>
      <sheetName val="CIQ_LinkingNames"/>
      <sheetName val="Keys Management"/>
      <sheetName val="ICS"/>
      <sheetName val="Income Statement"/>
      <sheetName val="BS"/>
      <sheetName val="Balance Sheet"/>
      <sheetName val="Graphiques"/>
      <sheetName val="CF"/>
      <sheetName val="Cash Flow"/>
      <sheetName val="Multiples"/>
      <sheetName val="Key ratio"/>
      <sheetName val="Segments"/>
      <sheetName val="Language Index 2"/>
      <sheetName val="Ratios"/>
      <sheetName val="_CIQHiddenCacheSheet"/>
      <sheetName val="Assumption"/>
      <sheetName val="Index Price"/>
      <sheetName val="DCF TEST"/>
      <sheetName val="Language Index"/>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snloffice"/>
      <sheetName val="Intro"/>
      <sheetName val="Inputs"/>
      <sheetName val="_CIQHiddenCacheSheet"/>
      <sheetName val="Tearsheet"/>
      <sheetName val="Tearsheet - Hardcoded"/>
    </sheetNames>
    <sheetDataSet>
      <sheetData sheetId="0"/>
      <sheetData sheetId="1"/>
      <sheetData sheetId="2"/>
      <sheetData sheetId="3"/>
      <sheetData sheetId="4">
        <row r="27">
          <cell r="AD27" t="str">
            <v>IQT78897317</v>
          </cell>
        </row>
        <row r="28">
          <cell r="AD28" t="str">
            <v>IQT113887384</v>
          </cell>
        </row>
        <row r="29">
          <cell r="AD29" t="str">
            <v>IQT543411236</v>
          </cell>
        </row>
        <row r="30">
          <cell r="AD30" t="str">
            <v>IQT543412933</v>
          </cell>
        </row>
        <row r="31">
          <cell r="AD31" t="str">
            <v>IQT14268770</v>
          </cell>
        </row>
        <row r="32">
          <cell r="AD32" t="str">
            <v>IQT327234724</v>
          </cell>
        </row>
        <row r="33">
          <cell r="AD33" t="str">
            <v>IQT133090783</v>
          </cell>
        </row>
        <row r="34">
          <cell r="AD34" t="str">
            <v>IQT133764405</v>
          </cell>
        </row>
        <row r="35">
          <cell r="AD35" t="str">
            <v>IQT141223131</v>
          </cell>
        </row>
        <row r="36">
          <cell r="AD36" t="str">
            <v>IQT340744358</v>
          </cell>
        </row>
        <row r="37">
          <cell r="AD37" t="str">
            <v>IQT140622340</v>
          </cell>
        </row>
        <row r="38">
          <cell r="AD38" t="str">
            <v>IQT409424328</v>
          </cell>
        </row>
        <row r="39">
          <cell r="AD39" t="str">
            <v>IQT421814499</v>
          </cell>
        </row>
        <row r="40">
          <cell r="AD40" t="str">
            <v>IQT14268767</v>
          </cell>
        </row>
        <row r="41">
          <cell r="AD41" t="str">
            <v>IQT14268768</v>
          </cell>
        </row>
        <row r="42">
          <cell r="AD42" t="str">
            <v>IQT32245114</v>
          </cell>
        </row>
        <row r="43">
          <cell r="AD43" t="str">
            <v>IQT14268761</v>
          </cell>
        </row>
        <row r="44">
          <cell r="AD44" t="str">
            <v>IQT206543143</v>
          </cell>
        </row>
        <row r="45">
          <cell r="AD45" t="str">
            <v>IQT365396917</v>
          </cell>
        </row>
        <row r="46">
          <cell r="AD46" t="str">
            <v>IQT633247179</v>
          </cell>
        </row>
        <row r="47">
          <cell r="AD47" t="str">
            <v>IQT14309373</v>
          </cell>
        </row>
        <row r="48">
          <cell r="AD48" t="str">
            <v>IQT32236675</v>
          </cell>
        </row>
        <row r="49">
          <cell r="AD49" t="str">
            <v>IQT14317219</v>
          </cell>
        </row>
        <row r="50">
          <cell r="AD50" t="str">
            <v>IQT340744360</v>
          </cell>
        </row>
        <row r="51">
          <cell r="AD51" t="str">
            <v>IQT650414763</v>
          </cell>
        </row>
        <row r="52">
          <cell r="AD52" t="str">
            <v>IQT402074826</v>
          </cell>
        </row>
        <row r="53">
          <cell r="AD53" t="str">
            <v>IQT403539287</v>
          </cell>
        </row>
        <row r="54">
          <cell r="AD54" t="str">
            <v>IQT383355285</v>
          </cell>
        </row>
        <row r="55">
          <cell r="AD55" t="str">
            <v>IQT14330621</v>
          </cell>
        </row>
        <row r="56">
          <cell r="AD56" t="str">
            <v>IQT252494486</v>
          </cell>
        </row>
        <row r="57">
          <cell r="AD57" t="str">
            <v>IQT633151533</v>
          </cell>
        </row>
        <row r="58">
          <cell r="AD58" t="str">
            <v>IQT635819359</v>
          </cell>
        </row>
        <row r="59">
          <cell r="AD59" t="str">
            <v>IQT32256240</v>
          </cell>
        </row>
        <row r="60">
          <cell r="AD60" t="str">
            <v>IQT290856542</v>
          </cell>
        </row>
        <row r="61">
          <cell r="AD61" t="str">
            <v>IQT316965963</v>
          </cell>
        </row>
        <row r="62">
          <cell r="AD62" t="str">
            <v>IQT316783936</v>
          </cell>
        </row>
        <row r="63">
          <cell r="AD63" t="str">
            <v>IQT327234723</v>
          </cell>
        </row>
        <row r="64">
          <cell r="AD64" t="str">
            <v>IQT338884555</v>
          </cell>
        </row>
        <row r="65">
          <cell r="AD65" t="str">
            <v>IQT365396918</v>
          </cell>
        </row>
        <row r="66">
          <cell r="AD66" t="str">
            <v>IQT340744361</v>
          </cell>
        </row>
        <row r="67">
          <cell r="AD67" t="str">
            <v>IQT14220027</v>
          </cell>
        </row>
        <row r="68">
          <cell r="AD68" t="str">
            <v>IQT32231425</v>
          </cell>
        </row>
        <row r="69">
          <cell r="AD69" t="str">
            <v>IQT421942922</v>
          </cell>
        </row>
        <row r="70">
          <cell r="AD70" t="str">
            <v>IQT14226544</v>
          </cell>
        </row>
        <row r="71">
          <cell r="AD71" t="str">
            <v>IQT633151534</v>
          </cell>
        </row>
        <row r="72">
          <cell r="AD72" t="str">
            <v>IQT14233829</v>
          </cell>
        </row>
        <row r="73">
          <cell r="AD73" t="str">
            <v>IQT32249922</v>
          </cell>
        </row>
        <row r="74">
          <cell r="AD74" t="str">
            <v>IQT557000821</v>
          </cell>
        </row>
        <row r="75">
          <cell r="AD75" t="str">
            <v>IQT32238058</v>
          </cell>
        </row>
        <row r="76">
          <cell r="AD76" t="str">
            <v>IQT32244752</v>
          </cell>
        </row>
        <row r="77">
          <cell r="AD77" t="str">
            <v>IQT183304413</v>
          </cell>
        </row>
        <row r="78">
          <cell r="AD78" t="str">
            <v>IQT166715725</v>
          </cell>
        </row>
        <row r="79">
          <cell r="AD79" t="str">
            <v>IQT635819360</v>
          </cell>
        </row>
        <row r="80">
          <cell r="AD80" t="str">
            <v>IQT661864015</v>
          </cell>
        </row>
        <row r="81">
          <cell r="AD81" t="str">
            <v>IQT685150798</v>
          </cell>
        </row>
        <row r="82">
          <cell r="AD82" t="str">
            <v>IQT670586852</v>
          </cell>
        </row>
        <row r="83">
          <cell r="AD83" t="str">
            <v>IQT14273550</v>
          </cell>
        </row>
        <row r="84">
          <cell r="AD84" t="str">
            <v>IQT14293939</v>
          </cell>
        </row>
        <row r="85">
          <cell r="AD85" t="str">
            <v>IQT14330622</v>
          </cell>
        </row>
        <row r="86">
          <cell r="AD86" t="str">
            <v>IQT14313287</v>
          </cell>
        </row>
        <row r="87">
          <cell r="AD87" t="str">
            <v>IQT14315234</v>
          </cell>
        </row>
        <row r="88">
          <cell r="AD88" t="str">
            <v>IQT14330623</v>
          </cell>
        </row>
        <row r="89">
          <cell r="AD89" t="str">
            <v>IQT44357531</v>
          </cell>
        </row>
        <row r="90">
          <cell r="AD90" t="str">
            <v>IQT340744362</v>
          </cell>
        </row>
        <row r="91">
          <cell r="AD91" t="str">
            <v>IQT32240455</v>
          </cell>
        </row>
        <row r="92">
          <cell r="AD92" t="str">
            <v>IQT32244946</v>
          </cell>
        </row>
        <row r="93">
          <cell r="AD93" t="str">
            <v>IQT32255202</v>
          </cell>
        </row>
        <row r="94">
          <cell r="AD94" t="str">
            <v>IQT33061121</v>
          </cell>
        </row>
        <row r="95">
          <cell r="AD95" t="str">
            <v>IQT32241838</v>
          </cell>
        </row>
        <row r="96">
          <cell r="AD96" t="str">
            <v>IQT32235159</v>
          </cell>
        </row>
        <row r="97">
          <cell r="AD97" t="str">
            <v>IQT32239533</v>
          </cell>
        </row>
        <row r="98">
          <cell r="AD98" t="str">
            <v>IQT44612570</v>
          </cell>
        </row>
        <row r="99">
          <cell r="AD99" t="str">
            <v>IQT52770038</v>
          </cell>
        </row>
        <row r="100">
          <cell r="AD100" t="str">
            <v>IQT53396329</v>
          </cell>
        </row>
        <row r="101">
          <cell r="AD101" t="str">
            <v>IQT106579042</v>
          </cell>
        </row>
        <row r="102">
          <cell r="AD102" t="str">
            <v>IQT112613388</v>
          </cell>
        </row>
        <row r="103">
          <cell r="AD103" t="str">
            <v>IQT127969286</v>
          </cell>
        </row>
        <row r="104">
          <cell r="AD104" t="str">
            <v>IQT128576158</v>
          </cell>
        </row>
        <row r="105">
          <cell r="AD105" t="str">
            <v>IQT133090782</v>
          </cell>
        </row>
        <row r="106">
          <cell r="AD106" t="str">
            <v>IQT140541309</v>
          </cell>
        </row>
        <row r="107">
          <cell r="AD107" t="str">
            <v>IQT141549583</v>
          </cell>
        </row>
        <row r="108">
          <cell r="AD108" t="str">
            <v>IQT167601952</v>
          </cell>
        </row>
        <row r="109">
          <cell r="AD109" t="str">
            <v>IQT145850968</v>
          </cell>
        </row>
        <row r="110">
          <cell r="AD110" t="str">
            <v>IQT171997571</v>
          </cell>
        </row>
        <row r="111">
          <cell r="AD111" t="str">
            <v>IQT173197591</v>
          </cell>
        </row>
        <row r="112">
          <cell r="AD112" t="str">
            <v>IQT166715726</v>
          </cell>
        </row>
        <row r="113">
          <cell r="AD113" t="str">
            <v>IQT170413857</v>
          </cell>
        </row>
        <row r="114">
          <cell r="AD114" t="str">
            <v>IQT14305582</v>
          </cell>
        </row>
        <row r="115">
          <cell r="AD115" t="str">
            <v>IQT166715727</v>
          </cell>
        </row>
        <row r="116">
          <cell r="AD116" t="str">
            <v>IQT224638503</v>
          </cell>
        </row>
        <row r="117">
          <cell r="AD117" t="str">
            <v>IQT231914796</v>
          </cell>
        </row>
        <row r="118">
          <cell r="AD118" t="str">
            <v>IQT239657499</v>
          </cell>
        </row>
        <row r="119">
          <cell r="AD119" t="str">
            <v>IQT242752850</v>
          </cell>
        </row>
        <row r="120">
          <cell r="AD120" t="str">
            <v>IQT166715728</v>
          </cell>
        </row>
        <row r="121">
          <cell r="AD121" t="str">
            <v>IQT270583306</v>
          </cell>
        </row>
        <row r="122">
          <cell r="AD122" t="str">
            <v>IQT287299602</v>
          </cell>
        </row>
        <row r="123">
          <cell r="AD123" t="str">
            <v>IQT321786740</v>
          </cell>
        </row>
        <row r="124">
          <cell r="AD124" t="str">
            <v>IQT340744363</v>
          </cell>
        </row>
        <row r="125">
          <cell r="AD125" t="str">
            <v>IQT383355286</v>
          </cell>
        </row>
        <row r="126">
          <cell r="AD126" t="str">
            <v>IQT409424327</v>
          </cell>
        </row>
        <row r="127">
          <cell r="AD127" t="str">
            <v>IQT422708900</v>
          </cell>
        </row>
        <row r="128">
          <cell r="AD128" t="str">
            <v>IQT422870320</v>
          </cell>
        </row>
        <row r="129">
          <cell r="AD129" t="str">
            <v>IQT422886987</v>
          </cell>
        </row>
        <row r="130">
          <cell r="AD130" t="str">
            <v>IQT429712514</v>
          </cell>
        </row>
        <row r="131">
          <cell r="AD131" t="str">
            <v>IQT40647139</v>
          </cell>
        </row>
        <row r="132">
          <cell r="AD132" t="str">
            <v>IQT542517150</v>
          </cell>
        </row>
        <row r="133">
          <cell r="AD133" t="str">
            <v>IQT571722851</v>
          </cell>
        </row>
        <row r="134">
          <cell r="AD134" t="str">
            <v>IQT636880149</v>
          </cell>
        </row>
        <row r="135">
          <cell r="AD135" t="str">
            <v>IQT650414764</v>
          </cell>
        </row>
        <row r="136">
          <cell r="AD136" t="str">
            <v>IQT688407010</v>
          </cell>
        </row>
        <row r="137">
          <cell r="AD137" t="str">
            <v>IQT412065066</v>
          </cell>
        </row>
        <row r="138">
          <cell r="AD138" t="str">
            <v>IQT434603504</v>
          </cell>
        </row>
        <row r="139">
          <cell r="AD139" t="str">
            <v>IQT434271137</v>
          </cell>
        </row>
        <row r="140">
          <cell r="AD140" t="str">
            <v>IQT688526174</v>
          </cell>
        </row>
        <row r="141">
          <cell r="AD141" t="str">
            <v>IQT311723415</v>
          </cell>
        </row>
        <row r="142">
          <cell r="AD142" t="str">
            <v>IQT383764872</v>
          </cell>
        </row>
        <row r="143">
          <cell r="AD143" t="str">
            <v>IQT537974747</v>
          </cell>
        </row>
        <row r="144">
          <cell r="AD144" t="str">
            <v>IQT544410403</v>
          </cell>
        </row>
        <row r="145">
          <cell r="AD145" t="str">
            <v>IQT650243218</v>
          </cell>
        </row>
        <row r="146">
          <cell r="AD146" t="str">
            <v>IQT10157946</v>
          </cell>
        </row>
        <row r="147">
          <cell r="AD147" t="str">
            <v>IQT11250711</v>
          </cell>
        </row>
        <row r="148">
          <cell r="AD148" t="str">
            <v>IQT32258922</v>
          </cell>
        </row>
        <row r="149">
          <cell r="AD149" t="str">
            <v>IQT32258923</v>
          </cell>
        </row>
        <row r="150">
          <cell r="AD150" t="str">
            <v>IQT32258924</v>
          </cell>
        </row>
        <row r="151">
          <cell r="AD151" t="str">
            <v>IQT32258925</v>
          </cell>
        </row>
        <row r="152">
          <cell r="AD152" t="str">
            <v>IQT32258926</v>
          </cell>
        </row>
        <row r="153">
          <cell r="AD153" t="str">
            <v>IQT32258927</v>
          </cell>
        </row>
        <row r="154">
          <cell r="AD154" t="str">
            <v>IQT40647134</v>
          </cell>
        </row>
        <row r="155">
          <cell r="AD155" t="str">
            <v>IQT536772871</v>
          </cell>
        </row>
      </sheetData>
      <sheetData sheetId="5"/>
    </sheetDataSet>
  </externalBook>
</externalLink>
</file>

<file path=xl/theme/theme1.xml><?xml version="1.0" encoding="utf-8"?>
<a:theme xmlns:a="http://schemas.openxmlformats.org/drawingml/2006/main" name="Office Theme">
  <a:themeElements>
    <a:clrScheme name="S&amp;P Updated">
      <a:dk1>
        <a:srgbClr val="000000"/>
      </a:dk1>
      <a:lt1>
        <a:srgbClr val="FFFFFF"/>
      </a:lt1>
      <a:dk2>
        <a:srgbClr val="5A5A5A"/>
      </a:dk2>
      <a:lt2>
        <a:srgbClr val="DFDFDF"/>
      </a:lt2>
      <a:accent1>
        <a:srgbClr val="E31837"/>
      </a:accent1>
      <a:accent2>
        <a:srgbClr val="00B1B0"/>
      </a:accent2>
      <a:accent3>
        <a:srgbClr val="919195"/>
      </a:accent3>
      <a:accent4>
        <a:srgbClr val="B5E1E1"/>
      </a:accent4>
      <a:accent5>
        <a:srgbClr val="006C67"/>
      </a:accent5>
      <a:accent6>
        <a:srgbClr val="5A3CE6"/>
      </a:accent6>
      <a:hlink>
        <a:srgbClr val="0000FF"/>
      </a:hlink>
      <a:folHlink>
        <a:srgbClr val="800080"/>
      </a:folHlink>
    </a:clrScheme>
    <a:fontScheme name="S&amp;P Capital IQ Fonts">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F33F-BB4B-4AD6-AF0A-8F0BDA58361A}">
  <dimension ref="A1:IV5"/>
  <sheetViews>
    <sheetView workbookViewId="0"/>
  </sheetViews>
  <sheetFormatPr defaultRowHeight="12.75" x14ac:dyDescent="0.35"/>
  <sheetData>
    <row r="1" spans="1:256" x14ac:dyDescent="0.35">
      <c r="A1">
        <v>1032</v>
      </c>
      <c r="B1" t="s">
        <v>12476</v>
      </c>
      <c r="C1" t="s">
        <v>12477</v>
      </c>
      <c r="D1" t="s">
        <v>12478</v>
      </c>
      <c r="E1" t="s">
        <v>12479</v>
      </c>
      <c r="F1" t="s">
        <v>12480</v>
      </c>
      <c r="G1" t="s">
        <v>12481</v>
      </c>
      <c r="H1" t="s">
        <v>12482</v>
      </c>
      <c r="I1" t="s">
        <v>12483</v>
      </c>
      <c r="J1" t="s">
        <v>12484</v>
      </c>
      <c r="K1" t="s">
        <v>12485</v>
      </c>
      <c r="L1" t="s">
        <v>12486</v>
      </c>
      <c r="M1" t="s">
        <v>12487</v>
      </c>
      <c r="N1" t="s">
        <v>12488</v>
      </c>
      <c r="O1" t="s">
        <v>12489</v>
      </c>
      <c r="P1" t="s">
        <v>12490</v>
      </c>
      <c r="Q1" t="s">
        <v>12491</v>
      </c>
      <c r="R1" t="s">
        <v>12492</v>
      </c>
      <c r="S1" t="s">
        <v>12493</v>
      </c>
      <c r="T1" t="s">
        <v>12494</v>
      </c>
      <c r="U1" t="s">
        <v>12495</v>
      </c>
      <c r="V1" t="s">
        <v>12496</v>
      </c>
      <c r="W1" t="s">
        <v>12497</v>
      </c>
      <c r="X1" t="s">
        <v>12498</v>
      </c>
      <c r="Y1" t="s">
        <v>12499</v>
      </c>
      <c r="Z1" t="s">
        <v>12500</v>
      </c>
      <c r="AA1" t="s">
        <v>12501</v>
      </c>
      <c r="AB1" t="s">
        <v>12502</v>
      </c>
      <c r="AC1" t="s">
        <v>12503</v>
      </c>
      <c r="AD1" t="s">
        <v>12504</v>
      </c>
      <c r="AE1" t="s">
        <v>12505</v>
      </c>
      <c r="AF1" t="s">
        <v>12506</v>
      </c>
      <c r="AG1" t="s">
        <v>12507</v>
      </c>
      <c r="AH1" t="s">
        <v>12508</v>
      </c>
      <c r="AI1" t="s">
        <v>12509</v>
      </c>
      <c r="AJ1" t="s">
        <v>12510</v>
      </c>
      <c r="AK1" t="s">
        <v>12511</v>
      </c>
      <c r="AL1" t="s">
        <v>12512</v>
      </c>
      <c r="AM1" t="s">
        <v>12513</v>
      </c>
      <c r="AN1" t="s">
        <v>12514</v>
      </c>
      <c r="AO1" t="s">
        <v>12515</v>
      </c>
      <c r="AP1" t="s">
        <v>12516</v>
      </c>
      <c r="AQ1" t="s">
        <v>12517</v>
      </c>
      <c r="AR1" t="s">
        <v>12518</v>
      </c>
      <c r="AS1" t="s">
        <v>12519</v>
      </c>
      <c r="AT1" t="s">
        <v>12520</v>
      </c>
      <c r="AU1" t="s">
        <v>12521</v>
      </c>
      <c r="AV1" t="s">
        <v>12522</v>
      </c>
      <c r="AW1" t="s">
        <v>12523</v>
      </c>
      <c r="AX1" t="s">
        <v>12524</v>
      </c>
      <c r="AY1" t="s">
        <v>12525</v>
      </c>
      <c r="AZ1" t="s">
        <v>12526</v>
      </c>
      <c r="BA1" t="s">
        <v>12527</v>
      </c>
      <c r="BB1" t="s">
        <v>12528</v>
      </c>
      <c r="BC1" t="s">
        <v>12529</v>
      </c>
      <c r="BD1" t="s">
        <v>12530</v>
      </c>
      <c r="BE1" t="s">
        <v>12531</v>
      </c>
      <c r="BF1" t="s">
        <v>12532</v>
      </c>
      <c r="BG1" t="s">
        <v>12533</v>
      </c>
      <c r="BH1" t="s">
        <v>12534</v>
      </c>
      <c r="BI1" t="s">
        <v>12535</v>
      </c>
      <c r="BJ1" t="s">
        <v>12536</v>
      </c>
      <c r="BK1" t="s">
        <v>12537</v>
      </c>
      <c r="BL1" t="s">
        <v>12538</v>
      </c>
      <c r="BM1" t="s">
        <v>12539</v>
      </c>
      <c r="BN1" t="s">
        <v>12540</v>
      </c>
      <c r="BO1" t="s">
        <v>12541</v>
      </c>
      <c r="BP1" t="s">
        <v>12542</v>
      </c>
      <c r="BQ1" t="s">
        <v>12543</v>
      </c>
      <c r="BR1" t="s">
        <v>12544</v>
      </c>
      <c r="BS1" t="s">
        <v>12545</v>
      </c>
      <c r="BT1" t="s">
        <v>12546</v>
      </c>
      <c r="BU1" t="s">
        <v>12547</v>
      </c>
      <c r="BV1" t="s">
        <v>12548</v>
      </c>
      <c r="BW1" t="s">
        <v>12549</v>
      </c>
      <c r="BX1" t="s">
        <v>12550</v>
      </c>
      <c r="BY1" t="s">
        <v>12551</v>
      </c>
      <c r="BZ1" t="s">
        <v>12552</v>
      </c>
      <c r="CA1" t="s">
        <v>12553</v>
      </c>
      <c r="CB1" t="s">
        <v>12554</v>
      </c>
      <c r="CC1" t="s">
        <v>12555</v>
      </c>
      <c r="CD1" t="s">
        <v>12556</v>
      </c>
      <c r="CE1" t="s">
        <v>12557</v>
      </c>
      <c r="CF1" t="s">
        <v>12558</v>
      </c>
      <c r="CG1" t="s">
        <v>12559</v>
      </c>
      <c r="CH1" t="s">
        <v>12560</v>
      </c>
      <c r="CI1" t="s">
        <v>12561</v>
      </c>
      <c r="CJ1" t="s">
        <v>12562</v>
      </c>
      <c r="CK1" t="s">
        <v>12563</v>
      </c>
      <c r="CL1" t="s">
        <v>12564</v>
      </c>
      <c r="CM1" t="s">
        <v>12565</v>
      </c>
      <c r="CN1" t="s">
        <v>12566</v>
      </c>
      <c r="CO1" t="s">
        <v>12567</v>
      </c>
      <c r="CP1" t="s">
        <v>12568</v>
      </c>
      <c r="CQ1" t="s">
        <v>12569</v>
      </c>
      <c r="CR1" t="s">
        <v>12570</v>
      </c>
      <c r="CS1" t="s">
        <v>12571</v>
      </c>
      <c r="CT1" t="s">
        <v>12572</v>
      </c>
      <c r="CU1" t="s">
        <v>12573</v>
      </c>
      <c r="CV1" t="s">
        <v>12574</v>
      </c>
      <c r="CW1" t="s">
        <v>12575</v>
      </c>
      <c r="CX1" t="s">
        <v>12576</v>
      </c>
      <c r="CY1" t="s">
        <v>12577</v>
      </c>
      <c r="CZ1" t="s">
        <v>12578</v>
      </c>
      <c r="DA1" t="s">
        <v>12579</v>
      </c>
      <c r="DB1" t="s">
        <v>12580</v>
      </c>
      <c r="DC1" t="s">
        <v>12581</v>
      </c>
      <c r="DD1" t="s">
        <v>12582</v>
      </c>
      <c r="DE1" t="s">
        <v>12583</v>
      </c>
      <c r="DF1" t="s">
        <v>12584</v>
      </c>
      <c r="DG1" t="s">
        <v>12585</v>
      </c>
      <c r="DH1" t="s">
        <v>12586</v>
      </c>
      <c r="DI1" t="s">
        <v>12587</v>
      </c>
      <c r="DJ1" t="s">
        <v>12588</v>
      </c>
      <c r="DK1" t="s">
        <v>12589</v>
      </c>
      <c r="DL1" t="s">
        <v>12590</v>
      </c>
      <c r="DM1" t="s">
        <v>12591</v>
      </c>
      <c r="DN1" t="s">
        <v>12592</v>
      </c>
      <c r="DO1" t="s">
        <v>12593</v>
      </c>
      <c r="DP1" t="s">
        <v>12594</v>
      </c>
      <c r="DQ1" t="s">
        <v>12595</v>
      </c>
      <c r="DR1" t="s">
        <v>12596</v>
      </c>
      <c r="DS1" t="s">
        <v>12597</v>
      </c>
      <c r="DT1" t="s">
        <v>12598</v>
      </c>
      <c r="DU1" t="s">
        <v>12599</v>
      </c>
      <c r="DV1" t="s">
        <v>12600</v>
      </c>
      <c r="DW1" t="s">
        <v>12601</v>
      </c>
      <c r="DX1" t="s">
        <v>12602</v>
      </c>
      <c r="DY1" t="s">
        <v>12603</v>
      </c>
      <c r="DZ1" t="s">
        <v>12604</v>
      </c>
      <c r="EA1" t="s">
        <v>12605</v>
      </c>
      <c r="EB1" t="s">
        <v>12606</v>
      </c>
      <c r="EC1" t="s">
        <v>12607</v>
      </c>
      <c r="ED1" t="s">
        <v>12608</v>
      </c>
      <c r="EE1" t="s">
        <v>12609</v>
      </c>
      <c r="EF1" t="s">
        <v>12610</v>
      </c>
      <c r="EG1" t="s">
        <v>12611</v>
      </c>
      <c r="EH1" t="s">
        <v>12612</v>
      </c>
      <c r="EI1" t="s">
        <v>12613</v>
      </c>
      <c r="EJ1" t="s">
        <v>12614</v>
      </c>
      <c r="EK1" t="s">
        <v>12615</v>
      </c>
      <c r="EL1" t="s">
        <v>12616</v>
      </c>
      <c r="EM1" t="s">
        <v>12617</v>
      </c>
      <c r="EN1" t="s">
        <v>12618</v>
      </c>
      <c r="EO1" t="s">
        <v>12619</v>
      </c>
      <c r="EP1" t="s">
        <v>12620</v>
      </c>
      <c r="EQ1" t="s">
        <v>12621</v>
      </c>
      <c r="ER1" t="s">
        <v>12622</v>
      </c>
      <c r="ES1" t="s">
        <v>12623</v>
      </c>
      <c r="ET1" t="s">
        <v>12624</v>
      </c>
      <c r="EU1" t="s">
        <v>12625</v>
      </c>
      <c r="EV1" t="s">
        <v>12626</v>
      </c>
      <c r="EW1" t="s">
        <v>12627</v>
      </c>
      <c r="EX1" t="s">
        <v>12628</v>
      </c>
      <c r="EY1" t="s">
        <v>12629</v>
      </c>
      <c r="EZ1" t="s">
        <v>12630</v>
      </c>
      <c r="FA1" t="s">
        <v>12631</v>
      </c>
      <c r="FB1" t="s">
        <v>12632</v>
      </c>
      <c r="FC1" t="s">
        <v>12633</v>
      </c>
      <c r="FD1" t="s">
        <v>12634</v>
      </c>
      <c r="FE1" t="s">
        <v>12635</v>
      </c>
      <c r="FF1" t="s">
        <v>12636</v>
      </c>
      <c r="FG1" t="s">
        <v>12637</v>
      </c>
      <c r="FH1" t="s">
        <v>12638</v>
      </c>
      <c r="FI1" t="s">
        <v>12639</v>
      </c>
      <c r="FJ1" t="s">
        <v>12640</v>
      </c>
      <c r="FK1" t="s">
        <v>12641</v>
      </c>
      <c r="FL1" t="s">
        <v>12642</v>
      </c>
      <c r="FM1" t="s">
        <v>12643</v>
      </c>
      <c r="FN1" t="s">
        <v>12644</v>
      </c>
      <c r="FO1" t="s">
        <v>12645</v>
      </c>
      <c r="FP1" t="s">
        <v>12646</v>
      </c>
      <c r="FQ1" t="s">
        <v>12647</v>
      </c>
      <c r="FR1" t="s">
        <v>12648</v>
      </c>
      <c r="FS1" t="s">
        <v>12649</v>
      </c>
      <c r="FT1" t="s">
        <v>12650</v>
      </c>
      <c r="FU1" t="s">
        <v>12651</v>
      </c>
      <c r="FV1" t="s">
        <v>12652</v>
      </c>
      <c r="FW1" t="s">
        <v>12653</v>
      </c>
      <c r="FX1" t="s">
        <v>12654</v>
      </c>
      <c r="FY1" t="s">
        <v>12655</v>
      </c>
      <c r="FZ1" t="s">
        <v>12656</v>
      </c>
      <c r="GA1" t="s">
        <v>12657</v>
      </c>
      <c r="GB1" t="s">
        <v>12658</v>
      </c>
      <c r="GC1" t="s">
        <v>12659</v>
      </c>
      <c r="GD1" t="s">
        <v>12660</v>
      </c>
      <c r="GE1" t="s">
        <v>12661</v>
      </c>
      <c r="GF1" t="s">
        <v>12662</v>
      </c>
      <c r="GG1" t="s">
        <v>12663</v>
      </c>
      <c r="GH1" t="s">
        <v>12664</v>
      </c>
      <c r="GI1" t="s">
        <v>12665</v>
      </c>
      <c r="GJ1" t="s">
        <v>12666</v>
      </c>
      <c r="GK1" t="s">
        <v>12667</v>
      </c>
      <c r="GL1" t="s">
        <v>12668</v>
      </c>
      <c r="GM1" t="s">
        <v>12669</v>
      </c>
      <c r="GN1" t="s">
        <v>12670</v>
      </c>
      <c r="GO1" t="s">
        <v>12671</v>
      </c>
      <c r="GP1" t="s">
        <v>12672</v>
      </c>
      <c r="GQ1" t="s">
        <v>12673</v>
      </c>
      <c r="GR1" t="s">
        <v>12674</v>
      </c>
      <c r="GS1" t="s">
        <v>12675</v>
      </c>
      <c r="GT1" t="s">
        <v>12676</v>
      </c>
      <c r="GU1" t="s">
        <v>12677</v>
      </c>
      <c r="GV1" t="s">
        <v>12678</v>
      </c>
      <c r="GW1" t="s">
        <v>12679</v>
      </c>
      <c r="GX1" t="s">
        <v>12680</v>
      </c>
      <c r="GY1" t="s">
        <v>12681</v>
      </c>
      <c r="GZ1" t="s">
        <v>12682</v>
      </c>
      <c r="HA1" t="s">
        <v>12683</v>
      </c>
      <c r="HB1" t="s">
        <v>12684</v>
      </c>
      <c r="HC1" t="s">
        <v>12685</v>
      </c>
      <c r="HD1" t="s">
        <v>12686</v>
      </c>
      <c r="HE1" t="s">
        <v>12687</v>
      </c>
      <c r="HF1" t="s">
        <v>12688</v>
      </c>
      <c r="HG1" t="s">
        <v>12689</v>
      </c>
      <c r="HH1" t="s">
        <v>12690</v>
      </c>
      <c r="HI1" t="s">
        <v>12691</v>
      </c>
      <c r="HJ1" t="s">
        <v>12692</v>
      </c>
      <c r="HK1" t="s">
        <v>12693</v>
      </c>
      <c r="HL1" t="s">
        <v>12694</v>
      </c>
      <c r="HM1" t="s">
        <v>12695</v>
      </c>
      <c r="HN1" t="s">
        <v>12696</v>
      </c>
      <c r="HO1" t="s">
        <v>12697</v>
      </c>
      <c r="HP1" t="s">
        <v>12698</v>
      </c>
      <c r="HQ1" t="s">
        <v>12699</v>
      </c>
      <c r="HR1" t="s">
        <v>12700</v>
      </c>
      <c r="HS1" t="s">
        <v>12701</v>
      </c>
      <c r="HT1" t="s">
        <v>12702</v>
      </c>
      <c r="HU1" t="s">
        <v>12703</v>
      </c>
      <c r="HV1" t="s">
        <v>12704</v>
      </c>
      <c r="HW1" t="s">
        <v>12705</v>
      </c>
      <c r="HX1" t="s">
        <v>12706</v>
      </c>
      <c r="HY1" t="s">
        <v>12707</v>
      </c>
      <c r="HZ1" t="s">
        <v>12708</v>
      </c>
      <c r="IA1" t="s">
        <v>12709</v>
      </c>
      <c r="IB1" t="s">
        <v>12710</v>
      </c>
      <c r="IC1" t="s">
        <v>12711</v>
      </c>
      <c r="ID1" t="s">
        <v>12712</v>
      </c>
      <c r="IE1" t="s">
        <v>12713</v>
      </c>
      <c r="IF1" t="s">
        <v>12714</v>
      </c>
      <c r="IG1" t="s">
        <v>12715</v>
      </c>
      <c r="IH1" t="s">
        <v>12716</v>
      </c>
      <c r="II1" t="s">
        <v>12717</v>
      </c>
      <c r="IJ1" t="s">
        <v>12718</v>
      </c>
      <c r="IK1" t="s">
        <v>12719</v>
      </c>
      <c r="IL1" t="s">
        <v>12720</v>
      </c>
      <c r="IM1" t="s">
        <v>12721</v>
      </c>
      <c r="IN1" t="s">
        <v>12722</v>
      </c>
      <c r="IO1" t="s">
        <v>12723</v>
      </c>
      <c r="IP1" t="s">
        <v>12724</v>
      </c>
      <c r="IQ1" t="s">
        <v>12725</v>
      </c>
      <c r="IR1" t="s">
        <v>12726</v>
      </c>
      <c r="IS1" t="s">
        <v>12727</v>
      </c>
      <c r="IT1" t="s">
        <v>12728</v>
      </c>
      <c r="IU1" t="s">
        <v>12729</v>
      </c>
      <c r="IV1" t="s">
        <v>12730</v>
      </c>
    </row>
    <row r="2" spans="1:256" x14ac:dyDescent="0.35">
      <c r="A2" t="s">
        <v>12731</v>
      </c>
      <c r="B2" t="s">
        <v>12732</v>
      </c>
      <c r="C2" t="s">
        <v>12733</v>
      </c>
      <c r="D2" t="s">
        <v>12734</v>
      </c>
      <c r="E2" t="s">
        <v>12735</v>
      </c>
      <c r="F2" t="s">
        <v>12736</v>
      </c>
      <c r="G2" t="s">
        <v>12737</v>
      </c>
      <c r="H2" t="s">
        <v>12738</v>
      </c>
      <c r="I2" t="s">
        <v>12739</v>
      </c>
      <c r="J2" t="s">
        <v>12740</v>
      </c>
      <c r="K2" t="s">
        <v>12741</v>
      </c>
      <c r="L2" t="s">
        <v>12742</v>
      </c>
      <c r="M2" t="s">
        <v>12743</v>
      </c>
      <c r="N2" t="s">
        <v>12744</v>
      </c>
      <c r="O2" t="s">
        <v>12745</v>
      </c>
      <c r="P2" t="s">
        <v>12746</v>
      </c>
      <c r="Q2" t="s">
        <v>12747</v>
      </c>
      <c r="R2" t="s">
        <v>12748</v>
      </c>
      <c r="S2" t="s">
        <v>12749</v>
      </c>
      <c r="T2" t="s">
        <v>12750</v>
      </c>
      <c r="U2" t="s">
        <v>12751</v>
      </c>
      <c r="V2" t="s">
        <v>12752</v>
      </c>
      <c r="W2" t="s">
        <v>12753</v>
      </c>
      <c r="X2" t="s">
        <v>12754</v>
      </c>
      <c r="Y2" t="s">
        <v>12755</v>
      </c>
      <c r="Z2" t="s">
        <v>12756</v>
      </c>
      <c r="AA2" t="s">
        <v>12757</v>
      </c>
      <c r="AB2" t="s">
        <v>12758</v>
      </c>
      <c r="AC2" t="s">
        <v>12759</v>
      </c>
      <c r="AD2" t="s">
        <v>12760</v>
      </c>
      <c r="AE2" t="s">
        <v>12761</v>
      </c>
      <c r="AF2" t="s">
        <v>12762</v>
      </c>
      <c r="AG2" t="s">
        <v>12763</v>
      </c>
      <c r="AH2" t="s">
        <v>12764</v>
      </c>
      <c r="AI2" t="s">
        <v>12765</v>
      </c>
      <c r="AJ2" t="s">
        <v>12766</v>
      </c>
      <c r="AK2" t="s">
        <v>12767</v>
      </c>
      <c r="AL2" t="s">
        <v>12768</v>
      </c>
      <c r="AM2" t="s">
        <v>12769</v>
      </c>
      <c r="AN2" t="s">
        <v>12770</v>
      </c>
      <c r="AO2" t="s">
        <v>12771</v>
      </c>
      <c r="AP2" t="s">
        <v>12772</v>
      </c>
      <c r="AQ2" t="s">
        <v>12773</v>
      </c>
      <c r="AR2" t="s">
        <v>12774</v>
      </c>
      <c r="AS2" t="s">
        <v>12775</v>
      </c>
      <c r="AT2" t="s">
        <v>12776</v>
      </c>
      <c r="AU2" t="s">
        <v>12777</v>
      </c>
      <c r="AV2" t="s">
        <v>12778</v>
      </c>
      <c r="AW2" t="s">
        <v>12779</v>
      </c>
      <c r="AX2" t="s">
        <v>12780</v>
      </c>
      <c r="AY2" t="s">
        <v>12781</v>
      </c>
      <c r="AZ2" t="s">
        <v>12782</v>
      </c>
      <c r="BA2" t="s">
        <v>12783</v>
      </c>
      <c r="BB2" t="s">
        <v>12784</v>
      </c>
      <c r="BC2" t="s">
        <v>12785</v>
      </c>
      <c r="BD2" t="s">
        <v>12786</v>
      </c>
      <c r="BE2" t="s">
        <v>12787</v>
      </c>
      <c r="BF2" t="s">
        <v>12788</v>
      </c>
      <c r="BG2" t="s">
        <v>12789</v>
      </c>
      <c r="BH2" t="s">
        <v>12790</v>
      </c>
      <c r="BI2" t="s">
        <v>12791</v>
      </c>
      <c r="BJ2" t="s">
        <v>12792</v>
      </c>
      <c r="BK2" t="s">
        <v>12793</v>
      </c>
      <c r="BL2" t="s">
        <v>12794</v>
      </c>
      <c r="BM2" t="s">
        <v>12795</v>
      </c>
      <c r="BN2" t="s">
        <v>12796</v>
      </c>
      <c r="BO2" t="s">
        <v>12797</v>
      </c>
      <c r="BP2" t="s">
        <v>12798</v>
      </c>
      <c r="BQ2" t="s">
        <v>12799</v>
      </c>
      <c r="BR2" t="s">
        <v>12800</v>
      </c>
      <c r="BS2" t="s">
        <v>12801</v>
      </c>
      <c r="BT2" t="s">
        <v>12802</v>
      </c>
      <c r="BU2" t="s">
        <v>12803</v>
      </c>
      <c r="BV2" t="s">
        <v>12804</v>
      </c>
      <c r="BW2" t="s">
        <v>12805</v>
      </c>
      <c r="BX2" t="s">
        <v>12806</v>
      </c>
      <c r="BY2" t="s">
        <v>12807</v>
      </c>
      <c r="BZ2" t="s">
        <v>12808</v>
      </c>
      <c r="CA2" t="s">
        <v>12809</v>
      </c>
      <c r="CB2" t="s">
        <v>12810</v>
      </c>
      <c r="CC2" t="s">
        <v>12811</v>
      </c>
      <c r="CD2" t="s">
        <v>12812</v>
      </c>
      <c r="CE2" t="s">
        <v>12813</v>
      </c>
      <c r="CF2" t="s">
        <v>12814</v>
      </c>
      <c r="CG2" t="s">
        <v>12815</v>
      </c>
      <c r="CH2" t="s">
        <v>12816</v>
      </c>
      <c r="CI2" t="s">
        <v>12817</v>
      </c>
      <c r="CJ2" t="s">
        <v>12818</v>
      </c>
      <c r="CK2" t="s">
        <v>12819</v>
      </c>
      <c r="CL2" t="s">
        <v>12820</v>
      </c>
      <c r="CM2" t="s">
        <v>12821</v>
      </c>
      <c r="CN2" t="s">
        <v>12822</v>
      </c>
      <c r="CO2" t="s">
        <v>12823</v>
      </c>
      <c r="CP2" t="s">
        <v>12824</v>
      </c>
      <c r="CQ2" t="s">
        <v>12825</v>
      </c>
      <c r="CR2" t="s">
        <v>12826</v>
      </c>
      <c r="CS2" t="s">
        <v>12827</v>
      </c>
      <c r="CT2" t="s">
        <v>12828</v>
      </c>
      <c r="CU2" t="s">
        <v>12829</v>
      </c>
      <c r="CV2" t="s">
        <v>12830</v>
      </c>
      <c r="CW2" t="s">
        <v>12831</v>
      </c>
      <c r="CX2" t="s">
        <v>12832</v>
      </c>
      <c r="CY2" t="s">
        <v>12833</v>
      </c>
      <c r="CZ2" t="s">
        <v>12834</v>
      </c>
      <c r="DA2" t="s">
        <v>12835</v>
      </c>
      <c r="DB2" t="s">
        <v>12836</v>
      </c>
      <c r="DC2" t="s">
        <v>12837</v>
      </c>
      <c r="DD2" t="s">
        <v>12838</v>
      </c>
      <c r="DE2" t="s">
        <v>12839</v>
      </c>
      <c r="DF2" t="s">
        <v>12840</v>
      </c>
      <c r="DG2" t="s">
        <v>12841</v>
      </c>
      <c r="DH2" t="s">
        <v>12842</v>
      </c>
      <c r="DI2" t="s">
        <v>12843</v>
      </c>
      <c r="DJ2" t="s">
        <v>12844</v>
      </c>
      <c r="DK2" t="s">
        <v>12845</v>
      </c>
      <c r="DL2" t="s">
        <v>12846</v>
      </c>
      <c r="DM2" t="s">
        <v>12847</v>
      </c>
      <c r="DN2" t="s">
        <v>12848</v>
      </c>
      <c r="DO2" t="s">
        <v>12849</v>
      </c>
      <c r="DP2" t="s">
        <v>12850</v>
      </c>
      <c r="DQ2" t="s">
        <v>12851</v>
      </c>
      <c r="DR2" t="s">
        <v>12852</v>
      </c>
      <c r="DS2" t="s">
        <v>12853</v>
      </c>
      <c r="DT2" t="s">
        <v>12854</v>
      </c>
      <c r="DU2" t="s">
        <v>12855</v>
      </c>
      <c r="DV2" t="s">
        <v>12856</v>
      </c>
      <c r="DW2" t="s">
        <v>12857</v>
      </c>
      <c r="DX2" t="s">
        <v>12858</v>
      </c>
      <c r="DY2" t="s">
        <v>12859</v>
      </c>
      <c r="DZ2" t="s">
        <v>12860</v>
      </c>
      <c r="EA2" t="s">
        <v>12861</v>
      </c>
      <c r="EB2" t="s">
        <v>12862</v>
      </c>
      <c r="EC2" t="s">
        <v>12863</v>
      </c>
      <c r="ED2" t="s">
        <v>12864</v>
      </c>
      <c r="EE2" t="s">
        <v>12865</v>
      </c>
      <c r="EF2" t="s">
        <v>12866</v>
      </c>
      <c r="EG2" t="s">
        <v>12867</v>
      </c>
      <c r="EH2" t="s">
        <v>12868</v>
      </c>
      <c r="EI2" t="s">
        <v>12869</v>
      </c>
      <c r="EJ2" t="s">
        <v>12870</v>
      </c>
      <c r="EK2" t="s">
        <v>12871</v>
      </c>
      <c r="EL2" t="s">
        <v>12872</v>
      </c>
      <c r="EM2" t="s">
        <v>12873</v>
      </c>
      <c r="EN2" t="s">
        <v>12874</v>
      </c>
      <c r="EO2" t="s">
        <v>12875</v>
      </c>
      <c r="EP2" t="s">
        <v>12876</v>
      </c>
      <c r="EQ2" t="s">
        <v>12877</v>
      </c>
      <c r="ER2" t="s">
        <v>12878</v>
      </c>
      <c r="ES2" t="s">
        <v>12879</v>
      </c>
      <c r="ET2" t="s">
        <v>12880</v>
      </c>
      <c r="EU2" t="s">
        <v>12881</v>
      </c>
      <c r="EV2" t="s">
        <v>12882</v>
      </c>
      <c r="EW2" t="s">
        <v>12883</v>
      </c>
      <c r="EX2" t="s">
        <v>12884</v>
      </c>
      <c r="EY2" t="s">
        <v>12885</v>
      </c>
      <c r="EZ2" t="s">
        <v>12886</v>
      </c>
      <c r="FA2" t="s">
        <v>12887</v>
      </c>
      <c r="FB2" t="s">
        <v>12888</v>
      </c>
      <c r="FC2" t="s">
        <v>12889</v>
      </c>
      <c r="FD2" t="s">
        <v>12890</v>
      </c>
      <c r="FE2" t="s">
        <v>12891</v>
      </c>
      <c r="FF2" t="s">
        <v>12892</v>
      </c>
      <c r="FG2" t="s">
        <v>12893</v>
      </c>
      <c r="FH2" t="s">
        <v>12894</v>
      </c>
      <c r="FI2" t="s">
        <v>12895</v>
      </c>
      <c r="FJ2" t="s">
        <v>12896</v>
      </c>
      <c r="FK2" t="s">
        <v>12897</v>
      </c>
      <c r="FL2" t="s">
        <v>12898</v>
      </c>
      <c r="FM2" t="s">
        <v>12899</v>
      </c>
      <c r="FN2" t="s">
        <v>12900</v>
      </c>
      <c r="FO2" t="s">
        <v>12901</v>
      </c>
      <c r="FP2" t="s">
        <v>12902</v>
      </c>
      <c r="FQ2" t="s">
        <v>12903</v>
      </c>
      <c r="FR2" t="s">
        <v>12904</v>
      </c>
      <c r="FS2" t="s">
        <v>12905</v>
      </c>
      <c r="FT2" t="s">
        <v>12906</v>
      </c>
      <c r="FU2" t="s">
        <v>12907</v>
      </c>
      <c r="FV2" t="s">
        <v>12908</v>
      </c>
      <c r="FW2" t="s">
        <v>12909</v>
      </c>
      <c r="FX2" t="s">
        <v>12910</v>
      </c>
      <c r="FY2" t="s">
        <v>12911</v>
      </c>
      <c r="FZ2" t="s">
        <v>12912</v>
      </c>
      <c r="GA2" t="s">
        <v>12913</v>
      </c>
      <c r="GB2" t="s">
        <v>12914</v>
      </c>
      <c r="GC2" t="s">
        <v>12915</v>
      </c>
      <c r="GD2" t="s">
        <v>12916</v>
      </c>
      <c r="GE2" t="s">
        <v>12917</v>
      </c>
      <c r="GF2" t="s">
        <v>12918</v>
      </c>
      <c r="GG2" t="s">
        <v>12919</v>
      </c>
      <c r="GH2" t="s">
        <v>12920</v>
      </c>
      <c r="GI2" t="s">
        <v>12921</v>
      </c>
      <c r="GJ2" t="s">
        <v>12922</v>
      </c>
      <c r="GK2" t="s">
        <v>12923</v>
      </c>
      <c r="GL2" t="s">
        <v>12924</v>
      </c>
      <c r="GM2" t="s">
        <v>12925</v>
      </c>
      <c r="GN2" t="s">
        <v>12926</v>
      </c>
      <c r="GO2" t="s">
        <v>12927</v>
      </c>
      <c r="GP2" t="s">
        <v>12928</v>
      </c>
      <c r="GQ2" t="s">
        <v>12929</v>
      </c>
      <c r="GR2" t="s">
        <v>12930</v>
      </c>
      <c r="GS2" t="s">
        <v>12931</v>
      </c>
      <c r="GT2" t="s">
        <v>12932</v>
      </c>
      <c r="GU2" t="s">
        <v>12933</v>
      </c>
      <c r="GV2" t="s">
        <v>12934</v>
      </c>
      <c r="GW2" t="s">
        <v>12935</v>
      </c>
      <c r="GX2" t="s">
        <v>12936</v>
      </c>
      <c r="GY2" t="s">
        <v>12937</v>
      </c>
      <c r="GZ2" t="s">
        <v>12938</v>
      </c>
      <c r="HA2" t="s">
        <v>12939</v>
      </c>
      <c r="HB2" t="s">
        <v>12940</v>
      </c>
      <c r="HC2" t="s">
        <v>12941</v>
      </c>
      <c r="HD2" t="s">
        <v>12942</v>
      </c>
      <c r="HE2" t="s">
        <v>12943</v>
      </c>
      <c r="HF2" t="s">
        <v>12944</v>
      </c>
      <c r="HG2" t="s">
        <v>12945</v>
      </c>
      <c r="HH2" t="s">
        <v>12946</v>
      </c>
      <c r="HI2" t="s">
        <v>12947</v>
      </c>
      <c r="HJ2" t="s">
        <v>12948</v>
      </c>
      <c r="HK2" t="s">
        <v>12949</v>
      </c>
      <c r="HL2" t="s">
        <v>12950</v>
      </c>
      <c r="HM2" t="s">
        <v>12951</v>
      </c>
      <c r="HN2" t="s">
        <v>12952</v>
      </c>
      <c r="HO2" t="s">
        <v>12953</v>
      </c>
      <c r="HP2" t="s">
        <v>12954</v>
      </c>
      <c r="HQ2" t="s">
        <v>12955</v>
      </c>
      <c r="HR2" t="s">
        <v>12956</v>
      </c>
      <c r="HS2" t="s">
        <v>12957</v>
      </c>
      <c r="HT2" t="s">
        <v>12958</v>
      </c>
      <c r="HU2" t="s">
        <v>12959</v>
      </c>
      <c r="HV2" t="s">
        <v>12960</v>
      </c>
      <c r="HW2" t="s">
        <v>12961</v>
      </c>
      <c r="HX2" t="s">
        <v>12962</v>
      </c>
      <c r="HY2" t="s">
        <v>12963</v>
      </c>
      <c r="HZ2" t="s">
        <v>12964</v>
      </c>
      <c r="IA2" t="s">
        <v>12965</v>
      </c>
      <c r="IB2" t="s">
        <v>12966</v>
      </c>
      <c r="IC2" t="s">
        <v>12967</v>
      </c>
      <c r="ID2" t="s">
        <v>12968</v>
      </c>
      <c r="IE2" t="s">
        <v>12969</v>
      </c>
      <c r="IF2" t="s">
        <v>12970</v>
      </c>
      <c r="IG2" t="s">
        <v>12971</v>
      </c>
      <c r="IH2" t="s">
        <v>12972</v>
      </c>
      <c r="II2" t="s">
        <v>12973</v>
      </c>
      <c r="IJ2" t="s">
        <v>12974</v>
      </c>
      <c r="IK2" t="s">
        <v>12975</v>
      </c>
      <c r="IL2" t="s">
        <v>12976</v>
      </c>
      <c r="IM2" t="s">
        <v>12977</v>
      </c>
      <c r="IN2" t="s">
        <v>12978</v>
      </c>
      <c r="IO2" t="s">
        <v>12979</v>
      </c>
      <c r="IP2" t="s">
        <v>12980</v>
      </c>
      <c r="IQ2" t="s">
        <v>12981</v>
      </c>
      <c r="IR2" t="s">
        <v>12982</v>
      </c>
      <c r="IS2" t="s">
        <v>12983</v>
      </c>
      <c r="IT2" t="s">
        <v>12984</v>
      </c>
      <c r="IU2" t="s">
        <v>12985</v>
      </c>
      <c r="IV2" t="s">
        <v>12986</v>
      </c>
    </row>
    <row r="3" spans="1:256" x14ac:dyDescent="0.35">
      <c r="A3" t="s">
        <v>12987</v>
      </c>
      <c r="B3" t="s">
        <v>12988</v>
      </c>
      <c r="C3" t="s">
        <v>12989</v>
      </c>
      <c r="D3" t="s">
        <v>12990</v>
      </c>
      <c r="E3" t="s">
        <v>12991</v>
      </c>
      <c r="F3" t="s">
        <v>12992</v>
      </c>
      <c r="G3" t="s">
        <v>12993</v>
      </c>
      <c r="H3" t="s">
        <v>12994</v>
      </c>
      <c r="I3" t="s">
        <v>12995</v>
      </c>
      <c r="J3" t="s">
        <v>12996</v>
      </c>
      <c r="K3" t="s">
        <v>12997</v>
      </c>
      <c r="L3" t="s">
        <v>12998</v>
      </c>
      <c r="M3" t="s">
        <v>12999</v>
      </c>
      <c r="N3" t="s">
        <v>13000</v>
      </c>
      <c r="O3" t="s">
        <v>13001</v>
      </c>
      <c r="P3" t="s">
        <v>13002</v>
      </c>
      <c r="Q3" t="s">
        <v>13003</v>
      </c>
      <c r="R3" t="s">
        <v>13004</v>
      </c>
      <c r="S3" t="s">
        <v>13005</v>
      </c>
      <c r="T3" t="s">
        <v>13006</v>
      </c>
      <c r="U3" t="s">
        <v>13007</v>
      </c>
      <c r="V3" t="s">
        <v>13008</v>
      </c>
      <c r="W3" t="s">
        <v>13009</v>
      </c>
      <c r="X3" t="s">
        <v>13010</v>
      </c>
      <c r="Y3" t="s">
        <v>13011</v>
      </c>
      <c r="Z3" t="s">
        <v>13012</v>
      </c>
      <c r="AA3" t="s">
        <v>13013</v>
      </c>
      <c r="AB3" t="s">
        <v>13014</v>
      </c>
      <c r="AC3" t="s">
        <v>13015</v>
      </c>
      <c r="AD3" t="s">
        <v>13016</v>
      </c>
      <c r="AE3" t="s">
        <v>13017</v>
      </c>
      <c r="AF3" t="s">
        <v>13018</v>
      </c>
      <c r="AG3" t="s">
        <v>13019</v>
      </c>
      <c r="AH3" t="s">
        <v>13020</v>
      </c>
      <c r="AI3" t="s">
        <v>13021</v>
      </c>
      <c r="AJ3" t="s">
        <v>13022</v>
      </c>
      <c r="AK3" t="s">
        <v>13023</v>
      </c>
      <c r="AL3" t="s">
        <v>13024</v>
      </c>
      <c r="AM3" t="s">
        <v>13025</v>
      </c>
      <c r="AN3" t="s">
        <v>13026</v>
      </c>
      <c r="AO3" t="s">
        <v>13027</v>
      </c>
      <c r="AP3" t="s">
        <v>13028</v>
      </c>
      <c r="AQ3" t="s">
        <v>13029</v>
      </c>
      <c r="AR3" t="s">
        <v>13030</v>
      </c>
      <c r="AS3" t="s">
        <v>13031</v>
      </c>
      <c r="AT3" t="s">
        <v>13032</v>
      </c>
      <c r="AU3" t="s">
        <v>13033</v>
      </c>
      <c r="AV3" t="s">
        <v>13034</v>
      </c>
      <c r="AW3" t="s">
        <v>13035</v>
      </c>
      <c r="AX3" t="s">
        <v>13036</v>
      </c>
      <c r="AY3" t="s">
        <v>13037</v>
      </c>
      <c r="AZ3" t="s">
        <v>13038</v>
      </c>
      <c r="BA3" t="s">
        <v>13039</v>
      </c>
      <c r="BB3" t="s">
        <v>13040</v>
      </c>
      <c r="BC3" t="s">
        <v>13041</v>
      </c>
      <c r="BD3" t="s">
        <v>13042</v>
      </c>
      <c r="BE3" t="s">
        <v>13043</v>
      </c>
      <c r="BF3" t="s">
        <v>13044</v>
      </c>
      <c r="BG3" t="s">
        <v>13045</v>
      </c>
      <c r="BH3" t="s">
        <v>13046</v>
      </c>
      <c r="BI3" t="s">
        <v>13047</v>
      </c>
      <c r="BJ3" t="s">
        <v>13048</v>
      </c>
      <c r="BK3" t="s">
        <v>13049</v>
      </c>
      <c r="BL3" t="s">
        <v>13050</v>
      </c>
      <c r="BM3" t="s">
        <v>13051</v>
      </c>
      <c r="BN3" t="s">
        <v>13052</v>
      </c>
      <c r="BO3" t="s">
        <v>13053</v>
      </c>
      <c r="BP3" t="s">
        <v>13054</v>
      </c>
      <c r="BQ3" t="s">
        <v>13055</v>
      </c>
      <c r="BR3" t="s">
        <v>13056</v>
      </c>
      <c r="BS3" t="s">
        <v>13057</v>
      </c>
      <c r="BT3" t="s">
        <v>13058</v>
      </c>
      <c r="BU3" t="s">
        <v>13059</v>
      </c>
      <c r="BV3" t="s">
        <v>13060</v>
      </c>
      <c r="BW3" t="s">
        <v>13061</v>
      </c>
      <c r="BX3" t="s">
        <v>13062</v>
      </c>
      <c r="BY3" t="s">
        <v>13063</v>
      </c>
      <c r="BZ3" t="s">
        <v>13064</v>
      </c>
      <c r="CA3" t="s">
        <v>13065</v>
      </c>
      <c r="CB3" t="s">
        <v>13066</v>
      </c>
      <c r="CC3" t="s">
        <v>13067</v>
      </c>
      <c r="CD3" t="s">
        <v>13068</v>
      </c>
      <c r="CE3" t="s">
        <v>13069</v>
      </c>
      <c r="CF3" t="s">
        <v>13070</v>
      </c>
      <c r="CG3" t="s">
        <v>13071</v>
      </c>
      <c r="CH3" t="s">
        <v>13072</v>
      </c>
      <c r="CI3" t="s">
        <v>13073</v>
      </c>
      <c r="CJ3" t="s">
        <v>13074</v>
      </c>
      <c r="CK3" t="s">
        <v>13075</v>
      </c>
      <c r="CL3" t="s">
        <v>13076</v>
      </c>
      <c r="CM3" t="s">
        <v>13077</v>
      </c>
      <c r="CN3" t="s">
        <v>13078</v>
      </c>
      <c r="CO3" t="s">
        <v>13079</v>
      </c>
      <c r="CP3" t="s">
        <v>13080</v>
      </c>
      <c r="CQ3" t="s">
        <v>13081</v>
      </c>
      <c r="CR3" t="s">
        <v>13082</v>
      </c>
      <c r="CS3" t="s">
        <v>13083</v>
      </c>
      <c r="CT3" t="s">
        <v>13084</v>
      </c>
      <c r="CU3" t="s">
        <v>13085</v>
      </c>
      <c r="CV3" t="s">
        <v>13086</v>
      </c>
      <c r="CW3" t="s">
        <v>13087</v>
      </c>
      <c r="CX3" t="s">
        <v>13088</v>
      </c>
      <c r="CY3" t="s">
        <v>13089</v>
      </c>
      <c r="CZ3" t="s">
        <v>13090</v>
      </c>
      <c r="DA3" t="s">
        <v>13091</v>
      </c>
      <c r="DB3" t="s">
        <v>13092</v>
      </c>
      <c r="DC3" t="s">
        <v>13093</v>
      </c>
      <c r="DD3" t="s">
        <v>13094</v>
      </c>
      <c r="DE3" t="s">
        <v>13095</v>
      </c>
      <c r="DF3" t="s">
        <v>13096</v>
      </c>
      <c r="DG3" t="s">
        <v>13097</v>
      </c>
      <c r="DH3" t="s">
        <v>13098</v>
      </c>
      <c r="DI3" t="s">
        <v>13099</v>
      </c>
      <c r="DJ3" t="s">
        <v>13100</v>
      </c>
      <c r="DK3" t="s">
        <v>13101</v>
      </c>
      <c r="DL3" t="s">
        <v>13102</v>
      </c>
      <c r="DM3" t="s">
        <v>13103</v>
      </c>
      <c r="DN3" t="s">
        <v>13104</v>
      </c>
      <c r="DO3" t="s">
        <v>13105</v>
      </c>
      <c r="DP3" t="s">
        <v>13106</v>
      </c>
      <c r="DQ3" t="s">
        <v>13107</v>
      </c>
      <c r="DR3" t="s">
        <v>13108</v>
      </c>
      <c r="DS3" t="s">
        <v>13109</v>
      </c>
      <c r="DT3" t="s">
        <v>13110</v>
      </c>
      <c r="DU3" t="s">
        <v>13111</v>
      </c>
      <c r="DV3" t="s">
        <v>13112</v>
      </c>
      <c r="DW3" t="s">
        <v>13113</v>
      </c>
      <c r="DX3" t="s">
        <v>13114</v>
      </c>
      <c r="DY3" t="s">
        <v>13115</v>
      </c>
      <c r="DZ3" t="s">
        <v>13116</v>
      </c>
      <c r="EA3" t="s">
        <v>13117</v>
      </c>
      <c r="EB3" t="s">
        <v>13118</v>
      </c>
      <c r="EC3" t="s">
        <v>13119</v>
      </c>
      <c r="ED3" t="s">
        <v>13120</v>
      </c>
      <c r="EE3" t="s">
        <v>13121</v>
      </c>
      <c r="EF3" t="s">
        <v>13122</v>
      </c>
      <c r="EG3" t="s">
        <v>13123</v>
      </c>
      <c r="EH3" t="s">
        <v>13124</v>
      </c>
      <c r="EI3" t="s">
        <v>13125</v>
      </c>
      <c r="EJ3" t="s">
        <v>13126</v>
      </c>
      <c r="EK3" t="s">
        <v>13127</v>
      </c>
      <c r="EL3" t="s">
        <v>13128</v>
      </c>
      <c r="EM3" t="s">
        <v>13129</v>
      </c>
      <c r="EN3" t="s">
        <v>13130</v>
      </c>
      <c r="EO3" t="s">
        <v>13131</v>
      </c>
      <c r="EP3" t="s">
        <v>13132</v>
      </c>
      <c r="EQ3" t="s">
        <v>13133</v>
      </c>
      <c r="ER3" t="s">
        <v>13134</v>
      </c>
      <c r="ES3" t="s">
        <v>13135</v>
      </c>
      <c r="ET3" t="s">
        <v>13136</v>
      </c>
      <c r="EU3" t="s">
        <v>13137</v>
      </c>
      <c r="EV3" t="s">
        <v>13138</v>
      </c>
      <c r="EW3" t="s">
        <v>13139</v>
      </c>
      <c r="EX3" t="s">
        <v>13140</v>
      </c>
      <c r="EY3" t="s">
        <v>13141</v>
      </c>
      <c r="EZ3" t="s">
        <v>13142</v>
      </c>
      <c r="FA3" t="s">
        <v>13143</v>
      </c>
      <c r="FB3" t="s">
        <v>13144</v>
      </c>
      <c r="FC3" t="s">
        <v>13145</v>
      </c>
      <c r="FD3" t="s">
        <v>13146</v>
      </c>
      <c r="FE3" t="s">
        <v>13147</v>
      </c>
      <c r="FF3" t="s">
        <v>13148</v>
      </c>
      <c r="FG3" t="s">
        <v>13149</v>
      </c>
      <c r="FH3" t="s">
        <v>13150</v>
      </c>
      <c r="FI3" t="s">
        <v>13151</v>
      </c>
      <c r="FJ3" t="s">
        <v>13152</v>
      </c>
      <c r="FK3" t="s">
        <v>13153</v>
      </c>
      <c r="FL3" t="s">
        <v>13154</v>
      </c>
      <c r="FM3" t="s">
        <v>13155</v>
      </c>
      <c r="FN3" t="s">
        <v>13156</v>
      </c>
      <c r="FO3" t="s">
        <v>13157</v>
      </c>
      <c r="FP3" t="s">
        <v>13158</v>
      </c>
      <c r="FQ3" t="s">
        <v>13159</v>
      </c>
      <c r="FR3" t="s">
        <v>13160</v>
      </c>
      <c r="FS3" t="s">
        <v>13161</v>
      </c>
      <c r="FT3" t="s">
        <v>13162</v>
      </c>
      <c r="FU3" t="s">
        <v>13163</v>
      </c>
      <c r="FV3" t="s">
        <v>13164</v>
      </c>
      <c r="FW3" t="s">
        <v>13165</v>
      </c>
      <c r="FX3" t="s">
        <v>13166</v>
      </c>
      <c r="FY3" t="s">
        <v>13167</v>
      </c>
      <c r="FZ3" t="s">
        <v>13168</v>
      </c>
      <c r="GA3" t="s">
        <v>13169</v>
      </c>
      <c r="GB3" t="s">
        <v>13170</v>
      </c>
      <c r="GC3" t="s">
        <v>13171</v>
      </c>
      <c r="GD3" t="s">
        <v>13172</v>
      </c>
      <c r="GE3" t="s">
        <v>13173</v>
      </c>
      <c r="GF3" t="s">
        <v>13174</v>
      </c>
      <c r="GG3" t="s">
        <v>13175</v>
      </c>
      <c r="GH3" t="s">
        <v>13176</v>
      </c>
      <c r="GI3" t="s">
        <v>13177</v>
      </c>
      <c r="GJ3" t="s">
        <v>13178</v>
      </c>
      <c r="GK3" t="s">
        <v>13179</v>
      </c>
      <c r="GL3" t="s">
        <v>13180</v>
      </c>
      <c r="GM3" t="s">
        <v>13181</v>
      </c>
      <c r="GN3" t="s">
        <v>13182</v>
      </c>
      <c r="GO3" t="s">
        <v>13183</v>
      </c>
      <c r="GP3" t="s">
        <v>13184</v>
      </c>
      <c r="GQ3" t="s">
        <v>13185</v>
      </c>
      <c r="GR3" t="s">
        <v>13186</v>
      </c>
      <c r="GS3" t="s">
        <v>13187</v>
      </c>
      <c r="GT3" t="s">
        <v>13188</v>
      </c>
      <c r="GU3" t="s">
        <v>13189</v>
      </c>
      <c r="GV3" t="s">
        <v>13190</v>
      </c>
      <c r="GW3" t="s">
        <v>13191</v>
      </c>
      <c r="GX3" t="s">
        <v>13192</v>
      </c>
      <c r="GY3" t="s">
        <v>13193</v>
      </c>
      <c r="GZ3" t="s">
        <v>13194</v>
      </c>
      <c r="HA3" t="s">
        <v>13195</v>
      </c>
      <c r="HB3" t="s">
        <v>13196</v>
      </c>
      <c r="HC3" t="s">
        <v>13197</v>
      </c>
      <c r="HD3" t="s">
        <v>13198</v>
      </c>
      <c r="HE3" t="s">
        <v>13199</v>
      </c>
      <c r="HF3" t="s">
        <v>13200</v>
      </c>
      <c r="HG3" t="s">
        <v>13201</v>
      </c>
      <c r="HH3" t="s">
        <v>13202</v>
      </c>
      <c r="HI3" t="s">
        <v>13203</v>
      </c>
      <c r="HJ3" t="s">
        <v>13204</v>
      </c>
      <c r="HK3" t="s">
        <v>13205</v>
      </c>
      <c r="HL3" t="s">
        <v>13206</v>
      </c>
      <c r="HM3" t="s">
        <v>13207</v>
      </c>
      <c r="HN3" t="s">
        <v>13208</v>
      </c>
      <c r="HO3" t="s">
        <v>13209</v>
      </c>
      <c r="HP3" t="s">
        <v>13210</v>
      </c>
      <c r="HQ3" t="s">
        <v>13211</v>
      </c>
      <c r="HR3" t="s">
        <v>13212</v>
      </c>
      <c r="HS3" t="s">
        <v>13213</v>
      </c>
      <c r="HT3" t="s">
        <v>13214</v>
      </c>
      <c r="HU3" t="s">
        <v>13215</v>
      </c>
      <c r="HV3" t="s">
        <v>13216</v>
      </c>
      <c r="HW3" t="s">
        <v>13217</v>
      </c>
      <c r="HX3" t="s">
        <v>13218</v>
      </c>
      <c r="HY3" t="s">
        <v>13219</v>
      </c>
      <c r="HZ3" t="s">
        <v>13220</v>
      </c>
      <c r="IA3" t="s">
        <v>13221</v>
      </c>
      <c r="IB3" t="s">
        <v>13222</v>
      </c>
      <c r="IC3" t="s">
        <v>13223</v>
      </c>
      <c r="ID3" t="s">
        <v>13224</v>
      </c>
      <c r="IE3" t="s">
        <v>13225</v>
      </c>
      <c r="IF3" t="s">
        <v>13226</v>
      </c>
      <c r="IG3" t="s">
        <v>13227</v>
      </c>
      <c r="IH3" t="s">
        <v>13228</v>
      </c>
      <c r="II3" t="s">
        <v>13229</v>
      </c>
      <c r="IJ3" t="s">
        <v>13230</v>
      </c>
      <c r="IK3" t="s">
        <v>13231</v>
      </c>
      <c r="IL3" t="s">
        <v>13232</v>
      </c>
      <c r="IM3" t="s">
        <v>13233</v>
      </c>
      <c r="IN3" t="s">
        <v>13234</v>
      </c>
      <c r="IO3" t="s">
        <v>13235</v>
      </c>
      <c r="IP3" t="s">
        <v>13236</v>
      </c>
      <c r="IQ3" t="s">
        <v>13237</v>
      </c>
      <c r="IR3" t="s">
        <v>13238</v>
      </c>
      <c r="IS3" t="s">
        <v>13239</v>
      </c>
      <c r="IT3" t="s">
        <v>13240</v>
      </c>
      <c r="IU3" t="s">
        <v>13241</v>
      </c>
      <c r="IV3" t="s">
        <v>13242</v>
      </c>
    </row>
    <row r="4" spans="1:256" x14ac:dyDescent="0.35">
      <c r="A4" t="s">
        <v>13243</v>
      </c>
      <c r="B4" t="s">
        <v>13244</v>
      </c>
      <c r="C4" t="s">
        <v>13245</v>
      </c>
      <c r="D4" t="s">
        <v>13246</v>
      </c>
      <c r="E4" t="s">
        <v>13247</v>
      </c>
      <c r="F4" t="s">
        <v>13248</v>
      </c>
      <c r="G4" t="s">
        <v>13249</v>
      </c>
      <c r="H4" t="s">
        <v>13250</v>
      </c>
      <c r="I4" t="s">
        <v>13251</v>
      </c>
      <c r="J4" t="s">
        <v>13252</v>
      </c>
      <c r="K4" t="s">
        <v>13253</v>
      </c>
      <c r="L4" t="s">
        <v>13254</v>
      </c>
      <c r="M4" t="s">
        <v>13255</v>
      </c>
      <c r="N4" t="s">
        <v>13256</v>
      </c>
      <c r="O4" t="s">
        <v>13257</v>
      </c>
      <c r="P4" t="s">
        <v>13258</v>
      </c>
      <c r="Q4" t="s">
        <v>13259</v>
      </c>
      <c r="R4" t="s">
        <v>13260</v>
      </c>
      <c r="S4" t="s">
        <v>13261</v>
      </c>
      <c r="T4" t="s">
        <v>13262</v>
      </c>
      <c r="U4" t="s">
        <v>13263</v>
      </c>
      <c r="V4" t="s">
        <v>13264</v>
      </c>
      <c r="W4" t="s">
        <v>13265</v>
      </c>
      <c r="X4" t="s">
        <v>13266</v>
      </c>
      <c r="Y4" t="s">
        <v>13267</v>
      </c>
      <c r="Z4" t="s">
        <v>13268</v>
      </c>
      <c r="AA4" t="s">
        <v>13269</v>
      </c>
      <c r="AB4" t="s">
        <v>13270</v>
      </c>
      <c r="AC4" t="s">
        <v>13271</v>
      </c>
      <c r="AD4" t="s">
        <v>13272</v>
      </c>
      <c r="AE4" t="s">
        <v>13273</v>
      </c>
      <c r="AF4" t="s">
        <v>13274</v>
      </c>
      <c r="AG4" t="s">
        <v>13275</v>
      </c>
      <c r="AH4" t="s">
        <v>13276</v>
      </c>
      <c r="AI4" t="s">
        <v>13277</v>
      </c>
      <c r="AJ4" t="s">
        <v>13278</v>
      </c>
      <c r="AK4" t="s">
        <v>13279</v>
      </c>
      <c r="AL4" t="s">
        <v>13280</v>
      </c>
      <c r="AM4" t="s">
        <v>13281</v>
      </c>
      <c r="AN4" t="s">
        <v>13282</v>
      </c>
      <c r="AO4" t="s">
        <v>13283</v>
      </c>
      <c r="AP4" t="s">
        <v>13284</v>
      </c>
      <c r="AQ4" t="s">
        <v>13285</v>
      </c>
      <c r="AR4" t="s">
        <v>13286</v>
      </c>
      <c r="AS4" t="s">
        <v>13287</v>
      </c>
      <c r="AT4" t="s">
        <v>13288</v>
      </c>
      <c r="AU4" t="s">
        <v>13289</v>
      </c>
      <c r="AV4" t="s">
        <v>13290</v>
      </c>
      <c r="AW4" t="s">
        <v>13291</v>
      </c>
      <c r="AX4" t="s">
        <v>13292</v>
      </c>
      <c r="AY4" t="s">
        <v>13293</v>
      </c>
      <c r="AZ4" t="s">
        <v>13294</v>
      </c>
      <c r="BA4" t="s">
        <v>13295</v>
      </c>
      <c r="BB4" t="s">
        <v>13296</v>
      </c>
      <c r="BC4" t="s">
        <v>13297</v>
      </c>
      <c r="BD4" t="s">
        <v>13298</v>
      </c>
      <c r="BE4" t="s">
        <v>13299</v>
      </c>
      <c r="BF4" t="s">
        <v>13300</v>
      </c>
      <c r="BG4" t="s">
        <v>13301</v>
      </c>
      <c r="BH4" t="s">
        <v>13302</v>
      </c>
      <c r="BI4" t="s">
        <v>13303</v>
      </c>
      <c r="BJ4" t="s">
        <v>13304</v>
      </c>
      <c r="BK4" t="s">
        <v>13305</v>
      </c>
      <c r="BL4" t="s">
        <v>13306</v>
      </c>
      <c r="BM4" t="s">
        <v>13307</v>
      </c>
      <c r="BN4" t="s">
        <v>13308</v>
      </c>
      <c r="BO4" t="s">
        <v>13309</v>
      </c>
      <c r="BP4" t="s">
        <v>13310</v>
      </c>
      <c r="BQ4" t="s">
        <v>13311</v>
      </c>
      <c r="BR4" t="s">
        <v>13312</v>
      </c>
      <c r="BS4" t="s">
        <v>13313</v>
      </c>
      <c r="BT4" t="s">
        <v>13314</v>
      </c>
      <c r="BU4" t="s">
        <v>13315</v>
      </c>
      <c r="BV4" t="s">
        <v>13316</v>
      </c>
      <c r="BW4" t="s">
        <v>13317</v>
      </c>
      <c r="BX4" t="s">
        <v>13318</v>
      </c>
      <c r="BY4" t="s">
        <v>13319</v>
      </c>
      <c r="BZ4" t="s">
        <v>13320</v>
      </c>
      <c r="CA4" t="s">
        <v>13321</v>
      </c>
      <c r="CB4" t="s">
        <v>13322</v>
      </c>
      <c r="CC4" t="s">
        <v>13323</v>
      </c>
      <c r="CD4" t="s">
        <v>13324</v>
      </c>
      <c r="CE4" t="s">
        <v>13325</v>
      </c>
      <c r="CF4" t="s">
        <v>13326</v>
      </c>
      <c r="CG4" t="s">
        <v>13327</v>
      </c>
      <c r="CH4" t="s">
        <v>13328</v>
      </c>
      <c r="CI4" t="s">
        <v>13329</v>
      </c>
      <c r="CJ4" t="s">
        <v>13330</v>
      </c>
      <c r="CK4" t="s">
        <v>13331</v>
      </c>
      <c r="CL4" t="s">
        <v>13332</v>
      </c>
      <c r="CM4" t="s">
        <v>13333</v>
      </c>
      <c r="CN4" t="s">
        <v>13334</v>
      </c>
      <c r="CO4" t="s">
        <v>13335</v>
      </c>
      <c r="CP4" t="s">
        <v>13336</v>
      </c>
      <c r="CQ4" t="s">
        <v>13337</v>
      </c>
      <c r="CR4" t="s">
        <v>13338</v>
      </c>
      <c r="CS4" t="s">
        <v>13339</v>
      </c>
      <c r="CT4" t="s">
        <v>13340</v>
      </c>
      <c r="CU4" t="s">
        <v>13341</v>
      </c>
      <c r="CV4" t="s">
        <v>13342</v>
      </c>
      <c r="CW4" t="s">
        <v>13343</v>
      </c>
      <c r="CX4" t="s">
        <v>13344</v>
      </c>
      <c r="CY4" t="s">
        <v>13345</v>
      </c>
      <c r="CZ4" t="s">
        <v>13346</v>
      </c>
      <c r="DA4" t="s">
        <v>13347</v>
      </c>
      <c r="DB4" t="s">
        <v>13348</v>
      </c>
      <c r="DC4" t="s">
        <v>13349</v>
      </c>
      <c r="DD4" t="s">
        <v>13350</v>
      </c>
      <c r="DE4" t="s">
        <v>13351</v>
      </c>
      <c r="DF4" t="s">
        <v>13352</v>
      </c>
      <c r="DG4" t="s">
        <v>13353</v>
      </c>
      <c r="DH4" t="s">
        <v>13354</v>
      </c>
      <c r="DI4" t="s">
        <v>13355</v>
      </c>
      <c r="DJ4" t="s">
        <v>13356</v>
      </c>
      <c r="DK4" t="s">
        <v>13357</v>
      </c>
      <c r="DL4" t="s">
        <v>13358</v>
      </c>
      <c r="DM4" t="s">
        <v>13359</v>
      </c>
      <c r="DN4" t="s">
        <v>13360</v>
      </c>
      <c r="DO4" t="s">
        <v>13361</v>
      </c>
      <c r="DP4" t="s">
        <v>13362</v>
      </c>
      <c r="DQ4" t="s">
        <v>13363</v>
      </c>
      <c r="DR4" t="s">
        <v>13364</v>
      </c>
      <c r="DS4" t="s">
        <v>13365</v>
      </c>
      <c r="DT4" t="s">
        <v>13366</v>
      </c>
      <c r="DU4" t="s">
        <v>13367</v>
      </c>
      <c r="DV4" t="s">
        <v>13368</v>
      </c>
      <c r="DW4" t="s">
        <v>13369</v>
      </c>
      <c r="DX4" t="s">
        <v>13370</v>
      </c>
      <c r="DY4" t="s">
        <v>13371</v>
      </c>
      <c r="DZ4" t="s">
        <v>13372</v>
      </c>
      <c r="EA4" t="s">
        <v>13373</v>
      </c>
      <c r="EB4" t="s">
        <v>13374</v>
      </c>
      <c r="EC4" t="s">
        <v>13375</v>
      </c>
      <c r="ED4" t="s">
        <v>13376</v>
      </c>
      <c r="EE4" t="s">
        <v>13377</v>
      </c>
      <c r="EF4" t="s">
        <v>13378</v>
      </c>
      <c r="EG4" t="s">
        <v>13379</v>
      </c>
      <c r="EH4" t="s">
        <v>13380</v>
      </c>
      <c r="EI4" t="s">
        <v>13381</v>
      </c>
      <c r="EJ4" t="s">
        <v>13382</v>
      </c>
      <c r="EK4" t="s">
        <v>13383</v>
      </c>
      <c r="EL4" t="s">
        <v>13384</v>
      </c>
      <c r="EM4" t="s">
        <v>13385</v>
      </c>
      <c r="EN4" t="s">
        <v>13386</v>
      </c>
      <c r="EO4" t="s">
        <v>13387</v>
      </c>
      <c r="EP4" t="s">
        <v>13388</v>
      </c>
      <c r="EQ4" t="s">
        <v>13389</v>
      </c>
      <c r="ER4" t="s">
        <v>13390</v>
      </c>
      <c r="ES4" t="s">
        <v>13391</v>
      </c>
      <c r="ET4" t="s">
        <v>13392</v>
      </c>
      <c r="EU4" t="s">
        <v>13393</v>
      </c>
      <c r="EV4" t="s">
        <v>13394</v>
      </c>
      <c r="EW4" t="s">
        <v>13395</v>
      </c>
      <c r="EX4" t="s">
        <v>13396</v>
      </c>
      <c r="EY4" t="s">
        <v>13397</v>
      </c>
      <c r="EZ4" t="s">
        <v>13398</v>
      </c>
      <c r="FA4" t="s">
        <v>13399</v>
      </c>
      <c r="FB4" t="s">
        <v>13400</v>
      </c>
      <c r="FC4" t="s">
        <v>13401</v>
      </c>
      <c r="FD4" t="s">
        <v>13402</v>
      </c>
      <c r="FE4" t="s">
        <v>13403</v>
      </c>
      <c r="FF4" t="s">
        <v>13404</v>
      </c>
      <c r="FG4" t="s">
        <v>13405</v>
      </c>
      <c r="FH4" t="s">
        <v>13406</v>
      </c>
      <c r="FI4" t="s">
        <v>13407</v>
      </c>
      <c r="FJ4" t="s">
        <v>13408</v>
      </c>
      <c r="FK4" t="s">
        <v>13409</v>
      </c>
      <c r="FL4" t="s">
        <v>13410</v>
      </c>
      <c r="FM4" t="s">
        <v>13411</v>
      </c>
      <c r="FN4" t="s">
        <v>13412</v>
      </c>
      <c r="FO4" t="s">
        <v>13413</v>
      </c>
      <c r="FP4" t="s">
        <v>13414</v>
      </c>
      <c r="FQ4" t="s">
        <v>13415</v>
      </c>
      <c r="FR4" t="s">
        <v>13416</v>
      </c>
      <c r="FS4" t="s">
        <v>13417</v>
      </c>
      <c r="FT4" t="s">
        <v>13418</v>
      </c>
      <c r="FU4" t="s">
        <v>13419</v>
      </c>
      <c r="FV4" t="s">
        <v>13420</v>
      </c>
      <c r="FW4" t="s">
        <v>13421</v>
      </c>
      <c r="FX4" t="s">
        <v>13422</v>
      </c>
      <c r="FY4" t="s">
        <v>13423</v>
      </c>
      <c r="FZ4" t="s">
        <v>13424</v>
      </c>
      <c r="GA4" t="s">
        <v>13425</v>
      </c>
      <c r="GB4" t="s">
        <v>13426</v>
      </c>
      <c r="GC4" t="s">
        <v>13427</v>
      </c>
      <c r="GD4" t="s">
        <v>13428</v>
      </c>
      <c r="GE4" t="s">
        <v>13429</v>
      </c>
      <c r="GF4" t="s">
        <v>13430</v>
      </c>
      <c r="GG4" t="s">
        <v>13431</v>
      </c>
      <c r="GH4" t="s">
        <v>13432</v>
      </c>
      <c r="GI4" t="s">
        <v>13433</v>
      </c>
      <c r="GJ4" t="s">
        <v>13434</v>
      </c>
      <c r="GK4" t="s">
        <v>13435</v>
      </c>
      <c r="GL4" t="s">
        <v>13436</v>
      </c>
      <c r="GM4" t="s">
        <v>13437</v>
      </c>
      <c r="GN4" t="s">
        <v>13438</v>
      </c>
      <c r="GO4" t="s">
        <v>13439</v>
      </c>
      <c r="GP4" t="s">
        <v>13440</v>
      </c>
      <c r="GQ4" t="s">
        <v>13441</v>
      </c>
      <c r="GR4" t="s">
        <v>13442</v>
      </c>
      <c r="GS4" t="s">
        <v>13443</v>
      </c>
      <c r="GT4" t="s">
        <v>13444</v>
      </c>
      <c r="GU4" t="s">
        <v>13445</v>
      </c>
      <c r="GV4" t="s">
        <v>13446</v>
      </c>
      <c r="GW4" t="s">
        <v>13447</v>
      </c>
      <c r="GX4" t="s">
        <v>13448</v>
      </c>
      <c r="GY4" t="s">
        <v>13449</v>
      </c>
      <c r="GZ4" t="s">
        <v>13450</v>
      </c>
      <c r="HA4" t="s">
        <v>13451</v>
      </c>
      <c r="HB4" t="s">
        <v>13452</v>
      </c>
      <c r="HC4" t="s">
        <v>13453</v>
      </c>
      <c r="HD4" t="s">
        <v>13454</v>
      </c>
      <c r="HE4" t="s">
        <v>13455</v>
      </c>
      <c r="HF4" t="s">
        <v>13456</v>
      </c>
      <c r="HG4" t="s">
        <v>13457</v>
      </c>
      <c r="HH4" t="s">
        <v>13458</v>
      </c>
      <c r="HI4" t="s">
        <v>13459</v>
      </c>
      <c r="HJ4" t="s">
        <v>13460</v>
      </c>
      <c r="HK4" t="s">
        <v>13461</v>
      </c>
      <c r="HL4" t="s">
        <v>13462</v>
      </c>
      <c r="HM4" t="s">
        <v>13463</v>
      </c>
      <c r="HN4" t="s">
        <v>13464</v>
      </c>
      <c r="HO4" t="s">
        <v>13465</v>
      </c>
      <c r="HP4" t="s">
        <v>13466</v>
      </c>
      <c r="HQ4" t="s">
        <v>13467</v>
      </c>
      <c r="HR4" t="s">
        <v>13468</v>
      </c>
      <c r="HS4" t="s">
        <v>13469</v>
      </c>
      <c r="HT4" t="s">
        <v>13470</v>
      </c>
      <c r="HU4" t="s">
        <v>13471</v>
      </c>
      <c r="HV4" t="s">
        <v>13472</v>
      </c>
      <c r="HW4" t="s">
        <v>13473</v>
      </c>
      <c r="HX4" t="s">
        <v>13474</v>
      </c>
      <c r="HY4" t="s">
        <v>13475</v>
      </c>
      <c r="HZ4" t="s">
        <v>13476</v>
      </c>
      <c r="IA4" t="s">
        <v>13477</v>
      </c>
      <c r="IB4" t="s">
        <v>13478</v>
      </c>
      <c r="IC4" t="s">
        <v>13479</v>
      </c>
      <c r="ID4" t="s">
        <v>13480</v>
      </c>
      <c r="IE4" t="s">
        <v>13481</v>
      </c>
      <c r="IF4" t="s">
        <v>13482</v>
      </c>
      <c r="IG4" t="s">
        <v>13483</v>
      </c>
      <c r="IH4" t="s">
        <v>13484</v>
      </c>
      <c r="II4" t="s">
        <v>13485</v>
      </c>
      <c r="IJ4" t="s">
        <v>13486</v>
      </c>
      <c r="IK4" t="s">
        <v>13487</v>
      </c>
      <c r="IL4" t="s">
        <v>13488</v>
      </c>
      <c r="IM4" t="s">
        <v>13489</v>
      </c>
      <c r="IN4" t="s">
        <v>13490</v>
      </c>
      <c r="IO4" t="s">
        <v>13491</v>
      </c>
      <c r="IP4" t="s">
        <v>13492</v>
      </c>
      <c r="IQ4" t="s">
        <v>13493</v>
      </c>
      <c r="IR4" t="s">
        <v>13494</v>
      </c>
      <c r="IS4" t="s">
        <v>13495</v>
      </c>
      <c r="IT4" t="s">
        <v>13496</v>
      </c>
      <c r="IU4" t="s">
        <v>13497</v>
      </c>
      <c r="IV4" t="s">
        <v>13498</v>
      </c>
    </row>
    <row r="5" spans="1:256" x14ac:dyDescent="0.35">
      <c r="A5" t="s">
        <v>13499</v>
      </c>
      <c r="B5" t="s">
        <v>13500</v>
      </c>
      <c r="C5" t="s">
        <v>13501</v>
      </c>
      <c r="D5" t="s">
        <v>13502</v>
      </c>
      <c r="E5" t="s">
        <v>13503</v>
      </c>
      <c r="F5" t="s">
        <v>13504</v>
      </c>
      <c r="G5" t="s">
        <v>13505</v>
      </c>
      <c r="H5" t="s">
        <v>13506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BR508"/>
  <sheetViews>
    <sheetView showGridLines="0" tabSelected="1" zoomScale="56" zoomScaleNormal="70" zoomScaleSheetLayoutView="70" workbookViewId="0">
      <selection activeCell="F16" sqref="F16"/>
    </sheetView>
  </sheetViews>
  <sheetFormatPr defaultColWidth="9.265625" defaultRowHeight="15" customHeight="1" x14ac:dyDescent="0.35"/>
  <cols>
    <col min="1" max="6" width="31.265625" style="5" customWidth="1"/>
    <col min="7" max="7" width="15.59765625" style="5" customWidth="1"/>
    <col min="8" max="8" width="15.265625" style="5" customWidth="1"/>
    <col min="9" max="9" width="14.86328125" style="5" customWidth="1"/>
    <col min="10" max="10" width="15.3984375" style="5" customWidth="1"/>
    <col min="11" max="11" width="15.265625" style="5" customWidth="1"/>
    <col min="12" max="12" width="20.1328125" style="5" bestFit="1" customWidth="1"/>
    <col min="13" max="13" width="15.265625" style="5" customWidth="1"/>
    <col min="14" max="15" width="16.3984375" style="5" customWidth="1"/>
    <col min="16" max="16" width="13.6640625" style="5" customWidth="1"/>
    <col min="17" max="17" width="9.265625" style="5"/>
    <col min="18" max="18" width="13.6640625" style="5" customWidth="1"/>
    <col min="19" max="33" width="16.19921875" style="5" customWidth="1"/>
    <col min="34" max="34" width="14.796875" style="5" customWidth="1"/>
    <col min="35" max="35" width="16.86328125" style="5" customWidth="1"/>
    <col min="36" max="36" width="9.265625" style="5"/>
    <col min="37" max="37" width="14.265625" style="5" customWidth="1"/>
    <col min="38" max="38" width="16.19921875" style="5" customWidth="1"/>
    <col min="39" max="39" width="14.265625" style="5" customWidth="1"/>
    <col min="40" max="40" width="19" style="5" customWidth="1"/>
    <col min="41" max="44" width="9.265625" style="5"/>
    <col min="45" max="49" width="20.53125" style="5" customWidth="1"/>
    <col min="50" max="50" width="16.59765625" style="5" customWidth="1"/>
    <col min="51" max="51" width="9.265625" style="5"/>
    <col min="52" max="53" width="12.86328125" style="5" customWidth="1"/>
    <col min="54" max="16384" width="9.265625" style="5"/>
  </cols>
  <sheetData>
    <row r="1" spans="1:70" ht="15" customHeight="1" x14ac:dyDescent="0.4">
      <c r="B1" s="48"/>
      <c r="E1" s="48"/>
      <c r="F1" s="1" t="s">
        <v>11410</v>
      </c>
      <c r="G1" s="2"/>
      <c r="H1" s="3" t="s">
        <v>170</v>
      </c>
      <c r="I1" s="2" t="s">
        <v>171</v>
      </c>
      <c r="J1" s="3" t="s">
        <v>169</v>
      </c>
      <c r="K1" s="4">
        <v>45292</v>
      </c>
      <c r="L1" s="1" t="s">
        <v>11411</v>
      </c>
      <c r="M1" s="2" t="s">
        <v>901</v>
      </c>
      <c r="N1" s="17" t="s">
        <v>11412</v>
      </c>
      <c r="O1" s="3" t="s">
        <v>984</v>
      </c>
      <c r="P1" s="21"/>
      <c r="Q1" s="22"/>
      <c r="T1" s="18" t="str">
        <f>ExcelDateOrder()</f>
        <v>mmm-jj-aaaa</v>
      </c>
      <c r="U1" s="18"/>
      <c r="V1" s="18"/>
      <c r="W1" s="18"/>
      <c r="X1" s="18"/>
      <c r="Y1" s="18"/>
      <c r="Z1" s="18"/>
      <c r="AI1" s="18">
        <v>1</v>
      </c>
      <c r="AJ1" s="18" t="str">
        <f>INDEX('Language Index'!$A$8:$A$9906,MATCH("Historical",'Language Index'!$B$8:$B$9906,0))</f>
        <v>Historical</v>
      </c>
      <c r="AK1" s="18" t="s">
        <v>901</v>
      </c>
      <c r="AR1" s="16" t="str">
        <f>_xll.ciqfunctions.udf.CIQ("2000","iq_ev_over_ltm_ebitda")</f>
        <v>NM</v>
      </c>
    </row>
    <row r="2" spans="1:70" ht="19.149999999999999" customHeight="1" x14ac:dyDescent="0.35">
      <c r="F2" s="6"/>
      <c r="G2" s="28"/>
      <c r="H2" s="28"/>
      <c r="I2" s="29"/>
      <c r="J2" s="28">
        <v>1000</v>
      </c>
      <c r="K2" s="28">
        <v>2000</v>
      </c>
      <c r="L2" s="28">
        <v>1001</v>
      </c>
      <c r="M2" s="28">
        <v>1002</v>
      </c>
      <c r="N2" s="29">
        <v>1003</v>
      </c>
      <c r="AI2" s="18"/>
      <c r="AJ2" s="18" t="str">
        <f>INDEX('Language Index'!$A$8:$A$9906,MATCH("Current",'Language Index'!$B$8:$B$9906,0))</f>
        <v>Current</v>
      </c>
      <c r="AK2" s="18" t="s">
        <v>10951</v>
      </c>
    </row>
    <row r="3" spans="1:70" ht="32.1" customHeight="1" x14ac:dyDescent="0.35">
      <c r="A3" s="12" t="str">
        <f>UPPER(_xll.ciqfunctions.udf.CIQ(G1,"IQ_company_name"))</f>
        <v>#REFRESH</v>
      </c>
      <c r="B3" s="12"/>
      <c r="C3" s="12"/>
      <c r="D3" s="12"/>
      <c r="E3" s="12"/>
      <c r="F3" s="12"/>
      <c r="G3" s="13"/>
      <c r="H3" s="13"/>
      <c r="I3" s="13"/>
      <c r="J3" s="13"/>
      <c r="K3" s="13"/>
      <c r="L3" s="13"/>
      <c r="M3" s="13"/>
      <c r="N3" s="13"/>
    </row>
    <row r="4" spans="1:70" ht="15" customHeight="1" x14ac:dyDescent="0.35">
      <c r="A4" s="7" t="str">
        <f>"("&amp;'Language Index'!A1024&amp;" "&amp;I1&amp;")"</f>
        <v>(in millions of USD)</v>
      </c>
      <c r="B4" s="7"/>
      <c r="C4" s="7"/>
      <c r="D4" s="7"/>
      <c r="E4" s="7"/>
      <c r="F4" s="7"/>
      <c r="G4" s="34">
        <v>45451</v>
      </c>
      <c r="P4" s="27"/>
    </row>
    <row r="5" spans="1:70" ht="58.9" customHeight="1" x14ac:dyDescent="0.4">
      <c r="A5" s="14" t="str">
        <f>INDEX('Language Index'!$A$8:$A$9906,MATCH("Key Financials",'Language Index'!$B$8:$B$9906,0))&amp;" ¹"&amp;CHAR(10)
&amp;INDEX('Language Index'!$A$8:$A$9906,MATCH("For the Fiscal Period Ending",'Language Index'!$B$8:$B$9906,0))&amp;","&amp;CHAR(10)
&amp;INDEX('Language Index'!$A$8:$A$9906,MATCH("In Currency",'Language Index'!$B$8:$B$9906,0))</f>
        <v>Key Financials ¹
For the Fiscal Period Ending,
In Currency</v>
      </c>
      <c r="B5" s="14"/>
      <c r="C5" s="14"/>
      <c r="D5" s="14"/>
      <c r="E5" s="14"/>
      <c r="F5" s="14"/>
      <c r="G5" s="15"/>
      <c r="H5" s="15"/>
      <c r="I5" s="15"/>
      <c r="J5" s="15" t="s">
        <v>11414</v>
      </c>
      <c r="K5" s="15"/>
      <c r="L5" s="15"/>
      <c r="M5" s="15"/>
      <c r="O5" s="8"/>
      <c r="P5" s="30"/>
      <c r="S5" s="30"/>
      <c r="T5" s="30"/>
      <c r="U5" s="30"/>
      <c r="V5" s="30"/>
      <c r="W5" s="30"/>
      <c r="X5" s="30"/>
      <c r="Y5" s="30"/>
      <c r="Z5" s="30"/>
      <c r="BR5" s="25">
        <f>COUNTIF(BR7:BR106,"&gt;&lt;"&amp;0)</f>
        <v>11</v>
      </c>
    </row>
    <row r="6" spans="1:70" ht="58.9" customHeight="1" x14ac:dyDescent="0.4">
      <c r="A6" s="31" t="s">
        <v>10972</v>
      </c>
      <c r="B6" s="43" t="s">
        <v>11917</v>
      </c>
      <c r="C6" s="43" t="s">
        <v>11915</v>
      </c>
      <c r="D6" s="43" t="s">
        <v>11916</v>
      </c>
      <c r="E6" s="43" t="s">
        <v>12356</v>
      </c>
      <c r="G6" s="41" t="s">
        <v>12362</v>
      </c>
      <c r="H6" s="41" t="s">
        <v>841</v>
      </c>
      <c r="I6" s="41" t="s">
        <v>11402</v>
      </c>
      <c r="J6" s="41" t="s">
        <v>354</v>
      </c>
      <c r="K6" s="41" t="s">
        <v>11403</v>
      </c>
      <c r="L6" s="41" t="s">
        <v>11404</v>
      </c>
      <c r="M6" s="42" t="s">
        <v>365</v>
      </c>
      <c r="N6" s="41" t="s">
        <v>12380</v>
      </c>
      <c r="O6" s="8"/>
      <c r="P6" s="33" t="s">
        <v>11405</v>
      </c>
      <c r="Q6" s="33"/>
      <c r="R6" s="33" t="s">
        <v>12363</v>
      </c>
      <c r="S6" s="33" t="s">
        <v>12371</v>
      </c>
      <c r="T6" s="33" t="s">
        <v>11406</v>
      </c>
      <c r="U6" s="33" t="s">
        <v>12365</v>
      </c>
      <c r="V6" s="33" t="s">
        <v>12366</v>
      </c>
      <c r="W6" s="33" t="s">
        <v>12367</v>
      </c>
      <c r="X6" s="33" t="s">
        <v>12368</v>
      </c>
      <c r="Y6" s="33" t="s">
        <v>12369</v>
      </c>
      <c r="Z6" s="33" t="s">
        <v>12370</v>
      </c>
      <c r="AA6" s="33" t="s">
        <v>12364</v>
      </c>
      <c r="AB6" s="33" t="s">
        <v>11407</v>
      </c>
      <c r="AC6" s="33" t="s">
        <v>12372</v>
      </c>
      <c r="AD6" s="33" t="s">
        <v>12373</v>
      </c>
      <c r="AE6" s="33" t="s">
        <v>12374</v>
      </c>
      <c r="AF6" s="33" t="s">
        <v>12375</v>
      </c>
      <c r="AG6" s="33" t="s">
        <v>12376</v>
      </c>
      <c r="AH6" s="33" t="s">
        <v>12377</v>
      </c>
      <c r="AI6" s="33" t="s">
        <v>12378</v>
      </c>
      <c r="AK6" s="37"/>
      <c r="AL6" s="33" t="s">
        <v>11408</v>
      </c>
      <c r="AM6" s="33"/>
      <c r="AN6" s="33" t="s">
        <v>11409</v>
      </c>
      <c r="AO6" s="33"/>
      <c r="AP6" s="33" t="s">
        <v>12379</v>
      </c>
      <c r="AS6" s="33" t="s">
        <v>12386</v>
      </c>
      <c r="AT6" s="33" t="s">
        <v>12381</v>
      </c>
      <c r="AU6" s="33" t="s">
        <v>12382</v>
      </c>
      <c r="AV6" s="33" t="s">
        <v>12383</v>
      </c>
      <c r="AW6" s="33" t="s">
        <v>12384</v>
      </c>
      <c r="AX6" s="33" t="s">
        <v>12385</v>
      </c>
      <c r="AY6" s="30"/>
      <c r="AZ6" s="33" t="s">
        <v>12401</v>
      </c>
      <c r="BA6" s="33" t="s">
        <v>12402</v>
      </c>
      <c r="BC6" s="33" t="s">
        <v>12464</v>
      </c>
      <c r="BR6" s="25"/>
    </row>
    <row r="7" spans="1:70" ht="15" customHeight="1" x14ac:dyDescent="0.4">
      <c r="A7" s="27" t="s">
        <v>10973</v>
      </c>
      <c r="B7" s="44" t="s">
        <v>11918</v>
      </c>
      <c r="C7" s="45" t="s">
        <v>11417</v>
      </c>
      <c r="D7" s="46">
        <v>133.43</v>
      </c>
      <c r="E7" s="45" t="s">
        <v>12357</v>
      </c>
      <c r="F7" s="45"/>
      <c r="G7" s="9">
        <v>17.963650000000001</v>
      </c>
      <c r="H7" s="9">
        <v>46.341999999999999</v>
      </c>
      <c r="I7" s="9">
        <v>35.290900000000001</v>
      </c>
      <c r="J7" s="9">
        <v>787.21600000000001</v>
      </c>
      <c r="K7" s="9">
        <v>787.21600000000001</v>
      </c>
      <c r="L7" s="9">
        <v>22.954000000000001</v>
      </c>
      <c r="M7" s="9">
        <v>-164.125</v>
      </c>
      <c r="N7" s="10" t="s">
        <v>12465</v>
      </c>
      <c r="P7" s="32">
        <v>45481</v>
      </c>
      <c r="R7" s="35">
        <v>86.88</v>
      </c>
      <c r="S7" s="34">
        <v>45480</v>
      </c>
      <c r="T7" s="35">
        <v>84.37</v>
      </c>
      <c r="U7" s="34">
        <v>45479</v>
      </c>
      <c r="V7" s="35">
        <v>84.37</v>
      </c>
      <c r="W7" s="34">
        <v>45478</v>
      </c>
      <c r="X7" s="35">
        <v>84.37</v>
      </c>
      <c r="Y7" s="34">
        <v>45477</v>
      </c>
      <c r="Z7" s="35">
        <v>82.7</v>
      </c>
      <c r="AA7" s="34">
        <v>45482</v>
      </c>
      <c r="AB7" s="35">
        <v>91.71</v>
      </c>
      <c r="AC7" s="34">
        <v>45483</v>
      </c>
      <c r="AD7" s="35">
        <v>96.3</v>
      </c>
      <c r="AE7" s="34">
        <v>45484</v>
      </c>
      <c r="AF7" s="35">
        <v>98</v>
      </c>
      <c r="AG7" s="34">
        <v>45485</v>
      </c>
      <c r="AH7" s="35">
        <v>99.41</v>
      </c>
      <c r="AI7" s="36">
        <v>8.6997748014697063E-2</v>
      </c>
      <c r="AK7" s="34">
        <v>45474</v>
      </c>
      <c r="AL7" s="35">
        <v>84.85</v>
      </c>
      <c r="AM7" s="34">
        <v>45488</v>
      </c>
      <c r="AN7" s="5">
        <v>96.67</v>
      </c>
      <c r="AP7" s="36">
        <v>0.13930465527401314</v>
      </c>
      <c r="AS7" s="5" t="s">
        <v>12387</v>
      </c>
      <c r="AT7" s="5">
        <v>105.43</v>
      </c>
      <c r="AU7" s="5">
        <v>100</v>
      </c>
      <c r="AV7" s="5" t="s">
        <v>12400</v>
      </c>
      <c r="AW7" s="5" t="s">
        <v>12400</v>
      </c>
      <c r="AX7" s="5" t="s">
        <v>12400</v>
      </c>
      <c r="AZ7" s="49" t="s">
        <v>12403</v>
      </c>
      <c r="BA7" s="50" t="s">
        <v>12404</v>
      </c>
      <c r="BC7" s="51">
        <v>0.85633000000000004</v>
      </c>
      <c r="BR7" s="26" t="str">
        <f t="array" ref="BR7:BR106">TRANSPOSE('Language Index'!B7:CW7)</f>
        <v>English</v>
      </c>
    </row>
    <row r="8" spans="1:70" ht="15" customHeight="1" x14ac:dyDescent="0.4">
      <c r="A8" s="27" t="s">
        <v>10974</v>
      </c>
      <c r="B8" s="44" t="s">
        <v>11919</v>
      </c>
      <c r="C8" s="45" t="s">
        <v>11418</v>
      </c>
      <c r="D8" s="46">
        <v>6</v>
      </c>
      <c r="E8" s="45" t="s">
        <v>12357</v>
      </c>
      <c r="F8" s="45"/>
      <c r="G8" s="9">
        <v>145.61466999999999</v>
      </c>
      <c r="H8" s="9">
        <v>1056.2</v>
      </c>
      <c r="I8" s="9">
        <v>19.2424</v>
      </c>
      <c r="J8" s="9">
        <v>7200.6</v>
      </c>
      <c r="K8" s="9">
        <v>7200.6</v>
      </c>
      <c r="L8" s="9">
        <v>346.1</v>
      </c>
      <c r="M8" s="9">
        <v>4440.1000000000004</v>
      </c>
      <c r="N8" s="10" t="s">
        <v>12466</v>
      </c>
      <c r="P8" s="32">
        <v>45481</v>
      </c>
      <c r="R8" s="35">
        <v>34.56</v>
      </c>
      <c r="S8" s="34">
        <v>45480</v>
      </c>
      <c r="T8" s="35">
        <v>33.78</v>
      </c>
      <c r="U8" s="34">
        <v>45479</v>
      </c>
      <c r="V8" s="35">
        <v>33.78</v>
      </c>
      <c r="W8" s="34">
        <v>45478</v>
      </c>
      <c r="X8" s="35">
        <v>33.78</v>
      </c>
      <c r="Y8" s="34">
        <v>45477</v>
      </c>
      <c r="Z8" s="35">
        <v>34.619999999999997</v>
      </c>
      <c r="AA8" s="34">
        <v>45482</v>
      </c>
      <c r="AB8" s="35">
        <v>34.020000000000003</v>
      </c>
      <c r="AC8" s="34">
        <v>45483</v>
      </c>
      <c r="AD8" s="35">
        <v>34.630000000000003</v>
      </c>
      <c r="AE8" s="34">
        <v>45484</v>
      </c>
      <c r="AF8" s="35">
        <v>35.31</v>
      </c>
      <c r="AG8" s="34">
        <v>45485</v>
      </c>
      <c r="AH8" s="35">
        <v>35.85</v>
      </c>
      <c r="AI8" s="36">
        <v>7.1047957371226378E-3</v>
      </c>
      <c r="AK8" s="34">
        <v>45474</v>
      </c>
      <c r="AL8" s="35">
        <v>34.119999999999997</v>
      </c>
      <c r="AM8" s="34">
        <v>45488</v>
      </c>
      <c r="AN8" s="5">
        <v>35.590000000000003</v>
      </c>
      <c r="AP8" s="36">
        <v>4.3083235638921691E-2</v>
      </c>
      <c r="AS8" s="5" t="s">
        <v>12387</v>
      </c>
      <c r="AT8" s="5">
        <v>2</v>
      </c>
      <c r="AU8" s="5">
        <v>100</v>
      </c>
      <c r="AV8" s="5" t="s">
        <v>12400</v>
      </c>
      <c r="AW8" s="5" t="s">
        <v>12400</v>
      </c>
      <c r="AX8" s="5" t="s">
        <v>12400</v>
      </c>
      <c r="AZ8" s="49" t="s">
        <v>12405</v>
      </c>
      <c r="BA8" s="50" t="s">
        <v>12406</v>
      </c>
      <c r="BC8" s="51">
        <v>1.35636</v>
      </c>
      <c r="BR8" s="26" t="str">
        <v>Chinese Simplified</v>
      </c>
    </row>
    <row r="9" spans="1:70" ht="15" customHeight="1" x14ac:dyDescent="0.4">
      <c r="A9" s="27" t="s">
        <v>10975</v>
      </c>
      <c r="B9" s="44" t="s">
        <v>11920</v>
      </c>
      <c r="C9" s="45" t="s">
        <v>11419</v>
      </c>
      <c r="D9" s="46">
        <v>550</v>
      </c>
      <c r="E9" s="45" t="s">
        <v>12358</v>
      </c>
      <c r="F9" s="45"/>
      <c r="G9" s="9">
        <v>25.751059999999999</v>
      </c>
      <c r="H9" s="9">
        <v>182.57300000000001</v>
      </c>
      <c r="I9" s="9">
        <v>18.8443</v>
      </c>
      <c r="J9" s="9">
        <v>1772.5260000000001</v>
      </c>
      <c r="K9" s="9">
        <v>1772.5260000000001</v>
      </c>
      <c r="L9" s="9">
        <v>51.396000000000001</v>
      </c>
      <c r="M9" s="9">
        <v>180.17099999999999</v>
      </c>
      <c r="N9" s="10" t="s">
        <v>12467</v>
      </c>
      <c r="P9" s="32">
        <v>45481</v>
      </c>
      <c r="R9" s="35">
        <v>102.66</v>
      </c>
      <c r="S9" s="34">
        <v>45480</v>
      </c>
      <c r="T9" s="35">
        <v>102.87</v>
      </c>
      <c r="U9" s="34">
        <v>45479</v>
      </c>
      <c r="V9" s="35">
        <v>102.87</v>
      </c>
      <c r="W9" s="34">
        <v>45478</v>
      </c>
      <c r="X9" s="35">
        <v>102.87</v>
      </c>
      <c r="Y9" s="34">
        <v>45477</v>
      </c>
      <c r="Z9" s="35">
        <v>104.11</v>
      </c>
      <c r="AA9" s="34">
        <v>45482</v>
      </c>
      <c r="AB9" s="35">
        <v>106.84</v>
      </c>
      <c r="AC9" s="34">
        <v>45483</v>
      </c>
      <c r="AD9" s="35">
        <v>109.48</v>
      </c>
      <c r="AE9" s="34">
        <v>45484</v>
      </c>
      <c r="AF9" s="35">
        <v>114</v>
      </c>
      <c r="AG9" s="34">
        <v>45485</v>
      </c>
      <c r="AH9" s="35">
        <v>117</v>
      </c>
      <c r="AI9" s="36">
        <v>3.8592398172450748E-2</v>
      </c>
      <c r="AK9" s="34">
        <v>45474</v>
      </c>
      <c r="AL9" s="35">
        <v>102.11</v>
      </c>
      <c r="AM9" s="34">
        <v>45488</v>
      </c>
      <c r="AN9" s="5">
        <v>117.53</v>
      </c>
      <c r="AP9" s="36">
        <v>0.15101361277054148</v>
      </c>
      <c r="AS9" s="5" t="s">
        <v>12387</v>
      </c>
      <c r="AT9" s="5">
        <v>550</v>
      </c>
      <c r="AU9" s="5">
        <v>100</v>
      </c>
      <c r="AV9" s="5" t="s">
        <v>12400</v>
      </c>
      <c r="AW9" s="5" t="s">
        <v>12400</v>
      </c>
      <c r="AX9" s="5" t="s">
        <v>12400</v>
      </c>
      <c r="AZ9" s="49" t="s">
        <v>12403</v>
      </c>
      <c r="BA9" s="50" t="s">
        <v>12415</v>
      </c>
      <c r="BC9" s="51">
        <v>1.2177800000000001</v>
      </c>
      <c r="BR9" s="26" t="str">
        <v>Chinese Traditional</v>
      </c>
    </row>
    <row r="10" spans="1:70" ht="15" customHeight="1" x14ac:dyDescent="0.4">
      <c r="A10" s="27" t="s">
        <v>10976</v>
      </c>
      <c r="B10" s="44" t="s">
        <v>11921</v>
      </c>
      <c r="C10" s="45" t="s">
        <v>11420</v>
      </c>
      <c r="D10" s="47">
        <v>0.57499999999999996</v>
      </c>
      <c r="E10" s="45" t="s">
        <v>12357</v>
      </c>
      <c r="F10" s="45"/>
      <c r="G10" s="9">
        <v>13.261520000000001</v>
      </c>
      <c r="H10" s="9">
        <v>34.188130000000001</v>
      </c>
      <c r="I10" s="9">
        <v>7.1668000000000003</v>
      </c>
      <c r="J10" s="9">
        <v>410.16027000000003</v>
      </c>
      <c r="K10" s="9">
        <v>410.16027000000003</v>
      </c>
      <c r="L10" s="9">
        <v>81.994029999999995</v>
      </c>
      <c r="M10" s="9">
        <v>-46.005310000000001</v>
      </c>
      <c r="N10" s="10" t="s">
        <v>12467</v>
      </c>
      <c r="P10" s="32">
        <v>45481</v>
      </c>
      <c r="R10" s="35">
        <v>34.777900000000002</v>
      </c>
      <c r="S10" s="34">
        <v>45480</v>
      </c>
      <c r="T10" s="35">
        <v>34.210239999999999</v>
      </c>
      <c r="U10" s="34">
        <v>45479</v>
      </c>
      <c r="V10" s="35">
        <v>34.210239999999999</v>
      </c>
      <c r="W10" s="34">
        <v>45478</v>
      </c>
      <c r="X10" s="35">
        <v>34.210239999999999</v>
      </c>
      <c r="Y10" s="34">
        <v>45477</v>
      </c>
      <c r="Z10" s="35">
        <v>34.486490000000003</v>
      </c>
      <c r="AA10" s="34">
        <v>45482</v>
      </c>
      <c r="AB10" s="35">
        <v>34.374659999999999</v>
      </c>
      <c r="AC10" s="34">
        <v>45483</v>
      </c>
      <c r="AD10" s="35">
        <v>34.531280000000002</v>
      </c>
      <c r="AE10" s="34">
        <v>45484</v>
      </c>
      <c r="AF10" s="35">
        <v>34.56897</v>
      </c>
      <c r="AG10" s="34">
        <v>45485</v>
      </c>
      <c r="AH10" s="35">
        <v>35.005450000000003</v>
      </c>
      <c r="AI10" s="36">
        <v>4.8061633008129601E-3</v>
      </c>
      <c r="AK10" s="34">
        <v>45474</v>
      </c>
      <c r="AL10" s="35">
        <v>33.990989999999996</v>
      </c>
      <c r="AM10" s="34">
        <v>45488</v>
      </c>
      <c r="AN10" s="5">
        <v>35.036020000000001</v>
      </c>
      <c r="AP10" s="36">
        <v>3.0744323716373145E-2</v>
      </c>
      <c r="AS10" s="5" t="s">
        <v>12387</v>
      </c>
      <c r="AT10" s="5">
        <v>0.57499999999999996</v>
      </c>
      <c r="AU10" s="5">
        <v>100</v>
      </c>
      <c r="AV10" s="5" t="s">
        <v>12400</v>
      </c>
      <c r="AW10" s="5" t="s">
        <v>12400</v>
      </c>
      <c r="AX10" s="5" t="s">
        <v>12400</v>
      </c>
      <c r="AZ10" s="49" t="s">
        <v>12404</v>
      </c>
      <c r="BA10" s="50" t="s">
        <v>12404</v>
      </c>
      <c r="BC10" s="51">
        <v>0.38301000000000002</v>
      </c>
      <c r="BR10" s="26" t="str">
        <v>French</v>
      </c>
    </row>
    <row r="11" spans="1:70" ht="15" customHeight="1" x14ac:dyDescent="0.4">
      <c r="A11" s="27" t="s">
        <v>10977</v>
      </c>
      <c r="B11" s="44" t="s">
        <v>11922</v>
      </c>
      <c r="C11" s="45" t="s">
        <v>11421</v>
      </c>
      <c r="D11" s="46">
        <v>117</v>
      </c>
      <c r="E11" s="45" t="s">
        <v>12357</v>
      </c>
      <c r="F11" s="45"/>
      <c r="G11" s="9">
        <v>174.53924000000001</v>
      </c>
      <c r="H11" s="9">
        <v>1591</v>
      </c>
      <c r="I11" s="9">
        <v>29.117799999999999</v>
      </c>
      <c r="J11" s="9">
        <v>8683</v>
      </c>
      <c r="K11" s="9">
        <v>8683</v>
      </c>
      <c r="L11" s="9">
        <v>2472</v>
      </c>
      <c r="M11" s="9">
        <v>-446</v>
      </c>
      <c r="N11" s="10" t="s">
        <v>12468</v>
      </c>
      <c r="P11" s="32">
        <v>45481</v>
      </c>
      <c r="R11" s="35">
        <v>138.1</v>
      </c>
      <c r="S11" s="34">
        <v>45480</v>
      </c>
      <c r="T11" s="35">
        <v>137.35</v>
      </c>
      <c r="U11" s="34">
        <v>45479</v>
      </c>
      <c r="V11" s="35">
        <v>137.35</v>
      </c>
      <c r="W11" s="34">
        <v>45478</v>
      </c>
      <c r="X11" s="35">
        <v>137.35</v>
      </c>
      <c r="Y11" s="34">
        <v>45477</v>
      </c>
      <c r="Z11" s="35">
        <v>135.33000000000001</v>
      </c>
      <c r="AA11" s="34">
        <v>45482</v>
      </c>
      <c r="AB11" s="35">
        <v>136.06</v>
      </c>
      <c r="AC11" s="34">
        <v>45483</v>
      </c>
      <c r="AD11" s="35">
        <v>137.52000000000001</v>
      </c>
      <c r="AE11" s="34">
        <v>45484</v>
      </c>
      <c r="AF11" s="35">
        <v>139.99</v>
      </c>
      <c r="AG11" s="34">
        <v>45485</v>
      </c>
      <c r="AH11" s="35">
        <v>142.11000000000001</v>
      </c>
      <c r="AI11" s="36">
        <v>-9.3920640698943458E-3</v>
      </c>
      <c r="AK11" s="34">
        <v>45474</v>
      </c>
      <c r="AL11" s="35">
        <v>134.93</v>
      </c>
      <c r="AM11" s="34">
        <v>45488</v>
      </c>
      <c r="AN11" s="5">
        <v>145.53</v>
      </c>
      <c r="AP11" s="36">
        <v>7.8559252945971991E-2</v>
      </c>
      <c r="AS11" s="5" t="s">
        <v>12387</v>
      </c>
      <c r="AT11" s="5" t="s">
        <v>12400</v>
      </c>
      <c r="AU11" s="5" t="s">
        <v>12400</v>
      </c>
      <c r="AV11" s="5" t="s">
        <v>12400</v>
      </c>
      <c r="AW11" s="5" t="s">
        <v>12400</v>
      </c>
      <c r="AX11" s="5" t="s">
        <v>12400</v>
      </c>
      <c r="AZ11" s="49" t="s">
        <v>12403</v>
      </c>
      <c r="BA11" s="50" t="s">
        <v>12412</v>
      </c>
      <c r="BC11" s="51">
        <v>1.19556</v>
      </c>
      <c r="BR11" s="26" t="str">
        <v>German</v>
      </c>
    </row>
    <row r="12" spans="1:70" ht="15" customHeight="1" x14ac:dyDescent="0.4">
      <c r="A12" s="27" t="s">
        <v>10978</v>
      </c>
      <c r="B12" s="44" t="s">
        <v>11923</v>
      </c>
      <c r="C12" s="45" t="s">
        <v>11422</v>
      </c>
      <c r="D12" s="47">
        <v>0.27100000000000002</v>
      </c>
      <c r="E12" s="45" t="s">
        <v>12357</v>
      </c>
      <c r="F12" s="45"/>
      <c r="G12" s="9">
        <v>371.50625000000002</v>
      </c>
      <c r="H12" s="9">
        <v>0</v>
      </c>
      <c r="I12" s="9">
        <v>0</v>
      </c>
      <c r="J12" s="9">
        <v>0</v>
      </c>
      <c r="K12" s="9">
        <v>0</v>
      </c>
      <c r="L12" s="9">
        <v>0</v>
      </c>
      <c r="M12" s="9">
        <v>1.1097699999999999</v>
      </c>
      <c r="N12" s="10" t="s">
        <v>12466</v>
      </c>
      <c r="P12" s="32">
        <v>45480</v>
      </c>
      <c r="R12" s="35">
        <v>2.3900000000000001E-2</v>
      </c>
      <c r="S12" s="34">
        <v>45479</v>
      </c>
      <c r="T12" s="35">
        <v>2.3900000000000001E-2</v>
      </c>
      <c r="U12" s="34">
        <v>45478</v>
      </c>
      <c r="V12" s="35">
        <v>2.3900000000000001E-2</v>
      </c>
      <c r="W12" s="34">
        <v>45477</v>
      </c>
      <c r="X12" s="35">
        <v>2.3900000000000001E-2</v>
      </c>
      <c r="Y12" s="34">
        <v>45476</v>
      </c>
      <c r="Z12" s="35">
        <v>2.3900000000000001E-2</v>
      </c>
      <c r="AA12" s="34">
        <v>45481</v>
      </c>
      <c r="AB12" s="35">
        <v>2.3900000000000001E-2</v>
      </c>
      <c r="AC12" s="34">
        <v>45482</v>
      </c>
      <c r="AD12" s="35">
        <v>2.3900000000000001E-2</v>
      </c>
      <c r="AE12" s="34">
        <v>45483</v>
      </c>
      <c r="AF12" s="35">
        <v>2.3900000000000001E-2</v>
      </c>
      <c r="AG12" s="34">
        <v>45484</v>
      </c>
      <c r="AH12" s="35">
        <v>2.3900000000000001E-2</v>
      </c>
      <c r="AI12" s="36">
        <v>0</v>
      </c>
      <c r="AK12" s="34">
        <v>45473</v>
      </c>
      <c r="AL12" s="35">
        <v>2.3900000000000001E-2</v>
      </c>
      <c r="AM12" s="34">
        <v>45487</v>
      </c>
      <c r="AN12" s="5">
        <v>2.3900000000000001E-2</v>
      </c>
      <c r="AP12" s="36">
        <v>0</v>
      </c>
      <c r="AS12" s="5" t="s">
        <v>12387</v>
      </c>
      <c r="AT12" s="5">
        <v>0.27100000000000002</v>
      </c>
      <c r="AU12" s="5">
        <v>100</v>
      </c>
      <c r="AV12" s="5" t="s">
        <v>12400</v>
      </c>
      <c r="AW12" s="5" t="s">
        <v>12400</v>
      </c>
      <c r="AX12" s="5" t="s">
        <v>12400</v>
      </c>
      <c r="AZ12" s="49" t="s">
        <v>12403</v>
      </c>
      <c r="BA12" s="50" t="s">
        <v>12416</v>
      </c>
      <c r="BC12" s="51">
        <v>22.91705</v>
      </c>
      <c r="BR12" s="26" t="str">
        <v>Italian</v>
      </c>
    </row>
    <row r="13" spans="1:70" ht="15" customHeight="1" x14ac:dyDescent="0.4">
      <c r="A13" s="27" t="s">
        <v>10979</v>
      </c>
      <c r="B13" s="44" t="s">
        <v>11924</v>
      </c>
      <c r="C13" s="45" t="s">
        <v>11423</v>
      </c>
      <c r="D13" s="46">
        <v>43.8</v>
      </c>
      <c r="E13" s="45" t="s">
        <v>12357</v>
      </c>
      <c r="F13" s="45"/>
      <c r="G13" s="9">
        <v>54.132269999999998</v>
      </c>
      <c r="H13" s="9">
        <v>-1.2722599999999999</v>
      </c>
      <c r="I13" s="9" t="s">
        <v>11413</v>
      </c>
      <c r="J13" s="9">
        <v>0.56784000000000001</v>
      </c>
      <c r="K13" s="9">
        <v>0.56784000000000001</v>
      </c>
      <c r="L13" s="9">
        <v>7.4759999999999993E-2</v>
      </c>
      <c r="M13" s="9">
        <v>14.904949999999999</v>
      </c>
      <c r="N13" s="10" t="s">
        <v>12469</v>
      </c>
      <c r="P13" s="32">
        <v>45478</v>
      </c>
      <c r="R13" s="35">
        <v>1E-4</v>
      </c>
      <c r="S13" s="34">
        <v>45477</v>
      </c>
      <c r="T13" s="35">
        <v>1E-4</v>
      </c>
      <c r="U13" s="34">
        <v>45476</v>
      </c>
      <c r="V13" s="35">
        <v>1E-4</v>
      </c>
      <c r="W13" s="34">
        <v>45475</v>
      </c>
      <c r="X13" s="35">
        <v>1E-4</v>
      </c>
      <c r="Y13" s="34">
        <v>45474</v>
      </c>
      <c r="Z13" s="35">
        <v>1E-4</v>
      </c>
      <c r="AA13" s="34">
        <v>45479</v>
      </c>
      <c r="AB13" s="35">
        <v>1E-4</v>
      </c>
      <c r="AC13" s="34">
        <v>45480</v>
      </c>
      <c r="AD13" s="35">
        <v>1E-4</v>
      </c>
      <c r="AE13" s="34">
        <v>45481</v>
      </c>
      <c r="AF13" s="35">
        <v>1E-4</v>
      </c>
      <c r="AG13" s="34">
        <v>45482</v>
      </c>
      <c r="AH13" s="35">
        <v>1E-4</v>
      </c>
      <c r="AI13" s="36">
        <v>0</v>
      </c>
      <c r="AK13" s="34">
        <v>45471</v>
      </c>
      <c r="AL13" s="35">
        <v>1E-4</v>
      </c>
      <c r="AM13" s="34">
        <v>45485</v>
      </c>
      <c r="AN13" s="5">
        <v>1E-4</v>
      </c>
      <c r="AP13" s="36">
        <v>0</v>
      </c>
      <c r="AS13" s="5" t="s">
        <v>12387</v>
      </c>
      <c r="AT13" s="5" t="s">
        <v>12400</v>
      </c>
      <c r="AU13" s="5" t="s">
        <v>12400</v>
      </c>
      <c r="AV13" s="5" t="s">
        <v>12400</v>
      </c>
      <c r="AW13" s="5" t="s">
        <v>12400</v>
      </c>
      <c r="AX13" s="5" t="s">
        <v>12400</v>
      </c>
      <c r="AZ13" s="49" t="s">
        <v>12408</v>
      </c>
      <c r="BA13" s="50" t="s">
        <v>12415</v>
      </c>
      <c r="BC13" s="51">
        <v>-8.1471599999999995</v>
      </c>
      <c r="BR13" s="26" t="str">
        <v>Japanese</v>
      </c>
    </row>
    <row r="14" spans="1:70" ht="15" customHeight="1" x14ac:dyDescent="0.4">
      <c r="A14" s="27" t="s">
        <v>10980</v>
      </c>
      <c r="B14" s="44" t="s">
        <v>11925</v>
      </c>
      <c r="C14" s="45" t="s">
        <v>11424</v>
      </c>
      <c r="D14" s="47">
        <v>0.433</v>
      </c>
      <c r="E14" s="45" t="s">
        <v>12357</v>
      </c>
      <c r="F14" s="45"/>
      <c r="G14" s="9">
        <v>1.9495400000000001</v>
      </c>
      <c r="H14" s="9">
        <v>3.9582199999999998</v>
      </c>
      <c r="I14" s="9">
        <v>2.5070000000000001</v>
      </c>
      <c r="J14" s="9">
        <v>79.872889999999998</v>
      </c>
      <c r="K14" s="9">
        <v>79.872889999999998</v>
      </c>
      <c r="L14" s="9">
        <v>15.89367</v>
      </c>
      <c r="M14" s="9">
        <v>-11.96419</v>
      </c>
      <c r="N14" s="10" t="s">
        <v>12468</v>
      </c>
      <c r="P14" s="32">
        <v>45478</v>
      </c>
      <c r="R14" s="35">
        <v>53.697090000000003</v>
      </c>
      <c r="S14" s="34">
        <v>45477</v>
      </c>
      <c r="T14" s="35">
        <v>52.648650000000004</v>
      </c>
      <c r="U14" s="34">
        <v>45476</v>
      </c>
      <c r="V14" s="35">
        <v>51.750219999999999</v>
      </c>
      <c r="W14" s="34">
        <v>45475</v>
      </c>
      <c r="X14" s="35">
        <v>51.320590000000003</v>
      </c>
      <c r="Y14" s="34">
        <v>45474</v>
      </c>
      <c r="Z14" s="35">
        <v>49.646149999999999</v>
      </c>
      <c r="AA14" s="34">
        <v>45479</v>
      </c>
      <c r="AB14" s="35">
        <v>53.697090000000003</v>
      </c>
      <c r="AC14" s="34">
        <v>45480</v>
      </c>
      <c r="AD14" s="35">
        <v>53.697090000000003</v>
      </c>
      <c r="AE14" s="34">
        <v>45481</v>
      </c>
      <c r="AF14" s="35">
        <v>54.604550000000003</v>
      </c>
      <c r="AG14" s="34">
        <v>45482</v>
      </c>
      <c r="AH14" s="35">
        <v>54.048209999999997</v>
      </c>
      <c r="AI14" s="36">
        <v>1.9913900926234573E-2</v>
      </c>
      <c r="AK14" s="34">
        <v>45471</v>
      </c>
      <c r="AL14" s="35">
        <v>50.25179</v>
      </c>
      <c r="AM14" s="34">
        <v>45485</v>
      </c>
      <c r="AN14" s="5">
        <v>57.142859999999999</v>
      </c>
      <c r="AP14" s="36">
        <v>0.1371308365333852</v>
      </c>
      <c r="AS14" s="5" t="s">
        <v>12387</v>
      </c>
      <c r="AT14" s="5">
        <v>0.433</v>
      </c>
      <c r="AU14" s="5">
        <v>100</v>
      </c>
      <c r="AV14" s="5" t="s">
        <v>12400</v>
      </c>
      <c r="AW14" s="5" t="s">
        <v>12400</v>
      </c>
      <c r="AX14" s="5" t="s">
        <v>12400</v>
      </c>
      <c r="AZ14" s="49" t="s">
        <v>12407</v>
      </c>
      <c r="BA14" s="50" t="s">
        <v>12407</v>
      </c>
      <c r="BC14" s="51">
        <v>0.41574</v>
      </c>
      <c r="BR14" s="26" t="str">
        <v>Russian</v>
      </c>
    </row>
    <row r="15" spans="1:70" ht="15" customHeight="1" x14ac:dyDescent="0.4">
      <c r="A15" s="27" t="s">
        <v>10981</v>
      </c>
      <c r="B15" s="44" t="s">
        <v>11926</v>
      </c>
      <c r="C15" s="45" t="s">
        <v>11425</v>
      </c>
      <c r="D15" s="46">
        <v>1.9</v>
      </c>
      <c r="E15" s="45" t="s">
        <v>12358</v>
      </c>
      <c r="F15" s="45"/>
      <c r="G15" s="9">
        <v>186.95809</v>
      </c>
      <c r="H15" s="9">
        <v>63.247909999999997</v>
      </c>
      <c r="I15" s="9">
        <v>15.559900000000001</v>
      </c>
      <c r="J15" s="9">
        <v>320.31882999999999</v>
      </c>
      <c r="K15" s="9">
        <v>320.31882999999999</v>
      </c>
      <c r="L15" s="9">
        <v>47.592750000000002</v>
      </c>
      <c r="M15" s="9">
        <v>58.857790000000001</v>
      </c>
      <c r="N15" s="10" t="s">
        <v>12468</v>
      </c>
      <c r="P15" s="32">
        <v>45477</v>
      </c>
      <c r="R15" s="35">
        <v>7.8146699999999996</v>
      </c>
      <c r="S15" s="34">
        <v>45476</v>
      </c>
      <c r="T15" s="35">
        <v>7.7328299999999999</v>
      </c>
      <c r="U15" s="34">
        <v>45475</v>
      </c>
      <c r="V15" s="35">
        <v>7.5313100000000004</v>
      </c>
      <c r="W15" s="34">
        <v>45474</v>
      </c>
      <c r="X15" s="35">
        <v>7.5484799999999996</v>
      </c>
      <c r="Y15" s="34">
        <v>45473</v>
      </c>
      <c r="Z15" s="35">
        <v>7.8309800000000003</v>
      </c>
      <c r="AA15" s="34">
        <v>45478</v>
      </c>
      <c r="AB15" s="35">
        <v>7.8494099999999998</v>
      </c>
      <c r="AC15" s="34">
        <v>45479</v>
      </c>
      <c r="AD15" s="35">
        <v>7.8494099999999998</v>
      </c>
      <c r="AE15" s="34">
        <v>45480</v>
      </c>
      <c r="AF15" s="35">
        <v>7.8494099999999998</v>
      </c>
      <c r="AG15" s="34">
        <v>45481</v>
      </c>
      <c r="AH15" s="35">
        <v>8.0093599999999991</v>
      </c>
      <c r="AI15" s="36">
        <v>1.5075981238434011E-2</v>
      </c>
      <c r="AK15" s="34">
        <v>45470</v>
      </c>
      <c r="AL15" s="35">
        <v>7.9719100000000003</v>
      </c>
      <c r="AM15" s="34">
        <v>45484</v>
      </c>
      <c r="AN15" s="5">
        <v>8.2877399999999994</v>
      </c>
      <c r="AP15" s="36">
        <v>3.9617858204620937E-2</v>
      </c>
      <c r="AS15" s="5" t="s">
        <v>12387</v>
      </c>
      <c r="AT15" s="5">
        <v>1.9</v>
      </c>
      <c r="AU15" s="5">
        <v>100</v>
      </c>
      <c r="AV15" s="5" t="s">
        <v>12400</v>
      </c>
      <c r="AW15" s="5" t="s">
        <v>12400</v>
      </c>
      <c r="AX15" s="5" t="s">
        <v>12400</v>
      </c>
      <c r="AZ15" s="49" t="s">
        <v>12409</v>
      </c>
      <c r="BA15" s="50" t="s">
        <v>12404</v>
      </c>
      <c r="BC15" s="51">
        <v>1.143</v>
      </c>
      <c r="BR15" s="26" t="str">
        <v>Spanish</v>
      </c>
    </row>
    <row r="16" spans="1:70" ht="15" customHeight="1" x14ac:dyDescent="0.4">
      <c r="A16" s="27" t="s">
        <v>10982</v>
      </c>
      <c r="B16" s="44" t="s">
        <v>11927</v>
      </c>
      <c r="C16" s="45" t="s">
        <v>11426</v>
      </c>
      <c r="D16" s="46">
        <v>68</v>
      </c>
      <c r="E16" s="45" t="s">
        <v>12358</v>
      </c>
      <c r="F16" s="45"/>
      <c r="G16" s="9">
        <v>22.68282</v>
      </c>
      <c r="H16" s="9">
        <v>1.68763</v>
      </c>
      <c r="I16" s="9">
        <v>6.0448000000000004</v>
      </c>
      <c r="J16" s="9">
        <v>79.166979999999995</v>
      </c>
      <c r="K16" s="9">
        <v>79.166979999999995</v>
      </c>
      <c r="L16" s="9">
        <v>4.8971400000000003</v>
      </c>
      <c r="M16" s="9">
        <v>19.713069999999998</v>
      </c>
      <c r="N16" s="10" t="s">
        <v>12470</v>
      </c>
      <c r="P16" s="32">
        <v>45477</v>
      </c>
      <c r="R16" s="35">
        <v>1.0476700000000001</v>
      </c>
      <c r="S16" s="34">
        <v>45476</v>
      </c>
      <c r="T16" s="35">
        <v>1.04949</v>
      </c>
      <c r="U16" s="34">
        <v>45475</v>
      </c>
      <c r="V16" s="35">
        <v>1.0261400000000001</v>
      </c>
      <c r="W16" s="34">
        <v>45474</v>
      </c>
      <c r="X16" s="35">
        <v>1.0622400000000001</v>
      </c>
      <c r="Y16" s="34">
        <v>45473</v>
      </c>
      <c r="Z16" s="35">
        <v>1.07558</v>
      </c>
      <c r="AA16" s="34">
        <v>45478</v>
      </c>
      <c r="AB16" s="35">
        <v>1.0491299999999999</v>
      </c>
      <c r="AC16" s="34">
        <v>45479</v>
      </c>
      <c r="AD16" s="35">
        <v>1.0491299999999999</v>
      </c>
      <c r="AE16" s="34">
        <v>45480</v>
      </c>
      <c r="AF16" s="35">
        <v>1.0491299999999999</v>
      </c>
      <c r="AG16" s="34">
        <v>45481</v>
      </c>
      <c r="AH16" s="35">
        <v>1.0432600000000001</v>
      </c>
      <c r="AI16" s="36">
        <v>-3.430237543950998E-4</v>
      </c>
      <c r="AK16" s="34">
        <v>45470</v>
      </c>
      <c r="AL16" s="35">
        <v>0.96001999999999998</v>
      </c>
      <c r="AM16" s="34">
        <v>45484</v>
      </c>
      <c r="AN16" s="5">
        <v>1.04908</v>
      </c>
      <c r="AP16" s="36">
        <v>9.2768900647903108E-2</v>
      </c>
      <c r="AS16" s="5" t="s">
        <v>12387</v>
      </c>
      <c r="AT16" s="5">
        <v>68</v>
      </c>
      <c r="AU16" s="5">
        <v>100</v>
      </c>
      <c r="AV16" s="5" t="s">
        <v>12400</v>
      </c>
      <c r="AW16" s="5" t="s">
        <v>12400</v>
      </c>
      <c r="AX16" s="5" t="s">
        <v>12400</v>
      </c>
      <c r="AZ16" s="49" t="s">
        <v>12408</v>
      </c>
      <c r="BA16" s="50" t="s">
        <v>12409</v>
      </c>
      <c r="BC16" s="51">
        <v>0.89944000000000002</v>
      </c>
      <c r="BR16" s="26" t="str">
        <v>Korean</v>
      </c>
    </row>
    <row r="17" spans="1:70" ht="15" customHeight="1" x14ac:dyDescent="0.4">
      <c r="A17" s="27" t="s">
        <v>10983</v>
      </c>
      <c r="B17" s="44" t="s">
        <v>11928</v>
      </c>
      <c r="C17" s="45" t="s">
        <v>11427</v>
      </c>
      <c r="D17" s="46">
        <v>3.98</v>
      </c>
      <c r="E17" s="45" t="s">
        <v>12358</v>
      </c>
      <c r="F17" s="45"/>
      <c r="G17" s="9">
        <v>9.2007100000000008</v>
      </c>
      <c r="H17" s="9">
        <v>98.901290000000003</v>
      </c>
      <c r="I17" s="9">
        <v>15.4016</v>
      </c>
      <c r="J17" s="9">
        <v>576.99458000000004</v>
      </c>
      <c r="K17" s="9">
        <v>576.99458000000004</v>
      </c>
      <c r="L17" s="9">
        <v>38.948819999999998</v>
      </c>
      <c r="M17" s="9">
        <v>12.840719999999999</v>
      </c>
      <c r="N17" s="10" t="s">
        <v>12467</v>
      </c>
      <c r="P17" s="32">
        <v>45477</v>
      </c>
      <c r="R17" s="35">
        <v>87.567570000000003</v>
      </c>
      <c r="S17" s="34">
        <v>45476</v>
      </c>
      <c r="T17" s="35">
        <v>85.242009999999993</v>
      </c>
      <c r="U17" s="34">
        <v>45475</v>
      </c>
      <c r="V17" s="35">
        <v>85.248009999999994</v>
      </c>
      <c r="W17" s="34">
        <v>45474</v>
      </c>
      <c r="X17" s="35">
        <v>85.031099999999995</v>
      </c>
      <c r="Y17" s="34">
        <v>45473</v>
      </c>
      <c r="Z17" s="35">
        <v>83.681560000000005</v>
      </c>
      <c r="AA17" s="34">
        <v>45478</v>
      </c>
      <c r="AB17" s="35">
        <v>87.79907</v>
      </c>
      <c r="AC17" s="34">
        <v>45479</v>
      </c>
      <c r="AD17" s="35">
        <v>87.79907</v>
      </c>
      <c r="AE17" s="34">
        <v>45480</v>
      </c>
      <c r="AF17" s="35">
        <v>87.79907</v>
      </c>
      <c r="AG17" s="34">
        <v>45481</v>
      </c>
      <c r="AH17" s="35">
        <v>87.215599999999995</v>
      </c>
      <c r="AI17" s="36">
        <v>2.9997650219651062E-2</v>
      </c>
      <c r="AK17" s="34">
        <v>45470</v>
      </c>
      <c r="AL17" s="35">
        <v>84.573390000000003</v>
      </c>
      <c r="AM17" s="34">
        <v>45484</v>
      </c>
      <c r="AN17" s="5">
        <v>87.074680000000001</v>
      </c>
      <c r="AP17" s="36">
        <v>2.95753782602306E-2</v>
      </c>
      <c r="AS17" s="5" t="s">
        <v>12387</v>
      </c>
      <c r="AT17" s="5">
        <v>3.77</v>
      </c>
      <c r="AU17" s="5">
        <v>100</v>
      </c>
      <c r="AV17" s="5" t="s">
        <v>12400</v>
      </c>
      <c r="AW17" s="5" t="s">
        <v>12400</v>
      </c>
      <c r="AX17" s="5" t="s">
        <v>12400</v>
      </c>
      <c r="AZ17" s="49" t="s">
        <v>12410</v>
      </c>
      <c r="BA17" s="50" t="s">
        <v>12410</v>
      </c>
      <c r="BC17" s="51">
        <v>0.85463999999999996</v>
      </c>
      <c r="BR17" s="26" t="str">
        <v>Portuguese</v>
      </c>
    </row>
    <row r="18" spans="1:70" ht="15" customHeight="1" x14ac:dyDescent="0.4">
      <c r="A18" s="27" t="s">
        <v>10984</v>
      </c>
      <c r="B18" s="44" t="s">
        <v>11929</v>
      </c>
      <c r="C18" s="45" t="s">
        <v>11428</v>
      </c>
      <c r="D18" s="46">
        <v>8.2899999999999991</v>
      </c>
      <c r="E18" s="45" t="s">
        <v>12357</v>
      </c>
      <c r="F18" s="45"/>
      <c r="G18" s="9">
        <v>13.4009</v>
      </c>
      <c r="H18" s="9">
        <v>13.35023</v>
      </c>
      <c r="I18" s="9">
        <v>17.870799999999999</v>
      </c>
      <c r="J18" s="9">
        <v>80.070260000000005</v>
      </c>
      <c r="K18" s="9">
        <v>80.070260000000005</v>
      </c>
      <c r="L18" s="9">
        <v>5.10616</v>
      </c>
      <c r="M18" s="9">
        <v>9.8724399999999992</v>
      </c>
      <c r="N18" s="10" t="s">
        <v>12468</v>
      </c>
      <c r="P18" s="32">
        <v>45476</v>
      </c>
      <c r="R18" s="35">
        <v>16.696429999999999</v>
      </c>
      <c r="S18" s="34">
        <v>45475</v>
      </c>
      <c r="T18" s="35">
        <v>16.33353</v>
      </c>
      <c r="U18" s="34">
        <v>45474</v>
      </c>
      <c r="V18" s="35">
        <v>16.3566</v>
      </c>
      <c r="W18" s="34">
        <v>45473</v>
      </c>
      <c r="X18" s="35">
        <v>16.463930000000001</v>
      </c>
      <c r="Y18" s="34">
        <v>45472</v>
      </c>
      <c r="Z18" s="35">
        <v>16.463930000000001</v>
      </c>
      <c r="AA18" s="34">
        <v>45477</v>
      </c>
      <c r="AB18" s="35">
        <v>16.715109999999999</v>
      </c>
      <c r="AC18" s="34">
        <v>45478</v>
      </c>
      <c r="AD18" s="35">
        <v>17.167590000000001</v>
      </c>
      <c r="AE18" s="34">
        <v>45479</v>
      </c>
      <c r="AF18" s="35">
        <v>17.167590000000001</v>
      </c>
      <c r="AG18" s="34">
        <v>45480</v>
      </c>
      <c r="AH18" s="35">
        <v>17.167590000000001</v>
      </c>
      <c r="AI18" s="36">
        <v>2.3361759521671077E-2</v>
      </c>
      <c r="AK18" s="34">
        <v>45469</v>
      </c>
      <c r="AL18" s="35">
        <v>17.272839999999999</v>
      </c>
      <c r="AM18" s="34">
        <v>45483</v>
      </c>
      <c r="AN18" s="5">
        <v>17.027439999999999</v>
      </c>
      <c r="AP18" s="36">
        <v>-1.4207275699884891E-2</v>
      </c>
      <c r="AS18" s="5" t="s">
        <v>12387</v>
      </c>
      <c r="AT18" s="5">
        <v>5.42</v>
      </c>
      <c r="AU18" s="5">
        <v>100</v>
      </c>
      <c r="AV18" s="5" t="s">
        <v>12400</v>
      </c>
      <c r="AW18" s="5" t="s">
        <v>12400</v>
      </c>
      <c r="AX18" s="5" t="s">
        <v>12400</v>
      </c>
      <c r="AZ18" s="49" t="s">
        <v>12409</v>
      </c>
      <c r="BA18" s="50" t="s">
        <v>12411</v>
      </c>
      <c r="BC18" s="51">
        <v>0.57365999999999995</v>
      </c>
      <c r="BR18" s="26">
        <v>0</v>
      </c>
    </row>
    <row r="19" spans="1:70" ht="15" customHeight="1" x14ac:dyDescent="0.4">
      <c r="A19" s="27" t="s">
        <v>10985</v>
      </c>
      <c r="B19" s="44" t="s">
        <v>11930</v>
      </c>
      <c r="C19" s="45" t="s">
        <v>11429</v>
      </c>
      <c r="D19" s="46">
        <v>2.39</v>
      </c>
      <c r="E19" s="45" t="s">
        <v>12357</v>
      </c>
      <c r="F19" s="45"/>
      <c r="G19" s="9">
        <v>602.76675</v>
      </c>
      <c r="H19" s="9">
        <v>-141.81800000000001</v>
      </c>
      <c r="I19" s="9">
        <v>-63.7303</v>
      </c>
      <c r="J19" s="9">
        <v>1611.76142</v>
      </c>
      <c r="K19" s="9">
        <v>1611.76142</v>
      </c>
      <c r="L19" s="9">
        <v>6.10975</v>
      </c>
      <c r="M19" s="9">
        <v>320.06544000000002</v>
      </c>
      <c r="N19" s="10" t="s">
        <v>12471</v>
      </c>
      <c r="P19" s="32">
        <v>45476</v>
      </c>
      <c r="R19" s="35">
        <v>1.0006699999999999</v>
      </c>
      <c r="S19" s="34">
        <v>45475</v>
      </c>
      <c r="T19" s="35">
        <v>0.96199000000000001</v>
      </c>
      <c r="U19" s="34">
        <v>45474</v>
      </c>
      <c r="V19" s="35">
        <v>0.97726000000000002</v>
      </c>
      <c r="W19" s="34">
        <v>45473</v>
      </c>
      <c r="X19" s="35">
        <v>0.97077999999999998</v>
      </c>
      <c r="Y19" s="34">
        <v>45472</v>
      </c>
      <c r="Z19" s="35">
        <v>0.97077999999999998</v>
      </c>
      <c r="AA19" s="34">
        <v>45477</v>
      </c>
      <c r="AB19" s="35">
        <v>1.0024200000000001</v>
      </c>
      <c r="AC19" s="34">
        <v>45478</v>
      </c>
      <c r="AD19" s="35">
        <v>0.97457000000000005</v>
      </c>
      <c r="AE19" s="34">
        <v>45479</v>
      </c>
      <c r="AF19" s="35">
        <v>0.97457000000000005</v>
      </c>
      <c r="AG19" s="34">
        <v>45480</v>
      </c>
      <c r="AH19" s="35">
        <v>0.97457000000000005</v>
      </c>
      <c r="AI19" s="36">
        <v>4.2027463902951201E-2</v>
      </c>
      <c r="AK19" s="34">
        <v>45469</v>
      </c>
      <c r="AL19" s="35">
        <v>0.95731999999999995</v>
      </c>
      <c r="AM19" s="34">
        <v>45483</v>
      </c>
      <c r="AN19" s="5">
        <v>0.94803999999999999</v>
      </c>
      <c r="AP19" s="36">
        <v>-9.6937283249070028E-3</v>
      </c>
      <c r="AS19" s="5" t="s">
        <v>12388</v>
      </c>
      <c r="AT19" s="5">
        <v>0.76300000000000001</v>
      </c>
      <c r="AU19" s="5">
        <v>50</v>
      </c>
      <c r="AV19" s="5" t="s">
        <v>12400</v>
      </c>
      <c r="AW19" s="5" t="s">
        <v>12400</v>
      </c>
      <c r="AX19" s="5">
        <v>50</v>
      </c>
      <c r="AZ19" s="49" t="s">
        <v>12409</v>
      </c>
      <c r="BA19" s="50" t="s">
        <v>12409</v>
      </c>
      <c r="BC19" s="51">
        <v>7.9810000000000006E-2</v>
      </c>
      <c r="BR19" s="26">
        <v>0</v>
      </c>
    </row>
    <row r="20" spans="1:70" ht="15" customHeight="1" x14ac:dyDescent="0.4">
      <c r="A20" s="27" t="s">
        <v>10986</v>
      </c>
      <c r="B20" s="44" t="s">
        <v>11931</v>
      </c>
      <c r="C20" s="45" t="s">
        <v>11430</v>
      </c>
      <c r="D20" s="46">
        <v>92.91</v>
      </c>
      <c r="E20" s="45" t="s">
        <v>12357</v>
      </c>
      <c r="F20" s="45"/>
      <c r="G20" s="9">
        <v>11.152850000000001</v>
      </c>
      <c r="H20" s="9">
        <v>93.511660000000006</v>
      </c>
      <c r="I20" s="9">
        <v>11.0646</v>
      </c>
      <c r="J20" s="9">
        <v>571.23909000000003</v>
      </c>
      <c r="K20" s="9">
        <v>571.23909000000003</v>
      </c>
      <c r="L20" s="9">
        <v>85.332149999999999</v>
      </c>
      <c r="M20" s="9">
        <v>-78.257990000000007</v>
      </c>
      <c r="N20" s="10" t="s">
        <v>12467</v>
      </c>
      <c r="P20" s="32">
        <v>45476</v>
      </c>
      <c r="R20" s="35">
        <v>62.615180000000002</v>
      </c>
      <c r="S20" s="34">
        <v>45475</v>
      </c>
      <c r="T20" s="35">
        <v>60.078330000000001</v>
      </c>
      <c r="U20" s="34">
        <v>45474</v>
      </c>
      <c r="V20" s="35">
        <v>58.298389999999998</v>
      </c>
      <c r="W20" s="34">
        <v>45473</v>
      </c>
      <c r="X20" s="35">
        <v>58.758069999999996</v>
      </c>
      <c r="Y20" s="34">
        <v>45472</v>
      </c>
      <c r="Z20" s="35">
        <v>58.758069999999996</v>
      </c>
      <c r="AA20" s="34">
        <v>45477</v>
      </c>
      <c r="AB20" s="35">
        <v>64.004270000000005</v>
      </c>
      <c r="AC20" s="34">
        <v>45478</v>
      </c>
      <c r="AD20" s="35">
        <v>63.068280000000001</v>
      </c>
      <c r="AE20" s="34">
        <v>45479</v>
      </c>
      <c r="AF20" s="35">
        <v>63.068280000000001</v>
      </c>
      <c r="AG20" s="34">
        <v>45480</v>
      </c>
      <c r="AH20" s="35">
        <v>63.068280000000001</v>
      </c>
      <c r="AI20" s="36">
        <v>6.5347022795074539E-2</v>
      </c>
      <c r="AK20" s="34">
        <v>45469</v>
      </c>
      <c r="AL20" s="35">
        <v>59.286999999999999</v>
      </c>
      <c r="AM20" s="34">
        <v>45483</v>
      </c>
      <c r="AN20" s="5">
        <v>63.158830000000002</v>
      </c>
      <c r="AP20" s="36">
        <v>6.5306559616779447E-2</v>
      </c>
      <c r="AS20" s="5" t="s">
        <v>12387</v>
      </c>
      <c r="AT20" s="5">
        <v>92.91</v>
      </c>
      <c r="AU20" s="5">
        <v>100</v>
      </c>
      <c r="AV20" s="5" t="s">
        <v>12400</v>
      </c>
      <c r="AW20" s="5" t="s">
        <v>12400</v>
      </c>
      <c r="AX20" s="5" t="s">
        <v>12400</v>
      </c>
      <c r="AZ20" s="49" t="s">
        <v>12412</v>
      </c>
      <c r="BA20" s="50" t="s">
        <v>12413</v>
      </c>
      <c r="BC20" s="51">
        <v>1.40316</v>
      </c>
      <c r="BR20" s="26">
        <v>0</v>
      </c>
    </row>
    <row r="21" spans="1:70" ht="15" customHeight="1" x14ac:dyDescent="0.4">
      <c r="A21" s="27" t="s">
        <v>10987</v>
      </c>
      <c r="B21" s="44" t="s">
        <v>11932</v>
      </c>
      <c r="C21" s="45" t="s">
        <v>11431</v>
      </c>
      <c r="D21" s="47">
        <v>0.129</v>
      </c>
      <c r="E21" s="45" t="s">
        <v>12357</v>
      </c>
      <c r="F21" s="45"/>
      <c r="G21" s="9">
        <v>14.35019</v>
      </c>
      <c r="H21" s="9">
        <v>2.48122</v>
      </c>
      <c r="I21" s="9">
        <v>2.9580000000000002</v>
      </c>
      <c r="J21" s="9">
        <v>69.120769999999993</v>
      </c>
      <c r="K21" s="9">
        <v>69.120769999999993</v>
      </c>
      <c r="L21" s="9">
        <v>3.6053799999999998</v>
      </c>
      <c r="M21" s="9">
        <v>12.70065</v>
      </c>
      <c r="N21" s="10" t="s">
        <v>12467</v>
      </c>
      <c r="P21" s="32">
        <v>45475</v>
      </c>
      <c r="R21" s="35">
        <v>2.5982400000000001</v>
      </c>
      <c r="S21" s="34">
        <v>45474</v>
      </c>
      <c r="T21" s="35">
        <v>2.5949</v>
      </c>
      <c r="U21" s="34">
        <v>45473</v>
      </c>
      <c r="V21" s="35">
        <v>2.57152</v>
      </c>
      <c r="W21" s="34">
        <v>45472</v>
      </c>
      <c r="X21" s="35">
        <v>2.57152</v>
      </c>
      <c r="Y21" s="34">
        <v>45471</v>
      </c>
      <c r="Z21" s="35">
        <v>2.57152</v>
      </c>
      <c r="AA21" s="34">
        <v>45476</v>
      </c>
      <c r="AB21" s="35">
        <v>2.5929099999999998</v>
      </c>
      <c r="AC21" s="34">
        <v>45477</v>
      </c>
      <c r="AD21" s="35">
        <v>2.5945900000000002</v>
      </c>
      <c r="AE21" s="34">
        <v>45478</v>
      </c>
      <c r="AF21" s="35">
        <v>2.5982500000000002</v>
      </c>
      <c r="AG21" s="34">
        <v>45479</v>
      </c>
      <c r="AH21" s="35">
        <v>2.5982500000000002</v>
      </c>
      <c r="AI21" s="36">
        <v>-7.6688889745279987E-4</v>
      </c>
      <c r="AK21" s="34">
        <v>45468</v>
      </c>
      <c r="AL21" s="35">
        <v>2.5687700000000002</v>
      </c>
      <c r="AM21" s="34">
        <v>45482</v>
      </c>
      <c r="AN21" s="5">
        <v>2.5943100000000001</v>
      </c>
      <c r="AP21" s="36">
        <v>9.9425016642205044E-3</v>
      </c>
      <c r="AS21" s="5" t="s">
        <v>12389</v>
      </c>
      <c r="AT21" s="5">
        <v>7.4999999999999997E-2</v>
      </c>
      <c r="AU21" s="5">
        <v>58.33</v>
      </c>
      <c r="AV21" s="5" t="s">
        <v>12400</v>
      </c>
      <c r="AW21" s="5" t="s">
        <v>12400</v>
      </c>
      <c r="AX21" s="5">
        <v>41.67</v>
      </c>
      <c r="AZ21" s="49" t="s">
        <v>12411</v>
      </c>
      <c r="BA21" s="50" t="s">
        <v>12411</v>
      </c>
      <c r="BC21" s="51">
        <v>1.00604</v>
      </c>
      <c r="BR21" s="26">
        <v>0</v>
      </c>
    </row>
    <row r="22" spans="1:70" ht="15" customHeight="1" x14ac:dyDescent="0.4">
      <c r="A22" s="27" t="s">
        <v>10988</v>
      </c>
      <c r="B22" s="44" t="s">
        <v>11933</v>
      </c>
      <c r="C22" s="45" t="s">
        <v>11432</v>
      </c>
      <c r="D22" s="46">
        <v>1111.02</v>
      </c>
      <c r="E22" s="45" t="s">
        <v>12357</v>
      </c>
      <c r="F22" s="45"/>
      <c r="G22" s="9">
        <v>176.64922000000001</v>
      </c>
      <c r="H22" s="9">
        <v>343</v>
      </c>
      <c r="I22" s="9">
        <v>30.380800000000001</v>
      </c>
      <c r="J22" s="9">
        <v>2681</v>
      </c>
      <c r="K22" s="9">
        <v>2681</v>
      </c>
      <c r="L22" s="9">
        <v>200</v>
      </c>
      <c r="M22" s="9">
        <v>1216</v>
      </c>
      <c r="N22" s="10" t="s">
        <v>12469</v>
      </c>
      <c r="P22" s="32">
        <v>45475</v>
      </c>
      <c r="R22" s="35">
        <v>9.2000299999999999</v>
      </c>
      <c r="S22" s="34">
        <v>45474</v>
      </c>
      <c r="T22" s="35">
        <v>9.0819299999999998</v>
      </c>
      <c r="U22" s="34">
        <v>45473</v>
      </c>
      <c r="V22" s="35">
        <v>9.0790299999999995</v>
      </c>
      <c r="W22" s="34">
        <v>45472</v>
      </c>
      <c r="X22" s="35">
        <v>9.0790299999999995</v>
      </c>
      <c r="Y22" s="34">
        <v>45471</v>
      </c>
      <c r="Z22" s="35">
        <v>9.0790299999999995</v>
      </c>
      <c r="AA22" s="34">
        <v>45476</v>
      </c>
      <c r="AB22" s="35">
        <v>9.8771400000000007</v>
      </c>
      <c r="AC22" s="34">
        <v>45477</v>
      </c>
      <c r="AD22" s="35">
        <v>9.5609400000000004</v>
      </c>
      <c r="AE22" s="34">
        <v>45478</v>
      </c>
      <c r="AF22" s="35">
        <v>9.5442400000000003</v>
      </c>
      <c r="AG22" s="34">
        <v>45479</v>
      </c>
      <c r="AH22" s="35">
        <v>9.5442400000000003</v>
      </c>
      <c r="AI22" s="36">
        <v>8.7559582599733954E-2</v>
      </c>
      <c r="AK22" s="34">
        <v>45468</v>
      </c>
      <c r="AL22" s="35">
        <v>8.4320799999999991</v>
      </c>
      <c r="AM22" s="34">
        <v>45482</v>
      </c>
      <c r="AN22" s="5">
        <v>9.5291300000000003</v>
      </c>
      <c r="AP22" s="36">
        <v>0.13010431589833127</v>
      </c>
      <c r="AS22" s="5" t="s">
        <v>12389</v>
      </c>
      <c r="AT22" s="5">
        <v>577</v>
      </c>
      <c r="AU22" s="5">
        <v>51.93</v>
      </c>
      <c r="AV22" s="5" t="s">
        <v>12400</v>
      </c>
      <c r="AW22" s="5" t="s">
        <v>12400</v>
      </c>
      <c r="AX22" s="5">
        <v>48.07</v>
      </c>
      <c r="AZ22" s="49" t="s">
        <v>12408</v>
      </c>
      <c r="BA22" s="50" t="s">
        <v>12414</v>
      </c>
      <c r="BC22" s="51">
        <v>-1.6240000000000001E-2</v>
      </c>
      <c r="BR22" s="26">
        <v>0</v>
      </c>
    </row>
    <row r="23" spans="1:70" ht="15" customHeight="1" x14ac:dyDescent="0.4">
      <c r="A23" s="27" t="s">
        <v>10989</v>
      </c>
      <c r="B23" s="44" t="s">
        <v>11934</v>
      </c>
      <c r="C23" s="45" t="s">
        <v>11433</v>
      </c>
      <c r="D23" s="46">
        <v>1.79</v>
      </c>
      <c r="E23" s="45" t="s">
        <v>12357</v>
      </c>
      <c r="F23" s="45"/>
      <c r="G23" s="9">
        <v>42.470950000000002</v>
      </c>
      <c r="H23" s="9">
        <v>-0.60040000000000004</v>
      </c>
      <c r="I23" s="9">
        <v>-30.1327</v>
      </c>
      <c r="J23" s="9">
        <v>1.8886000000000001</v>
      </c>
      <c r="K23" s="9">
        <v>1.8886000000000001</v>
      </c>
      <c r="L23" s="9">
        <v>0.11505</v>
      </c>
      <c r="M23" s="9">
        <v>0.35866999999999999</v>
      </c>
      <c r="N23" s="10" t="s">
        <v>12467</v>
      </c>
      <c r="P23" s="32">
        <v>45475</v>
      </c>
      <c r="R23" s="35">
        <v>1.525E-2</v>
      </c>
      <c r="S23" s="34">
        <v>45474</v>
      </c>
      <c r="T23" s="35">
        <v>1.9550000000000001E-2</v>
      </c>
      <c r="U23" s="34">
        <v>45473</v>
      </c>
      <c r="V23" s="35">
        <v>2.3019999999999999E-2</v>
      </c>
      <c r="W23" s="34">
        <v>45472</v>
      </c>
      <c r="X23" s="35">
        <v>2.3019999999999999E-2</v>
      </c>
      <c r="Y23" s="34">
        <v>45471</v>
      </c>
      <c r="Z23" s="35">
        <v>2.3019999999999999E-2</v>
      </c>
      <c r="AA23" s="34">
        <v>45476</v>
      </c>
      <c r="AB23" s="35">
        <v>1.6219999999999998E-2</v>
      </c>
      <c r="AC23" s="34">
        <v>45477</v>
      </c>
      <c r="AD23" s="35">
        <v>1.9619999999999999E-2</v>
      </c>
      <c r="AE23" s="34">
        <v>45478</v>
      </c>
      <c r="AF23" s="35">
        <v>1.9650000000000001E-2</v>
      </c>
      <c r="AG23" s="34">
        <v>45479</v>
      </c>
      <c r="AH23" s="35">
        <v>1.9650000000000001E-2</v>
      </c>
      <c r="AI23" s="36">
        <v>-0.17033248081841446</v>
      </c>
      <c r="AK23" s="34">
        <v>45468</v>
      </c>
      <c r="AL23" s="35">
        <v>2.7570000000000001E-2</v>
      </c>
      <c r="AM23" s="34">
        <v>45482</v>
      </c>
      <c r="AN23" s="5">
        <v>1.609E-2</v>
      </c>
      <c r="AP23" s="36">
        <v>-0.41639463184620962</v>
      </c>
      <c r="AS23" s="5" t="s">
        <v>12387</v>
      </c>
      <c r="AT23" s="5">
        <v>1.79</v>
      </c>
      <c r="AU23" s="5">
        <v>100</v>
      </c>
      <c r="AV23" s="5" t="s">
        <v>12400</v>
      </c>
      <c r="AW23" s="5" t="s">
        <v>12400</v>
      </c>
      <c r="AX23" s="5" t="s">
        <v>12400</v>
      </c>
      <c r="AZ23" s="49" t="s">
        <v>12409</v>
      </c>
      <c r="BA23" s="50" t="s">
        <v>12414</v>
      </c>
      <c r="BC23" s="51">
        <v>0.18056</v>
      </c>
      <c r="BR23" s="26">
        <v>0</v>
      </c>
    </row>
    <row r="24" spans="1:70" ht="15" customHeight="1" x14ac:dyDescent="0.4">
      <c r="A24" s="27" t="s">
        <v>10990</v>
      </c>
      <c r="B24" s="44" t="s">
        <v>11935</v>
      </c>
      <c r="C24" s="45" t="s">
        <v>11434</v>
      </c>
      <c r="D24" s="46">
        <v>7.7</v>
      </c>
      <c r="E24" s="45" t="s">
        <v>12357</v>
      </c>
      <c r="F24" s="45"/>
      <c r="G24" s="9">
        <v>105.36049</v>
      </c>
      <c r="H24" s="9">
        <v>10.438140000000001</v>
      </c>
      <c r="I24" s="9">
        <v>18.405200000000001</v>
      </c>
      <c r="J24" s="9">
        <v>59.239910000000002</v>
      </c>
      <c r="K24" s="9">
        <v>59.239910000000002</v>
      </c>
      <c r="L24" s="9">
        <v>19.147539999999999</v>
      </c>
      <c r="M24" s="9">
        <v>-17.829730000000001</v>
      </c>
      <c r="N24" s="10" t="s">
        <v>12467</v>
      </c>
      <c r="P24" s="32">
        <v>45475</v>
      </c>
      <c r="R24" s="35">
        <v>0.98638999999999999</v>
      </c>
      <c r="S24" s="34">
        <v>45474</v>
      </c>
      <c r="T24" s="35">
        <v>0.96436999999999995</v>
      </c>
      <c r="U24" s="34">
        <v>45473</v>
      </c>
      <c r="V24" s="35">
        <v>0.91776000000000002</v>
      </c>
      <c r="W24" s="34">
        <v>45472</v>
      </c>
      <c r="X24" s="35">
        <v>0.91776000000000002</v>
      </c>
      <c r="Y24" s="34">
        <v>45471</v>
      </c>
      <c r="Z24" s="35">
        <v>0.91776000000000002</v>
      </c>
      <c r="AA24" s="34">
        <v>45476</v>
      </c>
      <c r="AB24" s="35">
        <v>1.0911299999999999</v>
      </c>
      <c r="AC24" s="34">
        <v>45477</v>
      </c>
      <c r="AD24" s="35">
        <v>1.13595</v>
      </c>
      <c r="AE24" s="34">
        <v>45478</v>
      </c>
      <c r="AF24" s="35">
        <v>1.09944</v>
      </c>
      <c r="AG24" s="34">
        <v>45479</v>
      </c>
      <c r="AH24" s="35">
        <v>1.09944</v>
      </c>
      <c r="AI24" s="36">
        <v>0.13144332569449491</v>
      </c>
      <c r="AK24" s="34">
        <v>45468</v>
      </c>
      <c r="AL24" s="35">
        <v>0.92003000000000001</v>
      </c>
      <c r="AM24" s="34">
        <v>45482</v>
      </c>
      <c r="AN24" s="5">
        <v>1.0911900000000001</v>
      </c>
      <c r="AP24" s="36">
        <v>0.18603741182352751</v>
      </c>
      <c r="AS24" s="5" t="s">
        <v>12389</v>
      </c>
      <c r="AT24" s="5">
        <v>6.16</v>
      </c>
      <c r="AU24" s="5">
        <v>79.97</v>
      </c>
      <c r="AV24" s="5" t="s">
        <v>12400</v>
      </c>
      <c r="AW24" s="5" t="s">
        <v>12400</v>
      </c>
      <c r="AX24" s="5">
        <v>20.03</v>
      </c>
      <c r="AZ24" s="49" t="s">
        <v>12408</v>
      </c>
      <c r="BA24" s="50" t="s">
        <v>12408</v>
      </c>
      <c r="BC24" s="51">
        <v>0.51776</v>
      </c>
      <c r="BR24" s="26">
        <v>0</v>
      </c>
    </row>
    <row r="25" spans="1:70" ht="15" customHeight="1" x14ac:dyDescent="0.4">
      <c r="A25" s="27" t="s">
        <v>10991</v>
      </c>
      <c r="B25" s="44" t="s">
        <v>11936</v>
      </c>
      <c r="C25" s="45" t="s">
        <v>11435</v>
      </c>
      <c r="D25" s="46">
        <v>48.41</v>
      </c>
      <c r="E25" s="45" t="s">
        <v>12357</v>
      </c>
      <c r="F25" s="45"/>
      <c r="G25" s="9">
        <v>126</v>
      </c>
      <c r="H25" s="9">
        <v>486.15562999999997</v>
      </c>
      <c r="I25" s="9">
        <v>6.8479000000000001</v>
      </c>
      <c r="J25" s="9">
        <v>4203.8123100000003</v>
      </c>
      <c r="K25" s="9">
        <v>4203.8123100000003</v>
      </c>
      <c r="L25" s="9">
        <v>481.65800999999999</v>
      </c>
      <c r="M25" s="9">
        <v>296.54471000000001</v>
      </c>
      <c r="N25" s="10" t="s">
        <v>12468</v>
      </c>
      <c r="P25" s="32">
        <v>45475</v>
      </c>
      <c r="R25" s="35">
        <v>45.050460000000001</v>
      </c>
      <c r="S25" s="34">
        <v>45474</v>
      </c>
      <c r="T25" s="35">
        <v>44.327689999999997</v>
      </c>
      <c r="U25" s="34">
        <v>45473</v>
      </c>
      <c r="V25" s="35">
        <v>47.080249999999999</v>
      </c>
      <c r="W25" s="34">
        <v>45472</v>
      </c>
      <c r="X25" s="35">
        <v>47.080249999999999</v>
      </c>
      <c r="Y25" s="34">
        <v>45471</v>
      </c>
      <c r="Z25" s="35">
        <v>47.080249999999999</v>
      </c>
      <c r="AA25" s="34">
        <v>45476</v>
      </c>
      <c r="AB25" s="35">
        <v>45.484009999999998</v>
      </c>
      <c r="AC25" s="34">
        <v>45477</v>
      </c>
      <c r="AD25" s="35">
        <v>45.362160000000003</v>
      </c>
      <c r="AE25" s="34">
        <v>45478</v>
      </c>
      <c r="AF25" s="35">
        <v>46.162170000000003</v>
      </c>
      <c r="AG25" s="34">
        <v>45479</v>
      </c>
      <c r="AH25" s="35">
        <v>46.162170000000003</v>
      </c>
      <c r="AI25" s="36">
        <v>2.608572655150776E-2</v>
      </c>
      <c r="AK25" s="34">
        <v>45468</v>
      </c>
      <c r="AL25" s="35">
        <v>47.843310000000002</v>
      </c>
      <c r="AM25" s="34">
        <v>45482</v>
      </c>
      <c r="AN25" s="5">
        <v>44.795160000000003</v>
      </c>
      <c r="AP25" s="36">
        <v>-6.3711101928357383E-2</v>
      </c>
      <c r="AS25" s="5" t="s">
        <v>12387</v>
      </c>
      <c r="AT25" s="5">
        <v>48.41</v>
      </c>
      <c r="AU25" s="5">
        <v>100</v>
      </c>
      <c r="AV25" s="5" t="s">
        <v>12400</v>
      </c>
      <c r="AW25" s="5" t="s">
        <v>12400</v>
      </c>
      <c r="AX25" s="5" t="s">
        <v>12400</v>
      </c>
      <c r="AZ25" s="49" t="s">
        <v>12406</v>
      </c>
      <c r="BA25" s="50" t="s">
        <v>12416</v>
      </c>
      <c r="BC25" s="51">
        <v>0.87531999999999999</v>
      </c>
      <c r="BR25" s="26">
        <v>0</v>
      </c>
    </row>
    <row r="26" spans="1:70" ht="15" customHeight="1" x14ac:dyDescent="0.4">
      <c r="A26" s="27" t="s">
        <v>10992</v>
      </c>
      <c r="B26" s="44" t="s">
        <v>11937</v>
      </c>
      <c r="C26" s="45" t="s">
        <v>11436</v>
      </c>
      <c r="D26" s="46">
        <v>12.78</v>
      </c>
      <c r="E26" s="45" t="s">
        <v>12357</v>
      </c>
      <c r="F26" s="45"/>
      <c r="G26" s="9">
        <v>80.312420000000003</v>
      </c>
      <c r="H26" s="9">
        <v>-19.835999999999999</v>
      </c>
      <c r="I26" s="9">
        <v>-9.0982000000000003</v>
      </c>
      <c r="J26" s="9">
        <v>239.01300000000001</v>
      </c>
      <c r="K26" s="9">
        <v>239.01300000000001</v>
      </c>
      <c r="L26" s="9">
        <v>71.731999999999999</v>
      </c>
      <c r="M26" s="9">
        <v>-4.3079999999999998</v>
      </c>
      <c r="N26" s="10" t="s">
        <v>12468</v>
      </c>
      <c r="P26" s="32">
        <v>45474</v>
      </c>
      <c r="R26" s="35">
        <v>7.5</v>
      </c>
      <c r="S26" s="34">
        <v>45473</v>
      </c>
      <c r="T26" s="35">
        <v>7.77</v>
      </c>
      <c r="U26" s="34">
        <v>45472</v>
      </c>
      <c r="V26" s="35">
        <v>7.77</v>
      </c>
      <c r="W26" s="34">
        <v>45471</v>
      </c>
      <c r="X26" s="35">
        <v>7.77</v>
      </c>
      <c r="Y26" s="34">
        <v>45470</v>
      </c>
      <c r="Z26" s="35">
        <v>7.63</v>
      </c>
      <c r="AA26" s="34">
        <v>45475</v>
      </c>
      <c r="AB26" s="35">
        <v>7.38</v>
      </c>
      <c r="AC26" s="34">
        <v>45476</v>
      </c>
      <c r="AD26" s="35">
        <v>7.41</v>
      </c>
      <c r="AE26" s="34">
        <v>45477</v>
      </c>
      <c r="AF26" s="35">
        <v>7.41</v>
      </c>
      <c r="AG26" s="34">
        <v>45478</v>
      </c>
      <c r="AH26" s="35">
        <v>7.19</v>
      </c>
      <c r="AI26" s="36">
        <v>-5.0193050193050204E-2</v>
      </c>
      <c r="AK26" s="34">
        <v>45467</v>
      </c>
      <c r="AL26" s="35">
        <v>7.8</v>
      </c>
      <c r="AM26" s="34">
        <v>45481</v>
      </c>
      <c r="AN26" s="5">
        <v>7.21</v>
      </c>
      <c r="AP26" s="36">
        <v>-7.5641025641025594E-2</v>
      </c>
      <c r="AS26" s="5" t="s">
        <v>12387</v>
      </c>
      <c r="AT26" s="5">
        <v>12.78</v>
      </c>
      <c r="AU26" s="5">
        <v>100</v>
      </c>
      <c r="AV26" s="5" t="s">
        <v>12400</v>
      </c>
      <c r="AW26" s="5" t="s">
        <v>12400</v>
      </c>
      <c r="AX26" s="5" t="s">
        <v>12400</v>
      </c>
      <c r="AZ26" s="49" t="s">
        <v>12456</v>
      </c>
      <c r="BA26" s="50" t="s">
        <v>12412</v>
      </c>
      <c r="BC26" s="51">
        <v>1.0943700000000001</v>
      </c>
      <c r="BR26" s="26">
        <v>0</v>
      </c>
    </row>
    <row r="27" spans="1:70" ht="15" customHeight="1" x14ac:dyDescent="0.4">
      <c r="A27" s="27" t="s">
        <v>10993</v>
      </c>
      <c r="B27" s="44" t="s">
        <v>11938</v>
      </c>
      <c r="C27" s="45" t="s">
        <v>11437</v>
      </c>
      <c r="D27" s="47">
        <v>0.96499999999999997</v>
      </c>
      <c r="E27" s="45" t="s">
        <v>12357</v>
      </c>
      <c r="F27" s="45"/>
      <c r="G27" s="9">
        <v>27.413399999999999</v>
      </c>
      <c r="H27" s="9">
        <v>-0.29550999999999999</v>
      </c>
      <c r="I27" s="9">
        <v>-0.36959999999999998</v>
      </c>
      <c r="J27" s="9">
        <v>39.274979999999999</v>
      </c>
      <c r="K27" s="9">
        <v>39.274979999999999</v>
      </c>
      <c r="L27" s="9">
        <v>3.2277</v>
      </c>
      <c r="M27" s="9">
        <v>-3.2277</v>
      </c>
      <c r="N27" s="10" t="s">
        <v>12468</v>
      </c>
      <c r="P27" s="32">
        <v>45474</v>
      </c>
      <c r="R27" s="35">
        <v>0.50551000000000001</v>
      </c>
      <c r="S27" s="34">
        <v>45473</v>
      </c>
      <c r="T27" s="35">
        <v>0.49919999999999998</v>
      </c>
      <c r="U27" s="34">
        <v>45472</v>
      </c>
      <c r="V27" s="35">
        <v>0.49919999999999998</v>
      </c>
      <c r="W27" s="34">
        <v>45471</v>
      </c>
      <c r="X27" s="35">
        <v>0.49919999999999998</v>
      </c>
      <c r="Y27" s="34">
        <v>45470</v>
      </c>
      <c r="Z27" s="35">
        <v>0.49947999999999998</v>
      </c>
      <c r="AA27" s="34">
        <v>45475</v>
      </c>
      <c r="AB27" s="35">
        <v>0.50714000000000004</v>
      </c>
      <c r="AC27" s="34">
        <v>45476</v>
      </c>
      <c r="AD27" s="35">
        <v>0.49138999999999999</v>
      </c>
      <c r="AE27" s="34">
        <v>45477</v>
      </c>
      <c r="AF27" s="35">
        <v>0.49147999999999997</v>
      </c>
      <c r="AG27" s="34">
        <v>45478</v>
      </c>
      <c r="AH27" s="35">
        <v>0.49308000000000002</v>
      </c>
      <c r="AI27" s="36">
        <v>1.5905448717948856E-2</v>
      </c>
      <c r="AK27" s="34">
        <v>45467</v>
      </c>
      <c r="AL27" s="35">
        <v>0.50129999999999997</v>
      </c>
      <c r="AM27" s="34">
        <v>45481</v>
      </c>
      <c r="AN27" s="5">
        <v>0.49393999999999999</v>
      </c>
      <c r="AP27" s="36">
        <v>-1.4681827249152124E-2</v>
      </c>
      <c r="AS27" s="5" t="s">
        <v>12387</v>
      </c>
      <c r="AT27" s="5">
        <v>0.64300000000000002</v>
      </c>
      <c r="AU27" s="5">
        <v>100</v>
      </c>
      <c r="AV27" s="5" t="s">
        <v>12400</v>
      </c>
      <c r="AW27" s="5" t="s">
        <v>12400</v>
      </c>
      <c r="AX27" s="5" t="s">
        <v>12400</v>
      </c>
      <c r="AZ27" s="49" t="s">
        <v>12415</v>
      </c>
      <c r="BA27" s="50" t="s">
        <v>12438</v>
      </c>
      <c r="BC27" s="51">
        <v>-4.3270000000000003E-2</v>
      </c>
      <c r="BR27" s="26">
        <v>0</v>
      </c>
    </row>
    <row r="28" spans="1:70" ht="15" customHeight="1" x14ac:dyDescent="0.4">
      <c r="A28" s="27" t="s">
        <v>10981</v>
      </c>
      <c r="B28" s="44" t="s">
        <v>11926</v>
      </c>
      <c r="C28" s="45" t="s">
        <v>11438</v>
      </c>
      <c r="D28" s="46">
        <v>4.79</v>
      </c>
      <c r="E28" s="45" t="s">
        <v>12357</v>
      </c>
      <c r="F28" s="45"/>
      <c r="G28" s="9">
        <v>186.95809</v>
      </c>
      <c r="H28" s="9">
        <v>63.247909999999997</v>
      </c>
      <c r="I28" s="9">
        <v>15.559900000000001</v>
      </c>
      <c r="J28" s="9">
        <v>320.31882999999999</v>
      </c>
      <c r="K28" s="9">
        <v>320.31882999999999</v>
      </c>
      <c r="L28" s="9">
        <v>47.592750000000002</v>
      </c>
      <c r="M28" s="9">
        <v>58.857790000000001</v>
      </c>
      <c r="N28" s="10" t="s">
        <v>12468</v>
      </c>
      <c r="P28" s="32">
        <v>45474</v>
      </c>
      <c r="R28" s="35">
        <v>7.5484799999999996</v>
      </c>
      <c r="S28" s="34">
        <v>45473</v>
      </c>
      <c r="T28" s="35">
        <v>7.8309800000000003</v>
      </c>
      <c r="U28" s="34">
        <v>45472</v>
      </c>
      <c r="V28" s="35">
        <v>7.8309800000000003</v>
      </c>
      <c r="W28" s="34">
        <v>45471</v>
      </c>
      <c r="X28" s="35">
        <v>7.8309800000000003</v>
      </c>
      <c r="Y28" s="34">
        <v>45470</v>
      </c>
      <c r="Z28" s="35">
        <v>7.9719100000000003</v>
      </c>
      <c r="AA28" s="34">
        <v>45475</v>
      </c>
      <c r="AB28" s="35">
        <v>7.5313100000000004</v>
      </c>
      <c r="AC28" s="34">
        <v>45476</v>
      </c>
      <c r="AD28" s="35">
        <v>7.7328299999999999</v>
      </c>
      <c r="AE28" s="34">
        <v>45477</v>
      </c>
      <c r="AF28" s="35">
        <v>7.8146699999999996</v>
      </c>
      <c r="AG28" s="34">
        <v>45478</v>
      </c>
      <c r="AH28" s="35">
        <v>7.8494099999999998</v>
      </c>
      <c r="AI28" s="36">
        <v>-3.8267241137124541E-2</v>
      </c>
      <c r="AK28" s="34">
        <v>45467</v>
      </c>
      <c r="AL28" s="35">
        <v>8.0352899999999998</v>
      </c>
      <c r="AM28" s="34">
        <v>45481</v>
      </c>
      <c r="AN28" s="5">
        <v>8.0093599999999991</v>
      </c>
      <c r="AP28" s="36">
        <v>-3.2270148308275459E-3</v>
      </c>
      <c r="AS28" s="5" t="s">
        <v>12387</v>
      </c>
      <c r="AT28" s="5">
        <v>4.79</v>
      </c>
      <c r="AU28" s="5">
        <v>100</v>
      </c>
      <c r="AV28" s="5" t="s">
        <v>12400</v>
      </c>
      <c r="AW28" s="5" t="s">
        <v>12400</v>
      </c>
      <c r="AX28" s="5" t="s">
        <v>12400</v>
      </c>
      <c r="AZ28" s="49" t="s">
        <v>12409</v>
      </c>
      <c r="BA28" s="50" t="s">
        <v>12412</v>
      </c>
      <c r="BC28" s="51">
        <v>1.143</v>
      </c>
      <c r="BR28" s="26">
        <v>0</v>
      </c>
    </row>
    <row r="29" spans="1:70" ht="15" customHeight="1" x14ac:dyDescent="0.4">
      <c r="A29" s="27" t="s">
        <v>10994</v>
      </c>
      <c r="B29" s="44" t="s">
        <v>11939</v>
      </c>
      <c r="C29" s="45" t="s">
        <v>11439</v>
      </c>
      <c r="D29" s="46">
        <v>3.33</v>
      </c>
      <c r="E29" s="45" t="s">
        <v>12357</v>
      </c>
      <c r="F29" s="45"/>
      <c r="G29" s="9">
        <v>18.579989999999999</v>
      </c>
      <c r="H29" s="9">
        <v>7.8114299999999997</v>
      </c>
      <c r="I29" s="9">
        <v>26.825800000000001</v>
      </c>
      <c r="J29" s="9">
        <v>54.034489999999998</v>
      </c>
      <c r="K29" s="9">
        <v>54.034489999999998</v>
      </c>
      <c r="L29" s="9">
        <v>8.1673500000000008</v>
      </c>
      <c r="M29" s="9">
        <v>1.11639</v>
      </c>
      <c r="N29" s="10" t="s">
        <v>12468</v>
      </c>
      <c r="P29" s="32">
        <v>45474</v>
      </c>
      <c r="R29" s="35">
        <v>6.6480800000000002</v>
      </c>
      <c r="S29" s="34">
        <v>45473</v>
      </c>
      <c r="T29" s="35">
        <v>6.8038100000000004</v>
      </c>
      <c r="U29" s="34">
        <v>45472</v>
      </c>
      <c r="V29" s="35">
        <v>6.8038100000000004</v>
      </c>
      <c r="W29" s="34">
        <v>45471</v>
      </c>
      <c r="X29" s="35">
        <v>6.8038100000000004</v>
      </c>
      <c r="Y29" s="34">
        <v>45470</v>
      </c>
      <c r="Z29" s="35">
        <v>6.2091900000000004</v>
      </c>
      <c r="AA29" s="34">
        <v>45475</v>
      </c>
      <c r="AB29" s="35">
        <v>6.7640099999999999</v>
      </c>
      <c r="AC29" s="34">
        <v>45476</v>
      </c>
      <c r="AD29" s="35">
        <v>6.6983600000000001</v>
      </c>
      <c r="AE29" s="34">
        <v>45477</v>
      </c>
      <c r="AF29" s="35">
        <v>6.8648600000000002</v>
      </c>
      <c r="AG29" s="34">
        <v>45478</v>
      </c>
      <c r="AH29" s="35">
        <v>6.8204000000000002</v>
      </c>
      <c r="AI29" s="36">
        <v>-5.8496636443404748E-3</v>
      </c>
      <c r="AK29" s="34">
        <v>45467</v>
      </c>
      <c r="AL29" s="35">
        <v>6.32979</v>
      </c>
      <c r="AM29" s="34">
        <v>45481</v>
      </c>
      <c r="AN29" s="5">
        <v>7.1505999999999998</v>
      </c>
      <c r="AP29" s="36">
        <v>0.12967412820962454</v>
      </c>
      <c r="AS29" s="5" t="s">
        <v>12388</v>
      </c>
      <c r="AT29" s="5">
        <v>1.85</v>
      </c>
      <c r="AU29" s="5">
        <v>74.78</v>
      </c>
      <c r="AV29" s="5" t="s">
        <v>12400</v>
      </c>
      <c r="AW29" s="5" t="s">
        <v>12400</v>
      </c>
      <c r="AX29" s="5">
        <v>25.23</v>
      </c>
      <c r="AZ29" s="49" t="s">
        <v>12411</v>
      </c>
      <c r="BA29" s="50" t="s">
        <v>12411</v>
      </c>
      <c r="BC29" s="51">
        <v>0.61965000000000003</v>
      </c>
      <c r="BR29" s="26">
        <v>0</v>
      </c>
    </row>
    <row r="30" spans="1:70" ht="15" customHeight="1" x14ac:dyDescent="0.4">
      <c r="A30" s="27" t="s">
        <v>10995</v>
      </c>
      <c r="B30" s="44" t="s">
        <v>11940</v>
      </c>
      <c r="C30" s="45" t="s">
        <v>11440</v>
      </c>
      <c r="D30" s="47">
        <v>0.16900000000000001</v>
      </c>
      <c r="E30" s="45" t="s">
        <v>12357</v>
      </c>
      <c r="F30" s="45"/>
      <c r="G30" s="9">
        <v>64.970600000000005</v>
      </c>
      <c r="H30" s="9">
        <v>116.6</v>
      </c>
      <c r="I30" s="9">
        <v>11.932</v>
      </c>
      <c r="J30" s="9">
        <v>905.7</v>
      </c>
      <c r="K30" s="9">
        <v>905.7</v>
      </c>
      <c r="L30" s="9">
        <v>52.1</v>
      </c>
      <c r="M30" s="9">
        <v>402.3</v>
      </c>
      <c r="N30" s="10" t="s">
        <v>12469</v>
      </c>
      <c r="P30" s="32">
        <v>45474</v>
      </c>
      <c r="R30" s="35">
        <v>2.6215899999999999</v>
      </c>
      <c r="S30" s="34">
        <v>45473</v>
      </c>
      <c r="T30" s="35">
        <v>2.69415</v>
      </c>
      <c r="U30" s="34">
        <v>45472</v>
      </c>
      <c r="V30" s="35">
        <v>2.69415</v>
      </c>
      <c r="W30" s="34">
        <v>45471</v>
      </c>
      <c r="X30" s="35">
        <v>2.69415</v>
      </c>
      <c r="Y30" s="34">
        <v>45470</v>
      </c>
      <c r="Z30" s="35">
        <v>2.6203500000000002</v>
      </c>
      <c r="AA30" s="34">
        <v>45475</v>
      </c>
      <c r="AB30" s="35">
        <v>2.6337899999999999</v>
      </c>
      <c r="AC30" s="34">
        <v>45476</v>
      </c>
      <c r="AD30" s="35">
        <v>2.6135000000000002</v>
      </c>
      <c r="AE30" s="34">
        <v>45477</v>
      </c>
      <c r="AF30" s="35">
        <v>2.62879</v>
      </c>
      <c r="AG30" s="34">
        <v>45478</v>
      </c>
      <c r="AH30" s="35">
        <v>2.6253799999999998</v>
      </c>
      <c r="AI30" s="36">
        <v>-2.2404097767384945E-2</v>
      </c>
      <c r="AK30" s="34">
        <v>45467</v>
      </c>
      <c r="AL30" s="35">
        <v>2.6010900000000001</v>
      </c>
      <c r="AM30" s="34">
        <v>45481</v>
      </c>
      <c r="AN30" s="5">
        <v>2.6450399999999998</v>
      </c>
      <c r="AP30" s="36">
        <v>1.6896762511100949E-2</v>
      </c>
      <c r="AS30" s="5" t="s">
        <v>12387</v>
      </c>
      <c r="AT30" s="5">
        <v>8.4000000000000005E-2</v>
      </c>
      <c r="AU30" s="5">
        <v>100</v>
      </c>
      <c r="AV30" s="5" t="s">
        <v>12400</v>
      </c>
      <c r="AW30" s="5" t="s">
        <v>12400</v>
      </c>
      <c r="AX30" s="5" t="s">
        <v>12400</v>
      </c>
      <c r="AZ30" s="49" t="s">
        <v>12408</v>
      </c>
      <c r="BA30" s="50" t="s">
        <v>12408</v>
      </c>
      <c r="BC30" s="51">
        <v>0.26145000000000002</v>
      </c>
      <c r="BR30" s="26">
        <v>0</v>
      </c>
    </row>
    <row r="31" spans="1:70" ht="15" customHeight="1" x14ac:dyDescent="0.4">
      <c r="A31" s="27" t="s">
        <v>10996</v>
      </c>
      <c r="B31" s="44" t="s">
        <v>11941</v>
      </c>
      <c r="C31" s="45" t="s">
        <v>11441</v>
      </c>
      <c r="D31" s="46">
        <v>23.38</v>
      </c>
      <c r="E31" s="45" t="s">
        <v>12357</v>
      </c>
      <c r="F31" s="45"/>
      <c r="G31" s="9">
        <v>190.69899000000001</v>
      </c>
      <c r="H31" s="9">
        <v>1671</v>
      </c>
      <c r="I31" s="9">
        <v>12.212199999999999</v>
      </c>
      <c r="J31" s="9">
        <v>16856</v>
      </c>
      <c r="K31" s="9">
        <v>16856</v>
      </c>
      <c r="L31" s="9">
        <v>2121</v>
      </c>
      <c r="M31" s="9">
        <v>2134</v>
      </c>
      <c r="N31" s="10" t="s">
        <v>12467</v>
      </c>
      <c r="P31" s="32">
        <v>45474</v>
      </c>
      <c r="R31" s="35">
        <v>85.37</v>
      </c>
      <c r="S31" s="34">
        <v>45473</v>
      </c>
      <c r="T31" s="35">
        <v>85.86</v>
      </c>
      <c r="U31" s="34">
        <v>45472</v>
      </c>
      <c r="V31" s="35">
        <v>85.86</v>
      </c>
      <c r="W31" s="34">
        <v>45471</v>
      </c>
      <c r="X31" s="35">
        <v>85.86</v>
      </c>
      <c r="Y31" s="34">
        <v>45470</v>
      </c>
      <c r="Z31" s="35">
        <v>86.34</v>
      </c>
      <c r="AA31" s="34">
        <v>45475</v>
      </c>
      <c r="AB31" s="35">
        <v>85.78</v>
      </c>
      <c r="AC31" s="34">
        <v>45476</v>
      </c>
      <c r="AD31" s="35">
        <v>86.21</v>
      </c>
      <c r="AE31" s="34">
        <v>45477</v>
      </c>
      <c r="AF31" s="35">
        <v>86.21</v>
      </c>
      <c r="AG31" s="34">
        <v>45478</v>
      </c>
      <c r="AH31" s="35">
        <v>84.96</v>
      </c>
      <c r="AI31" s="36">
        <v>-9.3174935942230697E-4</v>
      </c>
      <c r="AK31" s="34">
        <v>45467</v>
      </c>
      <c r="AL31" s="35">
        <v>87.48</v>
      </c>
      <c r="AM31" s="34">
        <v>45481</v>
      </c>
      <c r="AN31" s="5">
        <v>85.85</v>
      </c>
      <c r="AP31" s="36">
        <v>-1.8632830361225539E-2</v>
      </c>
      <c r="AS31" s="5" t="s">
        <v>12389</v>
      </c>
      <c r="AT31" s="5">
        <v>12.97</v>
      </c>
      <c r="AU31" s="5">
        <v>55.5</v>
      </c>
      <c r="AV31" s="5" t="s">
        <v>12400</v>
      </c>
      <c r="AW31" s="5" t="s">
        <v>12400</v>
      </c>
      <c r="AX31" s="5">
        <v>44.5</v>
      </c>
      <c r="AZ31" s="49" t="s">
        <v>12416</v>
      </c>
      <c r="BA31" s="50" t="s">
        <v>12416</v>
      </c>
      <c r="BC31" s="51">
        <v>1.01329</v>
      </c>
      <c r="BR31" s="26">
        <v>0</v>
      </c>
    </row>
    <row r="32" spans="1:70" ht="15" customHeight="1" x14ac:dyDescent="0.4">
      <c r="A32" s="27" t="s">
        <v>10997</v>
      </c>
      <c r="B32" s="44" t="s">
        <v>11942</v>
      </c>
      <c r="C32" s="45" t="s">
        <v>11442</v>
      </c>
      <c r="D32" s="47">
        <v>0.64300000000000002</v>
      </c>
      <c r="E32" s="45" t="s">
        <v>12358</v>
      </c>
      <c r="F32" s="45"/>
      <c r="G32" s="9">
        <v>79.209119999999999</v>
      </c>
      <c r="H32" s="9">
        <v>514.53521000000001</v>
      </c>
      <c r="I32" s="9">
        <v>11.7363</v>
      </c>
      <c r="J32" s="9">
        <v>5031.9442900000004</v>
      </c>
      <c r="K32" s="9">
        <v>5031.9442900000004</v>
      </c>
      <c r="L32" s="9">
        <v>648.39173000000005</v>
      </c>
      <c r="M32" s="9">
        <v>406.43306999999999</v>
      </c>
      <c r="N32" s="10" t="s">
        <v>12467</v>
      </c>
      <c r="P32" s="32">
        <v>45474</v>
      </c>
      <c r="R32" s="35">
        <v>58.33155</v>
      </c>
      <c r="S32" s="34">
        <v>45473</v>
      </c>
      <c r="T32" s="35">
        <v>56.734169999999999</v>
      </c>
      <c r="U32" s="34">
        <v>45472</v>
      </c>
      <c r="V32" s="35">
        <v>56.734169999999999</v>
      </c>
      <c r="W32" s="34">
        <v>45471</v>
      </c>
      <c r="X32" s="35">
        <v>56.734169999999999</v>
      </c>
      <c r="Y32" s="34">
        <v>45470</v>
      </c>
      <c r="Z32" s="35">
        <v>56.953220000000002</v>
      </c>
      <c r="AA32" s="34">
        <v>45475</v>
      </c>
      <c r="AB32" s="35">
        <v>58.030920000000002</v>
      </c>
      <c r="AC32" s="34">
        <v>45476</v>
      </c>
      <c r="AD32" s="35">
        <v>59.04278</v>
      </c>
      <c r="AE32" s="34">
        <v>45477</v>
      </c>
      <c r="AF32" s="35">
        <v>59.405410000000003</v>
      </c>
      <c r="AG32" s="34">
        <v>45478</v>
      </c>
      <c r="AH32" s="35">
        <v>58.947710000000001</v>
      </c>
      <c r="AI32" s="36">
        <v>2.2856595945617952E-2</v>
      </c>
      <c r="AK32" s="34">
        <v>45467</v>
      </c>
      <c r="AL32" s="35">
        <v>57.933700000000002</v>
      </c>
      <c r="AM32" s="34">
        <v>45481</v>
      </c>
      <c r="AN32" s="5">
        <v>58.992420000000003</v>
      </c>
      <c r="AP32" s="36">
        <v>1.8274682956552102E-2</v>
      </c>
      <c r="AS32" s="5" t="s">
        <v>12387</v>
      </c>
      <c r="AT32" s="5">
        <v>0.64300000000000002</v>
      </c>
      <c r="AU32" s="5">
        <v>100</v>
      </c>
      <c r="AV32" s="5" t="s">
        <v>12400</v>
      </c>
      <c r="AW32" s="5" t="s">
        <v>12400</v>
      </c>
      <c r="AX32" s="5" t="s">
        <v>12400</v>
      </c>
      <c r="AZ32" s="49" t="s">
        <v>12411</v>
      </c>
      <c r="BA32" s="50" t="s">
        <v>12406</v>
      </c>
      <c r="BC32" s="51">
        <v>1.3046</v>
      </c>
      <c r="BR32" s="26">
        <v>0</v>
      </c>
    </row>
    <row r="33" spans="1:70" ht="15" customHeight="1" x14ac:dyDescent="0.4">
      <c r="A33" s="27" t="s">
        <v>10998</v>
      </c>
      <c r="B33" s="44" t="s">
        <v>11943</v>
      </c>
      <c r="C33" s="45" t="s">
        <v>11443</v>
      </c>
      <c r="D33" s="46">
        <v>1.7</v>
      </c>
      <c r="E33" s="45" t="s">
        <v>12357</v>
      </c>
      <c r="F33" s="45"/>
      <c r="G33" s="9">
        <v>7.7014199999999997</v>
      </c>
      <c r="H33" s="9">
        <v>155.05189999999999</v>
      </c>
      <c r="I33" s="9">
        <v>12.213800000000001</v>
      </c>
      <c r="J33" s="9">
        <v>958.64547000000005</v>
      </c>
      <c r="K33" s="9">
        <v>958.64547000000005</v>
      </c>
      <c r="L33" s="9">
        <v>62.043089999999999</v>
      </c>
      <c r="M33" s="9">
        <v>286.25157000000002</v>
      </c>
      <c r="N33" s="10" t="s">
        <v>12467</v>
      </c>
      <c r="P33" s="32">
        <v>45474</v>
      </c>
      <c r="R33" s="35">
        <v>236.18039999999999</v>
      </c>
      <c r="S33" s="34">
        <v>45473</v>
      </c>
      <c r="T33" s="35">
        <v>235.36613</v>
      </c>
      <c r="U33" s="34">
        <v>45472</v>
      </c>
      <c r="V33" s="35">
        <v>235.36613</v>
      </c>
      <c r="W33" s="34">
        <v>45471</v>
      </c>
      <c r="X33" s="35">
        <v>235.36613</v>
      </c>
      <c r="Y33" s="34">
        <v>45470</v>
      </c>
      <c r="Z33" s="35">
        <v>235.54175000000001</v>
      </c>
      <c r="AA33" s="34">
        <v>45475</v>
      </c>
      <c r="AB33" s="35">
        <v>239.53885</v>
      </c>
      <c r="AC33" s="34">
        <v>45476</v>
      </c>
      <c r="AD33" s="35">
        <v>242.02323000000001</v>
      </c>
      <c r="AE33" s="34">
        <v>45477</v>
      </c>
      <c r="AF33" s="35">
        <v>245.57193000000001</v>
      </c>
      <c r="AG33" s="34">
        <v>45478</v>
      </c>
      <c r="AH33" s="35">
        <v>250.15600000000001</v>
      </c>
      <c r="AI33" s="36">
        <v>1.7728634107209817E-2</v>
      </c>
      <c r="AK33" s="34">
        <v>45467</v>
      </c>
      <c r="AL33" s="35">
        <v>240.62136000000001</v>
      </c>
      <c r="AM33" s="34">
        <v>45481</v>
      </c>
      <c r="AN33" s="5">
        <v>248.0214</v>
      </c>
      <c r="AP33" s="36">
        <v>3.0753878209315966E-2</v>
      </c>
      <c r="AS33" s="5" t="s">
        <v>12387</v>
      </c>
      <c r="AT33" s="5">
        <v>1.7</v>
      </c>
      <c r="AU33" s="5">
        <v>100</v>
      </c>
      <c r="AV33" s="5" t="s">
        <v>12400</v>
      </c>
      <c r="AW33" s="5" t="s">
        <v>12400</v>
      </c>
      <c r="AX33" s="5" t="s">
        <v>12400</v>
      </c>
      <c r="AZ33" s="49" t="s">
        <v>12412</v>
      </c>
      <c r="BA33" s="50" t="s">
        <v>12441</v>
      </c>
      <c r="BC33" s="51">
        <v>1.0350600000000001</v>
      </c>
      <c r="BR33" s="26">
        <v>0</v>
      </c>
    </row>
    <row r="34" spans="1:70" ht="15" customHeight="1" x14ac:dyDescent="0.4">
      <c r="A34" s="27" t="s">
        <v>10999</v>
      </c>
      <c r="B34" s="44" t="s">
        <v>11944</v>
      </c>
      <c r="C34" s="45" t="s">
        <v>11444</v>
      </c>
      <c r="D34" s="46">
        <v>3.42</v>
      </c>
      <c r="E34" s="45" t="s">
        <v>12357</v>
      </c>
      <c r="F34" s="45"/>
      <c r="G34" s="9">
        <v>78.858559999999997</v>
      </c>
      <c r="H34" s="9">
        <v>-0.94298000000000004</v>
      </c>
      <c r="I34" s="9">
        <v>-3.8948</v>
      </c>
      <c r="J34" s="9">
        <v>14.81311</v>
      </c>
      <c r="K34" s="9">
        <v>14.81311</v>
      </c>
      <c r="L34" s="9">
        <v>3.39954</v>
      </c>
      <c r="M34" s="9">
        <v>-3.39954</v>
      </c>
      <c r="N34" s="10" t="s">
        <v>12472</v>
      </c>
      <c r="P34" s="32">
        <v>45474</v>
      </c>
      <c r="R34" s="35">
        <v>8.7260000000000004E-2</v>
      </c>
      <c r="S34" s="34">
        <v>45473</v>
      </c>
      <c r="T34" s="35">
        <v>7.9200000000000007E-2</v>
      </c>
      <c r="U34" s="34">
        <v>45472</v>
      </c>
      <c r="V34" s="35">
        <v>7.9200000000000007E-2</v>
      </c>
      <c r="W34" s="34">
        <v>45471</v>
      </c>
      <c r="X34" s="35">
        <v>7.9200000000000007E-2</v>
      </c>
      <c r="Y34" s="34">
        <v>45470</v>
      </c>
      <c r="Z34" s="35">
        <v>8.0439999999999998E-2</v>
      </c>
      <c r="AA34" s="34">
        <v>45475</v>
      </c>
      <c r="AB34" s="35">
        <v>9.8169999999999993E-2</v>
      </c>
      <c r="AC34" s="34">
        <v>45476</v>
      </c>
      <c r="AD34" s="35">
        <v>0.11765</v>
      </c>
      <c r="AE34" s="34">
        <v>45477</v>
      </c>
      <c r="AF34" s="35">
        <v>0.11169999999999999</v>
      </c>
      <c r="AG34" s="34">
        <v>45478</v>
      </c>
      <c r="AH34" s="35">
        <v>0.10568</v>
      </c>
      <c r="AI34" s="36">
        <v>0.23952020202020186</v>
      </c>
      <c r="AK34" s="34">
        <v>45467</v>
      </c>
      <c r="AL34" s="35">
        <v>8.8440000000000005E-2</v>
      </c>
      <c r="AM34" s="34">
        <v>45481</v>
      </c>
      <c r="AN34" s="5">
        <v>0.10155</v>
      </c>
      <c r="AP34" s="36">
        <v>0.14823609226594292</v>
      </c>
      <c r="AS34" s="5" t="s">
        <v>12390</v>
      </c>
      <c r="AT34" s="5">
        <v>3.23</v>
      </c>
      <c r="AU34" s="5">
        <v>100</v>
      </c>
      <c r="AV34" s="5" t="s">
        <v>12400</v>
      </c>
      <c r="AW34" s="5" t="s">
        <v>12400</v>
      </c>
      <c r="AX34" s="5" t="s">
        <v>12400</v>
      </c>
      <c r="AZ34" s="49" t="s">
        <v>12408</v>
      </c>
      <c r="BA34" s="50" t="s">
        <v>12408</v>
      </c>
      <c r="BC34" s="51">
        <v>1.5600099999999999</v>
      </c>
      <c r="BR34" s="26">
        <v>0</v>
      </c>
    </row>
    <row r="35" spans="1:70" ht="15" customHeight="1" x14ac:dyDescent="0.4">
      <c r="A35" s="27" t="s">
        <v>11000</v>
      </c>
      <c r="B35" s="44" t="s">
        <v>11945</v>
      </c>
      <c r="C35" s="45" t="s">
        <v>11445</v>
      </c>
      <c r="D35" s="47">
        <v>0.107</v>
      </c>
      <c r="E35" s="45" t="s">
        <v>12359</v>
      </c>
      <c r="F35" s="45"/>
      <c r="G35" s="9">
        <v>6.0777000000000001</v>
      </c>
      <c r="H35" s="9">
        <v>-0.22078</v>
      </c>
      <c r="I35" s="9">
        <v>-35.298900000000003</v>
      </c>
      <c r="J35" s="9">
        <v>6.4377500000000003</v>
      </c>
      <c r="K35" s="9">
        <v>6.4377500000000003</v>
      </c>
      <c r="L35" s="9">
        <v>1.91174</v>
      </c>
      <c r="M35" s="9">
        <v>-2.1383700000000001</v>
      </c>
      <c r="N35" s="10" t="s">
        <v>12470</v>
      </c>
      <c r="P35" s="32">
        <v>45474</v>
      </c>
      <c r="R35" s="35">
        <v>2.8858600000000001</v>
      </c>
      <c r="S35" s="34">
        <v>45473</v>
      </c>
      <c r="T35" s="35">
        <v>2.7110400000000001</v>
      </c>
      <c r="U35" s="34">
        <v>45472</v>
      </c>
      <c r="V35" s="35">
        <v>2.7110400000000001</v>
      </c>
      <c r="W35" s="34">
        <v>45471</v>
      </c>
      <c r="X35" s="35">
        <v>2.7110400000000001</v>
      </c>
      <c r="Y35" s="34">
        <v>45470</v>
      </c>
      <c r="Z35" s="35">
        <v>2.8636599999999999</v>
      </c>
      <c r="AA35" s="34">
        <v>45475</v>
      </c>
      <c r="AB35" s="35">
        <v>2.9502600000000001</v>
      </c>
      <c r="AC35" s="34">
        <v>45476</v>
      </c>
      <c r="AD35" s="35">
        <v>3.00312</v>
      </c>
      <c r="AE35" s="34">
        <v>45477</v>
      </c>
      <c r="AF35" s="35">
        <v>2.9669500000000002</v>
      </c>
      <c r="AG35" s="34">
        <v>45478</v>
      </c>
      <c r="AH35" s="35">
        <v>2.9570099999999999</v>
      </c>
      <c r="AI35" s="36">
        <v>8.823919971671379E-2</v>
      </c>
      <c r="AK35" s="34">
        <v>45467</v>
      </c>
      <c r="AL35" s="35">
        <v>2.9715799999999999</v>
      </c>
      <c r="AM35" s="34">
        <v>45481</v>
      </c>
      <c r="AN35" s="5">
        <v>2.95783</v>
      </c>
      <c r="AP35" s="36">
        <v>-4.6271680385518987E-3</v>
      </c>
      <c r="AS35" s="5" t="s">
        <v>12387</v>
      </c>
      <c r="AT35" s="5">
        <v>0.107</v>
      </c>
      <c r="AU35" s="5">
        <v>100</v>
      </c>
      <c r="AV35" s="5" t="s">
        <v>12400</v>
      </c>
      <c r="AW35" s="5" t="s">
        <v>12400</v>
      </c>
      <c r="AX35" s="5" t="s">
        <v>12400</v>
      </c>
      <c r="AZ35" s="49" t="s">
        <v>12425</v>
      </c>
      <c r="BA35" s="50" t="s">
        <v>12425</v>
      </c>
      <c r="BC35" s="51">
        <v>0.88663000000000003</v>
      </c>
      <c r="BR35" s="26">
        <v>0</v>
      </c>
    </row>
    <row r="36" spans="1:70" ht="15" customHeight="1" x14ac:dyDescent="0.4">
      <c r="A36" s="27" t="s">
        <v>11001</v>
      </c>
      <c r="B36" s="44" t="s">
        <v>11946</v>
      </c>
      <c r="C36" s="45" t="s">
        <v>11446</v>
      </c>
      <c r="D36" s="46">
        <v>18.45</v>
      </c>
      <c r="E36" s="45" t="s">
        <v>12357</v>
      </c>
      <c r="F36" s="45"/>
      <c r="G36" s="9">
        <v>103.87221</v>
      </c>
      <c r="H36" s="9">
        <v>22.035969999999999</v>
      </c>
      <c r="I36" s="9">
        <v>26.656300000000002</v>
      </c>
      <c r="J36" s="9">
        <v>187.49682000000001</v>
      </c>
      <c r="K36" s="9">
        <v>187.49682000000001</v>
      </c>
      <c r="L36" s="9">
        <v>16.1767</v>
      </c>
      <c r="M36" s="9">
        <v>-0.12737999999999999</v>
      </c>
      <c r="N36" s="10" t="s">
        <v>12467</v>
      </c>
      <c r="P36" s="32">
        <v>45471</v>
      </c>
      <c r="R36" s="35">
        <v>3.9177499999999998</v>
      </c>
      <c r="S36" s="34">
        <v>45470</v>
      </c>
      <c r="T36" s="35">
        <v>3.8820000000000001</v>
      </c>
      <c r="U36" s="34">
        <v>45469</v>
      </c>
      <c r="V36" s="35">
        <v>3.8121200000000002</v>
      </c>
      <c r="W36" s="34">
        <v>45468</v>
      </c>
      <c r="X36" s="35">
        <v>3.8526400000000001</v>
      </c>
      <c r="Y36" s="34">
        <v>45467</v>
      </c>
      <c r="Z36" s="35">
        <v>3.8327300000000002</v>
      </c>
      <c r="AA36" s="34">
        <v>45472</v>
      </c>
      <c r="AB36" s="35">
        <v>3.9177499999999998</v>
      </c>
      <c r="AC36" s="34">
        <v>45473</v>
      </c>
      <c r="AD36" s="35">
        <v>3.9177499999999998</v>
      </c>
      <c r="AE36" s="34">
        <v>45474</v>
      </c>
      <c r="AF36" s="35">
        <v>3.8671500000000001</v>
      </c>
      <c r="AG36" s="34">
        <v>45475</v>
      </c>
      <c r="AH36" s="35">
        <v>3.8796499999999998</v>
      </c>
      <c r="AI36" s="36">
        <v>9.209170530654287E-3</v>
      </c>
      <c r="AK36" s="34">
        <v>45464</v>
      </c>
      <c r="AL36" s="35">
        <v>4.0403500000000001</v>
      </c>
      <c r="AM36" s="34">
        <v>45478</v>
      </c>
      <c r="AN36" s="5">
        <v>4.0342700000000002</v>
      </c>
      <c r="AP36" s="36">
        <v>-1.5048201269691752E-3</v>
      </c>
      <c r="AS36" s="5" t="s">
        <v>12387</v>
      </c>
      <c r="AT36" s="5">
        <v>18.45</v>
      </c>
      <c r="AU36" s="5">
        <v>100</v>
      </c>
      <c r="AV36" s="5" t="s">
        <v>12400</v>
      </c>
      <c r="AW36" s="5" t="s">
        <v>12400</v>
      </c>
      <c r="AX36" s="5" t="s">
        <v>12400</v>
      </c>
      <c r="AZ36" s="49" t="s">
        <v>12415</v>
      </c>
      <c r="BA36" s="50" t="s">
        <v>12415</v>
      </c>
      <c r="BC36" s="51">
        <v>0.52376</v>
      </c>
      <c r="BR36" s="26">
        <v>0</v>
      </c>
    </row>
    <row r="37" spans="1:70" ht="15" customHeight="1" x14ac:dyDescent="0.4">
      <c r="A37" s="27" t="s">
        <v>11002</v>
      </c>
      <c r="B37" s="44" t="s">
        <v>11947</v>
      </c>
      <c r="C37" s="45" t="s">
        <v>11447</v>
      </c>
      <c r="D37" s="46">
        <v>10.43</v>
      </c>
      <c r="E37" s="45" t="s">
        <v>12357</v>
      </c>
      <c r="F37" s="45"/>
      <c r="G37" s="9">
        <v>6.64133</v>
      </c>
      <c r="H37" s="9">
        <v>45.345700000000001</v>
      </c>
      <c r="I37" s="9">
        <v>26.1572</v>
      </c>
      <c r="J37" s="9">
        <v>233.73414</v>
      </c>
      <c r="K37" s="9">
        <v>233.73414</v>
      </c>
      <c r="L37" s="9">
        <v>17.45045</v>
      </c>
      <c r="M37" s="9">
        <v>64.324659999999994</v>
      </c>
      <c r="N37" s="10" t="s">
        <v>12467</v>
      </c>
      <c r="P37" s="32">
        <v>45471</v>
      </c>
      <c r="R37" s="35">
        <v>128.2748</v>
      </c>
      <c r="S37" s="34">
        <v>45470</v>
      </c>
      <c r="T37" s="35">
        <v>127.71392</v>
      </c>
      <c r="U37" s="34">
        <v>45469</v>
      </c>
      <c r="V37" s="35">
        <v>121.93737</v>
      </c>
      <c r="W37" s="34">
        <v>45468</v>
      </c>
      <c r="X37" s="35">
        <v>116.59295</v>
      </c>
      <c r="Y37" s="34">
        <v>45467</v>
      </c>
      <c r="Z37" s="35">
        <v>116.50485</v>
      </c>
      <c r="AA37" s="34">
        <v>45472</v>
      </c>
      <c r="AB37" s="35">
        <v>128.2748</v>
      </c>
      <c r="AC37" s="34">
        <v>45473</v>
      </c>
      <c r="AD37" s="35">
        <v>128.2748</v>
      </c>
      <c r="AE37" s="34">
        <v>45474</v>
      </c>
      <c r="AF37" s="35">
        <v>128.90506999999999</v>
      </c>
      <c r="AG37" s="34">
        <v>45475</v>
      </c>
      <c r="AH37" s="35">
        <v>131.22361000000001</v>
      </c>
      <c r="AI37" s="36">
        <v>4.3916904281067204E-3</v>
      </c>
      <c r="AK37" s="34">
        <v>45464</v>
      </c>
      <c r="AL37" s="35">
        <v>118.68537000000001</v>
      </c>
      <c r="AM37" s="34">
        <v>45478</v>
      </c>
      <c r="AN37" s="5">
        <v>138.95826</v>
      </c>
      <c r="AP37" s="36">
        <v>0.17081203858571614</v>
      </c>
      <c r="AS37" s="5" t="s">
        <v>12387</v>
      </c>
      <c r="AT37" s="5">
        <v>2.84</v>
      </c>
      <c r="AU37" s="5">
        <v>100</v>
      </c>
      <c r="AV37" s="5" t="s">
        <v>12400</v>
      </c>
      <c r="AW37" s="5" t="s">
        <v>12400</v>
      </c>
      <c r="AX37" s="5" t="s">
        <v>12400</v>
      </c>
      <c r="AZ37" s="49" t="s">
        <v>12415</v>
      </c>
      <c r="BA37" s="50" t="s">
        <v>12415</v>
      </c>
      <c r="BC37" s="51">
        <v>0.75763999999999998</v>
      </c>
      <c r="BR37" s="26">
        <v>0</v>
      </c>
    </row>
    <row r="38" spans="1:70" ht="15" customHeight="1" x14ac:dyDescent="0.4">
      <c r="A38" s="27" t="s">
        <v>11003</v>
      </c>
      <c r="B38" s="44" t="s">
        <v>11948</v>
      </c>
      <c r="C38" s="45" t="s">
        <v>11448</v>
      </c>
      <c r="D38" s="46">
        <v>52.46</v>
      </c>
      <c r="E38" s="45" t="s">
        <v>12357</v>
      </c>
      <c r="F38" s="45"/>
      <c r="G38" s="9">
        <v>0</v>
      </c>
      <c r="H38" s="9">
        <v>0</v>
      </c>
      <c r="I38" s="9">
        <v>0</v>
      </c>
      <c r="J38" s="9">
        <v>0</v>
      </c>
      <c r="K38" s="9">
        <v>0</v>
      </c>
      <c r="L38" s="9">
        <v>0</v>
      </c>
      <c r="M38" s="9">
        <v>0</v>
      </c>
      <c r="N38" s="10" t="s">
        <v>12473</v>
      </c>
      <c r="P38" s="32">
        <v>45471</v>
      </c>
      <c r="R38" s="35">
        <v>0</v>
      </c>
      <c r="S38" s="34">
        <v>45470</v>
      </c>
      <c r="T38" s="35">
        <v>0</v>
      </c>
      <c r="U38" s="34">
        <v>45469</v>
      </c>
      <c r="V38" s="35">
        <v>0</v>
      </c>
      <c r="W38" s="34">
        <v>45468</v>
      </c>
      <c r="X38" s="35">
        <v>0</v>
      </c>
      <c r="Y38" s="34">
        <v>45467</v>
      </c>
      <c r="Z38" s="35">
        <v>0</v>
      </c>
      <c r="AA38" s="34">
        <v>45472</v>
      </c>
      <c r="AB38" s="35">
        <v>0</v>
      </c>
      <c r="AC38" s="34">
        <v>45473</v>
      </c>
      <c r="AD38" s="35">
        <v>0</v>
      </c>
      <c r="AE38" s="34">
        <v>45474</v>
      </c>
      <c r="AF38" s="35">
        <v>0</v>
      </c>
      <c r="AG38" s="34">
        <v>45475</v>
      </c>
      <c r="AH38" s="35">
        <v>0</v>
      </c>
      <c r="AI38" s="36" t="s">
        <v>318</v>
      </c>
      <c r="AK38" s="34">
        <v>45464</v>
      </c>
      <c r="AL38" s="35">
        <v>0</v>
      </c>
      <c r="AM38" s="34">
        <v>45478</v>
      </c>
      <c r="AN38" s="5">
        <v>0</v>
      </c>
      <c r="AP38" s="36" t="s">
        <v>318</v>
      </c>
      <c r="AS38" s="5" t="s">
        <v>12389</v>
      </c>
      <c r="AT38" s="5">
        <v>44.69</v>
      </c>
      <c r="AU38" s="5">
        <v>85.18</v>
      </c>
      <c r="AV38" s="5" t="s">
        <v>12400</v>
      </c>
      <c r="AW38" s="5" t="s">
        <v>12400</v>
      </c>
      <c r="AX38" s="5" t="s">
        <v>12400</v>
      </c>
      <c r="AZ38" s="49" t="s">
        <v>12415</v>
      </c>
      <c r="BA38" s="50" t="s">
        <v>12415</v>
      </c>
      <c r="BC38" s="51">
        <v>0</v>
      </c>
      <c r="BR38" s="26">
        <v>0</v>
      </c>
    </row>
    <row r="39" spans="1:70" ht="15" customHeight="1" x14ac:dyDescent="0.4">
      <c r="A39" s="27" t="s">
        <v>11004</v>
      </c>
      <c r="B39" s="44" t="s">
        <v>11949</v>
      </c>
      <c r="C39" s="45" t="s">
        <v>11449</v>
      </c>
      <c r="D39" s="46">
        <v>1.61</v>
      </c>
      <c r="E39" s="45" t="s">
        <v>12357</v>
      </c>
      <c r="F39" s="45"/>
      <c r="G39" s="9">
        <v>11.849500000000001</v>
      </c>
      <c r="H39" s="9">
        <v>4.5936599999999999</v>
      </c>
      <c r="I39" s="9">
        <v>9.5915999999999997</v>
      </c>
      <c r="J39" s="9">
        <v>66.542140000000003</v>
      </c>
      <c r="K39" s="9">
        <v>66.542140000000003</v>
      </c>
      <c r="L39" s="9">
        <v>3.5329199999999998</v>
      </c>
      <c r="M39" s="9">
        <v>1.5122</v>
      </c>
      <c r="N39" s="10" t="s">
        <v>12467</v>
      </c>
      <c r="P39" s="32">
        <v>45471</v>
      </c>
      <c r="R39" s="35">
        <v>3.5358399999999999</v>
      </c>
      <c r="S39" s="34">
        <v>45470</v>
      </c>
      <c r="T39" s="35">
        <v>3.4471699999999998</v>
      </c>
      <c r="U39" s="34">
        <v>45469</v>
      </c>
      <c r="V39" s="35">
        <v>3.2895400000000001</v>
      </c>
      <c r="W39" s="34">
        <v>45468</v>
      </c>
      <c r="X39" s="35">
        <v>3.22166</v>
      </c>
      <c r="Y39" s="34">
        <v>45467</v>
      </c>
      <c r="Z39" s="35">
        <v>3.18635</v>
      </c>
      <c r="AA39" s="34">
        <v>45472</v>
      </c>
      <c r="AB39" s="35">
        <v>3.5358399999999999</v>
      </c>
      <c r="AC39" s="34">
        <v>45473</v>
      </c>
      <c r="AD39" s="35">
        <v>3.5358399999999999</v>
      </c>
      <c r="AE39" s="34">
        <v>45474</v>
      </c>
      <c r="AF39" s="35">
        <v>3.4634399999999999</v>
      </c>
      <c r="AG39" s="34">
        <v>45475</v>
      </c>
      <c r="AH39" s="35">
        <v>3.4356900000000001</v>
      </c>
      <c r="AI39" s="36">
        <v>2.5722549221535385E-2</v>
      </c>
      <c r="AK39" s="34">
        <v>45464</v>
      </c>
      <c r="AL39" s="35">
        <v>3.15171</v>
      </c>
      <c r="AM39" s="34">
        <v>45478</v>
      </c>
      <c r="AN39" s="5">
        <v>3.7241499999999998</v>
      </c>
      <c r="AP39" s="36">
        <v>0.18162838586037422</v>
      </c>
      <c r="AS39" s="5" t="s">
        <v>12387</v>
      </c>
      <c r="AT39" s="5">
        <v>1.5</v>
      </c>
      <c r="AU39" s="5">
        <v>100</v>
      </c>
      <c r="AV39" s="5" t="s">
        <v>12400</v>
      </c>
      <c r="AW39" s="5" t="s">
        <v>12400</v>
      </c>
      <c r="AX39" s="5" t="s">
        <v>12400</v>
      </c>
      <c r="AZ39" s="49" t="s">
        <v>12416</v>
      </c>
      <c r="BA39" s="50" t="s">
        <v>12416</v>
      </c>
      <c r="BC39" s="51">
        <v>0</v>
      </c>
      <c r="BR39" s="26">
        <v>0</v>
      </c>
    </row>
    <row r="40" spans="1:70" ht="15" customHeight="1" x14ac:dyDescent="0.4">
      <c r="A40" s="27" t="s">
        <v>11005</v>
      </c>
      <c r="B40" s="44" t="s">
        <v>11950</v>
      </c>
      <c r="C40" s="45" t="s">
        <v>11450</v>
      </c>
      <c r="D40" s="47">
        <v>0.96399999999999997</v>
      </c>
      <c r="E40" s="45" t="s">
        <v>12357</v>
      </c>
      <c r="F40" s="45"/>
      <c r="G40" s="9">
        <v>16.745190000000001</v>
      </c>
      <c r="H40" s="9">
        <v>33.292999999999999</v>
      </c>
      <c r="I40" s="9">
        <v>6.1277999999999997</v>
      </c>
      <c r="J40" s="9">
        <v>422.45</v>
      </c>
      <c r="K40" s="9">
        <v>422.45</v>
      </c>
      <c r="L40" s="9">
        <v>19.896000000000001</v>
      </c>
      <c r="M40" s="9">
        <v>90.620999999999995</v>
      </c>
      <c r="N40" s="10" t="s">
        <v>12474</v>
      </c>
      <c r="P40" s="32">
        <v>45471</v>
      </c>
      <c r="R40" s="35">
        <v>18.91</v>
      </c>
      <c r="S40" s="34">
        <v>45470</v>
      </c>
      <c r="T40" s="35">
        <v>18.97</v>
      </c>
      <c r="U40" s="34">
        <v>45469</v>
      </c>
      <c r="V40" s="35">
        <v>18.97</v>
      </c>
      <c r="W40" s="34">
        <v>45468</v>
      </c>
      <c r="X40" s="35">
        <v>18.53</v>
      </c>
      <c r="Y40" s="34">
        <v>45467</v>
      </c>
      <c r="Z40" s="35">
        <v>18.850000000000001</v>
      </c>
      <c r="AA40" s="34">
        <v>45472</v>
      </c>
      <c r="AB40" s="35">
        <v>18.91</v>
      </c>
      <c r="AC40" s="34">
        <v>45473</v>
      </c>
      <c r="AD40" s="35">
        <v>18.91</v>
      </c>
      <c r="AE40" s="34">
        <v>45474</v>
      </c>
      <c r="AF40" s="35">
        <v>19.27</v>
      </c>
      <c r="AG40" s="34">
        <v>45475</v>
      </c>
      <c r="AH40" s="35">
        <v>19.239999999999998</v>
      </c>
      <c r="AI40" s="36">
        <v>-3.162888771744754E-3</v>
      </c>
      <c r="AK40" s="34">
        <v>45464</v>
      </c>
      <c r="AL40" s="35">
        <v>18.95</v>
      </c>
      <c r="AM40" s="34">
        <v>45478</v>
      </c>
      <c r="AN40" s="5">
        <v>18.690000000000001</v>
      </c>
      <c r="AP40" s="36">
        <v>-1.3720316622691242E-2</v>
      </c>
      <c r="AS40" s="5" t="s">
        <v>12387</v>
      </c>
      <c r="AT40" s="5">
        <v>0.96399999999999997</v>
      </c>
      <c r="AU40" s="5">
        <v>100</v>
      </c>
      <c r="AV40" s="5" t="s">
        <v>12400</v>
      </c>
      <c r="AW40" s="5" t="s">
        <v>12400</v>
      </c>
      <c r="AX40" s="5" t="s">
        <v>12400</v>
      </c>
      <c r="AZ40" s="49" t="s">
        <v>12416</v>
      </c>
      <c r="BA40" s="50" t="s">
        <v>12416</v>
      </c>
      <c r="BC40" s="51">
        <v>1.4699899999999999</v>
      </c>
      <c r="BR40" s="26">
        <v>0</v>
      </c>
    </row>
    <row r="41" spans="1:70" ht="15" customHeight="1" x14ac:dyDescent="0.4">
      <c r="A41" s="27" t="s">
        <v>11006</v>
      </c>
      <c r="B41" s="44" t="s">
        <v>11951</v>
      </c>
      <c r="C41" s="45" t="s">
        <v>11451</v>
      </c>
      <c r="D41" s="47">
        <v>0.32100000000000001</v>
      </c>
      <c r="E41" s="45" t="s">
        <v>12357</v>
      </c>
      <c r="F41" s="45"/>
      <c r="G41" s="9">
        <v>8.4990000000000006</v>
      </c>
      <c r="H41" s="9">
        <v>2.7612000000000001</v>
      </c>
      <c r="I41" s="9">
        <v>15.5008</v>
      </c>
      <c r="J41" s="9">
        <v>23.00217</v>
      </c>
      <c r="K41" s="9">
        <v>23.00217</v>
      </c>
      <c r="L41" s="9">
        <v>2.24655</v>
      </c>
      <c r="M41" s="9">
        <v>4.1222899999999996</v>
      </c>
      <c r="N41" s="10" t="s">
        <v>12467</v>
      </c>
      <c r="P41" s="32">
        <v>45471</v>
      </c>
      <c r="R41" s="35">
        <v>4.1572899999999997</v>
      </c>
      <c r="S41" s="34">
        <v>45470</v>
      </c>
      <c r="T41" s="35">
        <v>4.1109099999999996</v>
      </c>
      <c r="U41" s="34">
        <v>45469</v>
      </c>
      <c r="V41" s="35">
        <v>4.1226099999999999</v>
      </c>
      <c r="W41" s="34">
        <v>45468</v>
      </c>
      <c r="X41" s="35">
        <v>4.0886199999999997</v>
      </c>
      <c r="Y41" s="34">
        <v>45467</v>
      </c>
      <c r="Z41" s="35">
        <v>4.0982700000000003</v>
      </c>
      <c r="AA41" s="34">
        <v>45472</v>
      </c>
      <c r="AB41" s="35">
        <v>4.1572899999999997</v>
      </c>
      <c r="AC41" s="34">
        <v>45473</v>
      </c>
      <c r="AD41" s="35">
        <v>4.1572899999999997</v>
      </c>
      <c r="AE41" s="34">
        <v>45474</v>
      </c>
      <c r="AF41" s="35">
        <v>4.07463</v>
      </c>
      <c r="AG41" s="34">
        <v>45475</v>
      </c>
      <c r="AH41" s="35">
        <v>4.1013500000000001</v>
      </c>
      <c r="AI41" s="36">
        <v>1.1282173533353923E-2</v>
      </c>
      <c r="AK41" s="34">
        <v>45464</v>
      </c>
      <c r="AL41" s="35">
        <v>4.1025600000000004</v>
      </c>
      <c r="AM41" s="34">
        <v>45478</v>
      </c>
      <c r="AN41" s="5">
        <v>4.1788499999999997</v>
      </c>
      <c r="AP41" s="36">
        <v>1.8595706095705822E-2</v>
      </c>
      <c r="AS41" s="5" t="s">
        <v>12387</v>
      </c>
      <c r="AT41" s="5">
        <v>0.32100000000000001</v>
      </c>
      <c r="AU41" s="5">
        <v>100</v>
      </c>
      <c r="AV41" s="5" t="s">
        <v>12400</v>
      </c>
      <c r="AW41" s="5" t="s">
        <v>12400</v>
      </c>
      <c r="AX41" s="5" t="s">
        <v>12400</v>
      </c>
      <c r="AZ41" s="49" t="s">
        <v>12416</v>
      </c>
      <c r="BA41" s="50" t="s">
        <v>12416</v>
      </c>
      <c r="BC41" s="51">
        <v>0.63997999999999999</v>
      </c>
      <c r="BR41" s="26">
        <v>0</v>
      </c>
    </row>
    <row r="42" spans="1:70" ht="15" customHeight="1" x14ac:dyDescent="0.4">
      <c r="A42" s="27" t="s">
        <v>11007</v>
      </c>
      <c r="B42" s="44" t="s">
        <v>11952</v>
      </c>
      <c r="C42" s="45" t="s">
        <v>11452</v>
      </c>
      <c r="D42" s="46">
        <v>7.35</v>
      </c>
      <c r="E42" s="45" t="s">
        <v>12357</v>
      </c>
      <c r="F42" s="45"/>
      <c r="G42" s="9">
        <v>22.741630000000001</v>
      </c>
      <c r="H42" s="9">
        <v>8.1176100000000009</v>
      </c>
      <c r="I42" s="9">
        <v>14.8513</v>
      </c>
      <c r="J42" s="9">
        <v>164.81154000000001</v>
      </c>
      <c r="K42" s="9">
        <v>164.81154000000001</v>
      </c>
      <c r="L42" s="9">
        <v>2.5787599999999999</v>
      </c>
      <c r="M42" s="9">
        <v>114.39704</v>
      </c>
      <c r="N42" s="10" t="s">
        <v>12465</v>
      </c>
      <c r="P42" s="32">
        <v>45471</v>
      </c>
      <c r="R42" s="35">
        <v>0.86789000000000005</v>
      </c>
      <c r="S42" s="34">
        <v>45470</v>
      </c>
      <c r="T42" s="35">
        <v>0.86714000000000002</v>
      </c>
      <c r="U42" s="34">
        <v>45469</v>
      </c>
      <c r="V42" s="35">
        <v>0.84375</v>
      </c>
      <c r="W42" s="34">
        <v>45468</v>
      </c>
      <c r="X42" s="35">
        <v>0.86695999999999995</v>
      </c>
      <c r="Y42" s="34">
        <v>45467</v>
      </c>
      <c r="Z42" s="35">
        <v>0.8851</v>
      </c>
      <c r="AA42" s="34">
        <v>45472</v>
      </c>
      <c r="AB42" s="35">
        <v>0.86789000000000005</v>
      </c>
      <c r="AC42" s="34">
        <v>45473</v>
      </c>
      <c r="AD42" s="35">
        <v>0.86789000000000005</v>
      </c>
      <c r="AE42" s="34">
        <v>45474</v>
      </c>
      <c r="AF42" s="35">
        <v>0.86853999999999998</v>
      </c>
      <c r="AG42" s="34">
        <v>45475</v>
      </c>
      <c r="AH42" s="35">
        <v>0.86965999999999999</v>
      </c>
      <c r="AI42" s="36">
        <v>8.6491224023799163E-4</v>
      </c>
      <c r="AK42" s="34">
        <v>45464</v>
      </c>
      <c r="AL42" s="35">
        <v>0.87607000000000002</v>
      </c>
      <c r="AM42" s="34">
        <v>45478</v>
      </c>
      <c r="AN42" s="5">
        <v>0.90939000000000003</v>
      </c>
      <c r="AP42" s="36">
        <v>3.8033490474505438E-2</v>
      </c>
      <c r="AS42" s="5" t="s">
        <v>12387</v>
      </c>
      <c r="AT42" s="5" t="s">
        <v>12400</v>
      </c>
      <c r="AU42" s="5" t="s">
        <v>12400</v>
      </c>
      <c r="AV42" s="5" t="s">
        <v>12400</v>
      </c>
      <c r="AW42" s="5" t="s">
        <v>12400</v>
      </c>
      <c r="AX42" s="5" t="s">
        <v>12400</v>
      </c>
      <c r="AZ42" s="49" t="s">
        <v>12416</v>
      </c>
      <c r="BA42" s="50" t="s">
        <v>12416</v>
      </c>
      <c r="BC42" s="51">
        <v>-9.3799999999999994E-2</v>
      </c>
      <c r="BR42" s="26">
        <v>0</v>
      </c>
    </row>
    <row r="43" spans="1:70" ht="15" customHeight="1" x14ac:dyDescent="0.4">
      <c r="A43" s="27" t="s">
        <v>11008</v>
      </c>
      <c r="B43" s="44" t="s">
        <v>11953</v>
      </c>
      <c r="C43" s="45" t="s">
        <v>11453</v>
      </c>
      <c r="D43" s="46">
        <v>1.46</v>
      </c>
      <c r="E43" s="45" t="s">
        <v>12358</v>
      </c>
      <c r="F43" s="45"/>
      <c r="G43" s="9">
        <v>157.14955</v>
      </c>
      <c r="H43" s="9">
        <v>6.7580400000000003</v>
      </c>
      <c r="I43" s="9">
        <v>1.6766000000000001</v>
      </c>
      <c r="J43" s="9">
        <v>236.87630999999999</v>
      </c>
      <c r="K43" s="9">
        <v>236.87630999999999</v>
      </c>
      <c r="L43" s="9">
        <v>0.94616999999999996</v>
      </c>
      <c r="M43" s="9">
        <v>145.52780000000001</v>
      </c>
      <c r="N43" s="10" t="s">
        <v>12474</v>
      </c>
      <c r="P43" s="32">
        <v>45471</v>
      </c>
      <c r="R43" s="35">
        <v>0.47894999999999999</v>
      </c>
      <c r="S43" s="34">
        <v>45470</v>
      </c>
      <c r="T43" s="35">
        <v>0.47960999999999998</v>
      </c>
      <c r="U43" s="34">
        <v>45469</v>
      </c>
      <c r="V43" s="35">
        <v>0.45924999999999999</v>
      </c>
      <c r="W43" s="34">
        <v>45468</v>
      </c>
      <c r="X43" s="35">
        <v>0.46451999999999999</v>
      </c>
      <c r="Y43" s="34">
        <v>45467</v>
      </c>
      <c r="Z43" s="35">
        <v>0.46776000000000001</v>
      </c>
      <c r="AA43" s="34">
        <v>45472</v>
      </c>
      <c r="AB43" s="35">
        <v>0.47894999999999999</v>
      </c>
      <c r="AC43" s="34">
        <v>45473</v>
      </c>
      <c r="AD43" s="35">
        <v>0.47894999999999999</v>
      </c>
      <c r="AE43" s="34">
        <v>45474</v>
      </c>
      <c r="AF43" s="35">
        <v>0.47822999999999999</v>
      </c>
      <c r="AG43" s="34">
        <v>45475</v>
      </c>
      <c r="AH43" s="35">
        <v>0.47348000000000001</v>
      </c>
      <c r="AI43" s="36">
        <v>-1.3761180959529495E-3</v>
      </c>
      <c r="AK43" s="34">
        <v>45464</v>
      </c>
      <c r="AL43" s="35">
        <v>0.46794999999999998</v>
      </c>
      <c r="AM43" s="34">
        <v>45478</v>
      </c>
      <c r="AN43" s="5">
        <v>0.46551999999999999</v>
      </c>
      <c r="AP43" s="36">
        <v>-5.1928624853082583E-3</v>
      </c>
      <c r="AS43" s="5" t="s">
        <v>12389</v>
      </c>
      <c r="AT43" s="5">
        <v>0.107</v>
      </c>
      <c r="AU43" s="5">
        <v>7.33</v>
      </c>
      <c r="AV43" s="5" t="s">
        <v>12400</v>
      </c>
      <c r="AW43" s="5" t="s">
        <v>12400</v>
      </c>
      <c r="AX43" s="5">
        <v>92.67</v>
      </c>
      <c r="AZ43" s="49" t="s">
        <v>12411</v>
      </c>
      <c r="BA43" s="50" t="s">
        <v>12411</v>
      </c>
      <c r="BC43" s="51">
        <v>0.77353000000000005</v>
      </c>
      <c r="BR43" s="26">
        <v>0</v>
      </c>
    </row>
    <row r="44" spans="1:70" ht="15" customHeight="1" x14ac:dyDescent="0.4">
      <c r="A44" s="27" t="s">
        <v>11009</v>
      </c>
      <c r="B44" s="44" t="s">
        <v>11954</v>
      </c>
      <c r="C44" s="45" t="s">
        <v>11454</v>
      </c>
      <c r="D44" s="46">
        <v>2.68</v>
      </c>
      <c r="E44" s="45" t="s">
        <v>12357</v>
      </c>
      <c r="F44" s="45"/>
      <c r="G44" s="9">
        <v>7.3418000000000001</v>
      </c>
      <c r="H44" s="9">
        <v>2.92252</v>
      </c>
      <c r="I44" s="9">
        <v>13.692299999999999</v>
      </c>
      <c r="J44" s="9">
        <v>15.00276</v>
      </c>
      <c r="K44" s="9">
        <v>15.00276</v>
      </c>
      <c r="L44" s="9">
        <v>2.70919</v>
      </c>
      <c r="M44" s="9">
        <v>-2.2659500000000001</v>
      </c>
      <c r="N44" s="10" t="s">
        <v>12470</v>
      </c>
      <c r="P44" s="32">
        <v>45471</v>
      </c>
      <c r="R44" s="35">
        <v>3.1286800000000001</v>
      </c>
      <c r="S44" s="34">
        <v>45470</v>
      </c>
      <c r="T44" s="35">
        <v>3.2116500000000001</v>
      </c>
      <c r="U44" s="34">
        <v>45469</v>
      </c>
      <c r="V44" s="35">
        <v>3.2040999999999999</v>
      </c>
      <c r="W44" s="34">
        <v>45468</v>
      </c>
      <c r="X44" s="35">
        <v>3.21096</v>
      </c>
      <c r="Y44" s="34">
        <v>45467</v>
      </c>
      <c r="Z44" s="35">
        <v>3.21854</v>
      </c>
      <c r="AA44" s="34">
        <v>45472</v>
      </c>
      <c r="AB44" s="35">
        <v>3.1286800000000001</v>
      </c>
      <c r="AC44" s="34">
        <v>45473</v>
      </c>
      <c r="AD44" s="35">
        <v>3.1286800000000001</v>
      </c>
      <c r="AE44" s="34">
        <v>45474</v>
      </c>
      <c r="AF44" s="35">
        <v>3.2811499999999998</v>
      </c>
      <c r="AG44" s="34">
        <v>45475</v>
      </c>
      <c r="AH44" s="35">
        <v>3.28538</v>
      </c>
      <c r="AI44" s="36">
        <v>-2.583407282860839E-2</v>
      </c>
      <c r="AK44" s="34">
        <v>45464</v>
      </c>
      <c r="AL44" s="35">
        <v>3.2478600000000002</v>
      </c>
      <c r="AM44" s="34">
        <v>45478</v>
      </c>
      <c r="AN44" s="5">
        <v>3.3344200000000002</v>
      </c>
      <c r="AP44" s="36">
        <v>2.6651395072447626E-2</v>
      </c>
      <c r="AS44" s="5" t="s">
        <v>12387</v>
      </c>
      <c r="AT44" s="5">
        <v>2.68</v>
      </c>
      <c r="AU44" s="5">
        <v>100</v>
      </c>
      <c r="AV44" s="5" t="s">
        <v>12400</v>
      </c>
      <c r="AW44" s="5" t="s">
        <v>12400</v>
      </c>
      <c r="AX44" s="5" t="s">
        <v>12400</v>
      </c>
      <c r="AZ44" s="49" t="s">
        <v>12412</v>
      </c>
      <c r="BA44" s="50" t="s">
        <v>12416</v>
      </c>
      <c r="BC44" s="51">
        <v>0.22739999999999999</v>
      </c>
      <c r="BR44" s="26">
        <v>0</v>
      </c>
    </row>
    <row r="45" spans="1:70" ht="15" customHeight="1" x14ac:dyDescent="0.4">
      <c r="A45" s="27" t="s">
        <v>11010</v>
      </c>
      <c r="B45" s="44" t="s">
        <v>11955</v>
      </c>
      <c r="C45" s="45" t="s">
        <v>11455</v>
      </c>
      <c r="D45" s="46">
        <v>1027.73</v>
      </c>
      <c r="E45" s="45" t="s">
        <v>12357</v>
      </c>
      <c r="F45" s="45"/>
      <c r="G45" s="9">
        <v>506.09820999999999</v>
      </c>
      <c r="H45" s="9">
        <v>7293.02531</v>
      </c>
      <c r="I45" s="9">
        <v>13.761799999999999</v>
      </c>
      <c r="J45" s="9">
        <v>63334.807099999998</v>
      </c>
      <c r="K45" s="9">
        <v>63334.807099999998</v>
      </c>
      <c r="L45" s="9">
        <v>9508.1242399999992</v>
      </c>
      <c r="M45" s="9">
        <v>8171.7696500000002</v>
      </c>
      <c r="N45" s="10" t="s">
        <v>12467</v>
      </c>
      <c r="P45" s="32">
        <v>45470</v>
      </c>
      <c r="R45" s="35">
        <v>78.364199999999997</v>
      </c>
      <c r="S45" s="34">
        <v>45469</v>
      </c>
      <c r="T45" s="35">
        <v>78.415040000000005</v>
      </c>
      <c r="U45" s="34">
        <v>45468</v>
      </c>
      <c r="V45" s="35">
        <v>78.475859999999997</v>
      </c>
      <c r="W45" s="34">
        <v>45467</v>
      </c>
      <c r="X45" s="35">
        <v>78.489429999999999</v>
      </c>
      <c r="Y45" s="34">
        <v>45466</v>
      </c>
      <c r="Z45" s="35">
        <v>78.119659999999996</v>
      </c>
      <c r="AA45" s="34">
        <v>45471</v>
      </c>
      <c r="AB45" s="35">
        <v>77.809920000000005</v>
      </c>
      <c r="AC45" s="34">
        <v>45472</v>
      </c>
      <c r="AD45" s="35">
        <v>77.809920000000005</v>
      </c>
      <c r="AE45" s="34">
        <v>45473</v>
      </c>
      <c r="AF45" s="35">
        <v>77.809920000000005</v>
      </c>
      <c r="AG45" s="34">
        <v>45474</v>
      </c>
      <c r="AH45" s="35">
        <v>79.884190000000004</v>
      </c>
      <c r="AI45" s="36">
        <v>-7.7168869645415361E-3</v>
      </c>
      <c r="AK45" s="34">
        <v>45463</v>
      </c>
      <c r="AL45" s="35">
        <v>81.290180000000007</v>
      </c>
      <c r="AM45" s="34">
        <v>45477</v>
      </c>
      <c r="AN45" s="5">
        <v>83.718919999999997</v>
      </c>
      <c r="AP45" s="36">
        <v>2.9877409546884781E-2</v>
      </c>
      <c r="AS45" s="5" t="s">
        <v>12387</v>
      </c>
      <c r="AT45" s="5">
        <v>1027.73</v>
      </c>
      <c r="AU45" s="5">
        <v>100</v>
      </c>
      <c r="AV45" s="5" t="s">
        <v>12400</v>
      </c>
      <c r="AW45" s="5" t="s">
        <v>12400</v>
      </c>
      <c r="AX45" s="5" t="s">
        <v>12400</v>
      </c>
      <c r="AZ45" s="49" t="s">
        <v>12410</v>
      </c>
      <c r="BA45" s="50" t="s">
        <v>12415</v>
      </c>
      <c r="BC45" s="51">
        <v>1.16046</v>
      </c>
      <c r="BR45" s="26">
        <v>0</v>
      </c>
    </row>
    <row r="46" spans="1:70" ht="15" customHeight="1" x14ac:dyDescent="0.4">
      <c r="A46" s="27" t="s">
        <v>11011</v>
      </c>
      <c r="B46" s="44" t="s">
        <v>11956</v>
      </c>
      <c r="C46" s="45" t="s">
        <v>11456</v>
      </c>
      <c r="D46" s="46">
        <v>56.24</v>
      </c>
      <c r="E46" s="45" t="s">
        <v>12357</v>
      </c>
      <c r="F46" s="45"/>
      <c r="G46" s="9">
        <v>7.9992999999999999</v>
      </c>
      <c r="H46" s="9">
        <v>-21.815020000000001</v>
      </c>
      <c r="I46" s="9">
        <v>-7.6242000000000001</v>
      </c>
      <c r="J46" s="9">
        <v>115.60464</v>
      </c>
      <c r="K46" s="9">
        <v>115.60464</v>
      </c>
      <c r="L46" s="9">
        <v>0.18748999999999999</v>
      </c>
      <c r="M46" s="9">
        <v>82.865650000000002</v>
      </c>
      <c r="N46" s="10" t="s">
        <v>12471</v>
      </c>
      <c r="P46" s="32">
        <v>45470</v>
      </c>
      <c r="R46" s="35">
        <v>8.6999999999999993</v>
      </c>
      <c r="S46" s="34">
        <v>45469</v>
      </c>
      <c r="T46" s="35">
        <v>9.1</v>
      </c>
      <c r="U46" s="34">
        <v>45468</v>
      </c>
      <c r="V46" s="35">
        <v>8.2200000000000006</v>
      </c>
      <c r="W46" s="34">
        <v>45467</v>
      </c>
      <c r="X46" s="35">
        <v>9.24</v>
      </c>
      <c r="Y46" s="34">
        <v>45466</v>
      </c>
      <c r="Z46" s="35">
        <v>9.3000000000000007</v>
      </c>
      <c r="AA46" s="34">
        <v>45471</v>
      </c>
      <c r="AB46" s="35">
        <v>12.5</v>
      </c>
      <c r="AC46" s="34">
        <v>45472</v>
      </c>
      <c r="AD46" s="35">
        <v>12.5</v>
      </c>
      <c r="AE46" s="34">
        <v>45473</v>
      </c>
      <c r="AF46" s="35">
        <v>12.5</v>
      </c>
      <c r="AG46" s="34">
        <v>45474</v>
      </c>
      <c r="AH46" s="35">
        <v>4.72</v>
      </c>
      <c r="AI46" s="36">
        <v>0.37362637362637363</v>
      </c>
      <c r="AK46" s="34">
        <v>45463</v>
      </c>
      <c r="AL46" s="35">
        <v>9.57</v>
      </c>
      <c r="AM46" s="34">
        <v>45477</v>
      </c>
      <c r="AN46" s="5">
        <v>2.99</v>
      </c>
      <c r="AP46" s="36">
        <v>-0.68756530825496343</v>
      </c>
      <c r="AS46" s="5" t="s">
        <v>721</v>
      </c>
      <c r="AT46" s="5" t="s">
        <v>12400</v>
      </c>
      <c r="AU46" s="5" t="s">
        <v>12400</v>
      </c>
      <c r="AV46" s="5" t="s">
        <v>12400</v>
      </c>
      <c r="AW46" s="5" t="s">
        <v>12400</v>
      </c>
      <c r="AX46" s="5">
        <v>100</v>
      </c>
      <c r="AZ46" s="49" t="s">
        <v>12417</v>
      </c>
      <c r="BA46" s="50" t="s">
        <v>12413</v>
      </c>
      <c r="BC46" s="51">
        <v>-0.11035</v>
      </c>
      <c r="BR46" s="26">
        <v>0</v>
      </c>
    </row>
    <row r="47" spans="1:70" ht="15" customHeight="1" x14ac:dyDescent="0.4">
      <c r="A47" s="27" t="s">
        <v>11012</v>
      </c>
      <c r="B47" s="44" t="s">
        <v>11957</v>
      </c>
      <c r="C47" s="45" t="s">
        <v>11457</v>
      </c>
      <c r="D47" s="46">
        <v>42.44</v>
      </c>
      <c r="E47" s="45" t="s">
        <v>12357</v>
      </c>
      <c r="F47" s="45"/>
      <c r="G47" s="9">
        <v>60.156529999999997</v>
      </c>
      <c r="H47" s="9">
        <v>32.385599999999997</v>
      </c>
      <c r="I47" s="9">
        <v>21.620899999999999</v>
      </c>
      <c r="J47" s="9">
        <v>147.56944999999999</v>
      </c>
      <c r="K47" s="9">
        <v>147.56944999999999</v>
      </c>
      <c r="L47" s="9">
        <v>5.9860100000000003</v>
      </c>
      <c r="M47" s="9">
        <v>20.265650000000001</v>
      </c>
      <c r="N47" s="10" t="s">
        <v>12468</v>
      </c>
      <c r="P47" s="32">
        <v>45470</v>
      </c>
      <c r="R47" s="35">
        <v>7.4157299999999999</v>
      </c>
      <c r="S47" s="34">
        <v>45469</v>
      </c>
      <c r="T47" s="35">
        <v>6.9826899999999998</v>
      </c>
      <c r="U47" s="34">
        <v>45468</v>
      </c>
      <c r="V47" s="35">
        <v>6.9285399999999999</v>
      </c>
      <c r="W47" s="34">
        <v>45467</v>
      </c>
      <c r="X47" s="35">
        <v>6.9368699999999999</v>
      </c>
      <c r="Y47" s="34">
        <v>45466</v>
      </c>
      <c r="Z47" s="35">
        <v>7.2368100000000002</v>
      </c>
      <c r="AA47" s="34">
        <v>45471</v>
      </c>
      <c r="AB47" s="35">
        <v>7.5072000000000001</v>
      </c>
      <c r="AC47" s="34">
        <v>45472</v>
      </c>
      <c r="AD47" s="35">
        <v>7.5072000000000001</v>
      </c>
      <c r="AE47" s="34">
        <v>45473</v>
      </c>
      <c r="AF47" s="35">
        <v>7.5072000000000001</v>
      </c>
      <c r="AG47" s="34">
        <v>45474</v>
      </c>
      <c r="AH47" s="35">
        <v>7.4902499999999996</v>
      </c>
      <c r="AI47" s="36">
        <v>7.511575052021513E-2</v>
      </c>
      <c r="AK47" s="34">
        <v>45463</v>
      </c>
      <c r="AL47" s="35">
        <v>7.17225</v>
      </c>
      <c r="AM47" s="34">
        <v>45477</v>
      </c>
      <c r="AN47" s="5">
        <v>7.8570099999999998</v>
      </c>
      <c r="AP47" s="36">
        <v>9.547352643870477E-2</v>
      </c>
      <c r="AS47" s="5" t="s">
        <v>12389</v>
      </c>
      <c r="AT47" s="5">
        <v>37.36</v>
      </c>
      <c r="AU47" s="5">
        <v>88.03</v>
      </c>
      <c r="AV47" s="5" t="s">
        <v>12400</v>
      </c>
      <c r="AW47" s="5" t="s">
        <v>12400</v>
      </c>
      <c r="AX47" s="5">
        <v>11.97</v>
      </c>
      <c r="AZ47" s="49" t="s">
        <v>12408</v>
      </c>
      <c r="BA47" s="50" t="s">
        <v>12406</v>
      </c>
      <c r="BC47" s="51">
        <v>0.27778000000000003</v>
      </c>
      <c r="BR47" s="26">
        <v>0</v>
      </c>
    </row>
    <row r="48" spans="1:70" ht="15" customHeight="1" x14ac:dyDescent="0.4">
      <c r="A48" s="27" t="s">
        <v>11013</v>
      </c>
      <c r="B48" s="44" t="s">
        <v>11958</v>
      </c>
      <c r="C48" s="45" t="s">
        <v>11458</v>
      </c>
      <c r="D48" s="46">
        <v>76.760000000000005</v>
      </c>
      <c r="E48" s="45" t="s">
        <v>12357</v>
      </c>
      <c r="F48" s="45"/>
      <c r="G48" s="9">
        <v>13.71149</v>
      </c>
      <c r="H48" s="9">
        <v>85.396919999999994</v>
      </c>
      <c r="I48" s="9">
        <v>28.0397</v>
      </c>
      <c r="J48" s="9">
        <v>298.76405</v>
      </c>
      <c r="K48" s="9">
        <v>298.76405</v>
      </c>
      <c r="L48" s="9">
        <v>107.71552</v>
      </c>
      <c r="M48" s="9">
        <v>-84.231480000000005</v>
      </c>
      <c r="N48" s="10" t="s">
        <v>12474</v>
      </c>
      <c r="P48" s="32">
        <v>45470</v>
      </c>
      <c r="R48" s="35">
        <v>7.99</v>
      </c>
      <c r="S48" s="34">
        <v>45469</v>
      </c>
      <c r="T48" s="35">
        <v>7.7027999999999999</v>
      </c>
      <c r="U48" s="34">
        <v>45468</v>
      </c>
      <c r="V48" s="35">
        <v>7.89</v>
      </c>
      <c r="W48" s="34">
        <v>45467</v>
      </c>
      <c r="X48" s="35">
        <v>8.0299999999999994</v>
      </c>
      <c r="Y48" s="34">
        <v>45466</v>
      </c>
      <c r="Z48" s="35">
        <v>7.37</v>
      </c>
      <c r="AA48" s="34">
        <v>45471</v>
      </c>
      <c r="AB48" s="35">
        <v>7.85</v>
      </c>
      <c r="AC48" s="34">
        <v>45472</v>
      </c>
      <c r="AD48" s="35">
        <v>7.85</v>
      </c>
      <c r="AE48" s="34">
        <v>45473</v>
      </c>
      <c r="AF48" s="35">
        <v>7.85</v>
      </c>
      <c r="AG48" s="34">
        <v>45474</v>
      </c>
      <c r="AH48" s="35">
        <v>7.85</v>
      </c>
      <c r="AI48" s="36">
        <v>1.9109934049955868E-2</v>
      </c>
      <c r="AK48" s="34">
        <v>45463</v>
      </c>
      <c r="AL48" s="35">
        <v>6.98</v>
      </c>
      <c r="AM48" s="34">
        <v>45477</v>
      </c>
      <c r="AN48" s="5">
        <v>7.64</v>
      </c>
      <c r="AP48" s="36">
        <v>9.4555873925501244E-2</v>
      </c>
      <c r="AS48" s="5" t="s">
        <v>12387</v>
      </c>
      <c r="AT48" s="5">
        <v>76.760000000000005</v>
      </c>
      <c r="AU48" s="5">
        <v>100</v>
      </c>
      <c r="AV48" s="5" t="s">
        <v>12400</v>
      </c>
      <c r="AW48" s="5" t="s">
        <v>12400</v>
      </c>
      <c r="AX48" s="5" t="s">
        <v>12400</v>
      </c>
      <c r="AZ48" s="49" t="s">
        <v>12414</v>
      </c>
      <c r="BA48" s="50" t="s">
        <v>12414</v>
      </c>
      <c r="BC48" s="51">
        <v>1.03783</v>
      </c>
      <c r="BR48" s="26">
        <v>0</v>
      </c>
    </row>
    <row r="49" spans="1:70" ht="15" customHeight="1" x14ac:dyDescent="0.4">
      <c r="A49" s="27" t="s">
        <v>11014</v>
      </c>
      <c r="B49" s="44" t="s">
        <v>11959</v>
      </c>
      <c r="C49" s="45" t="s">
        <v>11459</v>
      </c>
      <c r="D49" s="46">
        <v>7.78</v>
      </c>
      <c r="E49" s="45" t="s">
        <v>12357</v>
      </c>
      <c r="F49" s="45"/>
      <c r="G49" s="9">
        <v>43.752029999999998</v>
      </c>
      <c r="H49" s="9">
        <v>-2.31</v>
      </c>
      <c r="I49" s="9">
        <v>-1.1343000000000001</v>
      </c>
      <c r="J49" s="9">
        <v>150.42511999999999</v>
      </c>
      <c r="K49" s="9">
        <v>150.42511999999999</v>
      </c>
      <c r="L49" s="9">
        <v>8.0748599999999993</v>
      </c>
      <c r="M49" s="9">
        <v>46.387689999999999</v>
      </c>
      <c r="N49" s="10" t="s">
        <v>12468</v>
      </c>
      <c r="P49" s="32">
        <v>45470</v>
      </c>
      <c r="R49" s="35">
        <v>0.66518999999999995</v>
      </c>
      <c r="S49" s="34">
        <v>45469</v>
      </c>
      <c r="T49" s="35">
        <v>0.66566999999999998</v>
      </c>
      <c r="U49" s="34">
        <v>45468</v>
      </c>
      <c r="V49" s="35">
        <v>0.66813</v>
      </c>
      <c r="W49" s="34">
        <v>45467</v>
      </c>
      <c r="X49" s="35">
        <v>0.66076000000000001</v>
      </c>
      <c r="Y49" s="34">
        <v>45466</v>
      </c>
      <c r="Z49" s="35">
        <v>0.64488999999999996</v>
      </c>
      <c r="AA49" s="34">
        <v>45471</v>
      </c>
      <c r="AB49" s="35">
        <v>0.66373000000000004</v>
      </c>
      <c r="AC49" s="34">
        <v>45472</v>
      </c>
      <c r="AD49" s="35">
        <v>0.66373000000000004</v>
      </c>
      <c r="AE49" s="34">
        <v>45473</v>
      </c>
      <c r="AF49" s="35">
        <v>0.66425999999999996</v>
      </c>
      <c r="AG49" s="34">
        <v>45474</v>
      </c>
      <c r="AH49" s="35">
        <v>0.66442000000000001</v>
      </c>
      <c r="AI49" s="36">
        <v>-2.9143569636606026E-3</v>
      </c>
      <c r="AK49" s="34">
        <v>45463</v>
      </c>
      <c r="AL49" s="35">
        <v>0.64451000000000003</v>
      </c>
      <c r="AM49" s="34">
        <v>45477</v>
      </c>
      <c r="AN49" s="5">
        <v>0.69074999999999998</v>
      </c>
      <c r="AP49" s="36">
        <v>7.174442599804487E-2</v>
      </c>
      <c r="AS49" s="5" t="s">
        <v>12391</v>
      </c>
      <c r="AT49" s="5">
        <v>2.33</v>
      </c>
      <c r="AU49" s="5">
        <v>42.86</v>
      </c>
      <c r="AV49" s="5" t="s">
        <v>12400</v>
      </c>
      <c r="AW49" s="5" t="s">
        <v>12400</v>
      </c>
      <c r="AX49" s="5">
        <v>57.14</v>
      </c>
      <c r="AZ49" s="49" t="s">
        <v>12408</v>
      </c>
      <c r="BA49" s="50" t="s">
        <v>12408</v>
      </c>
      <c r="BC49" s="51">
        <v>0.22228999999999999</v>
      </c>
      <c r="BR49" s="26">
        <v>0</v>
      </c>
    </row>
    <row r="50" spans="1:70" ht="15" customHeight="1" x14ac:dyDescent="0.4">
      <c r="A50" s="27" t="s">
        <v>11015</v>
      </c>
      <c r="B50" s="44" t="s">
        <v>11960</v>
      </c>
      <c r="C50" s="45" t="s">
        <v>11460</v>
      </c>
      <c r="D50" s="46">
        <v>2.57</v>
      </c>
      <c r="E50" s="45" t="s">
        <v>12357</v>
      </c>
      <c r="F50" s="45"/>
      <c r="G50" s="9">
        <v>34.307720000000003</v>
      </c>
      <c r="H50" s="9">
        <v>20.997879999999999</v>
      </c>
      <c r="I50" s="9">
        <v>12.028700000000001</v>
      </c>
      <c r="J50" s="9">
        <v>83.738870000000006</v>
      </c>
      <c r="K50" s="9">
        <v>83.738870000000006</v>
      </c>
      <c r="L50" s="9">
        <v>31.942550000000001</v>
      </c>
      <c r="M50" s="9">
        <v>-26.58691</v>
      </c>
      <c r="N50" s="10" t="s">
        <v>12474</v>
      </c>
      <c r="P50" s="32">
        <v>45470</v>
      </c>
      <c r="R50" s="35">
        <v>6.3624700000000001</v>
      </c>
      <c r="S50" s="34">
        <v>45469</v>
      </c>
      <c r="T50" s="35">
        <v>6.2939400000000001</v>
      </c>
      <c r="U50" s="34">
        <v>45468</v>
      </c>
      <c r="V50" s="35">
        <v>6.3406599999999997</v>
      </c>
      <c r="W50" s="34">
        <v>45467</v>
      </c>
      <c r="X50" s="35">
        <v>6.4492500000000001</v>
      </c>
      <c r="Y50" s="34">
        <v>45466</v>
      </c>
      <c r="Z50" s="35">
        <v>6.6786500000000002</v>
      </c>
      <c r="AA50" s="34">
        <v>45471</v>
      </c>
      <c r="AB50" s="35">
        <v>6.3213900000000001</v>
      </c>
      <c r="AC50" s="34">
        <v>45472</v>
      </c>
      <c r="AD50" s="35">
        <v>6.3213900000000001</v>
      </c>
      <c r="AE50" s="34">
        <v>45473</v>
      </c>
      <c r="AF50" s="35">
        <v>6.3213900000000001</v>
      </c>
      <c r="AG50" s="34">
        <v>45474</v>
      </c>
      <c r="AH50" s="35">
        <v>6.4392300000000002</v>
      </c>
      <c r="AI50" s="36">
        <v>4.3613380489804232E-3</v>
      </c>
      <c r="AK50" s="34">
        <v>45463</v>
      </c>
      <c r="AL50" s="35">
        <v>6.7265499999999996</v>
      </c>
      <c r="AM50" s="34">
        <v>45477</v>
      </c>
      <c r="AN50" s="5">
        <v>6.6003299999999996</v>
      </c>
      <c r="AP50" s="36">
        <v>-1.8764448342761142E-2</v>
      </c>
      <c r="AS50" s="5" t="s">
        <v>12389</v>
      </c>
      <c r="AT50" s="5">
        <v>0.749</v>
      </c>
      <c r="AU50" s="5">
        <v>29.17</v>
      </c>
      <c r="AV50" s="5" t="s">
        <v>12400</v>
      </c>
      <c r="AW50" s="5" t="s">
        <v>12400</v>
      </c>
      <c r="AX50" s="5">
        <v>70.83</v>
      </c>
      <c r="AZ50" s="49" t="s">
        <v>12409</v>
      </c>
      <c r="BA50" s="50" t="s">
        <v>12418</v>
      </c>
      <c r="BC50" s="51">
        <v>1.2799400000000001</v>
      </c>
      <c r="BR50" s="26">
        <v>0</v>
      </c>
    </row>
    <row r="51" spans="1:70" ht="15" customHeight="1" x14ac:dyDescent="0.4">
      <c r="A51" s="27" t="s">
        <v>11016</v>
      </c>
      <c r="B51" s="44" t="s">
        <v>11961</v>
      </c>
      <c r="C51" s="45" t="s">
        <v>11461</v>
      </c>
      <c r="D51" s="46">
        <v>9.32</v>
      </c>
      <c r="E51" s="45" t="s">
        <v>12357</v>
      </c>
      <c r="F51" s="45"/>
      <c r="G51" s="9">
        <v>88.044290000000004</v>
      </c>
      <c r="H51" s="9">
        <v>0</v>
      </c>
      <c r="I51" s="9">
        <v>0</v>
      </c>
      <c r="J51" s="9">
        <v>1.9080600000000001</v>
      </c>
      <c r="K51" s="9">
        <v>1.9080600000000001</v>
      </c>
      <c r="L51" s="9">
        <v>0.43636999999999998</v>
      </c>
      <c r="M51" s="9">
        <v>-0.43636999999999998</v>
      </c>
      <c r="N51" s="10" t="s">
        <v>12466</v>
      </c>
      <c r="P51" s="32">
        <v>45470</v>
      </c>
      <c r="R51" s="35">
        <v>0.10587000000000001</v>
      </c>
      <c r="S51" s="34">
        <v>45469</v>
      </c>
      <c r="T51" s="35">
        <v>0.10588</v>
      </c>
      <c r="U51" s="34">
        <v>45468</v>
      </c>
      <c r="V51" s="35">
        <v>0.10252</v>
      </c>
      <c r="W51" s="34">
        <v>45467</v>
      </c>
      <c r="X51" s="35">
        <v>0.10254000000000001</v>
      </c>
      <c r="Y51" s="34">
        <v>45466</v>
      </c>
      <c r="Z51" s="35">
        <v>9.4799999999999995E-2</v>
      </c>
      <c r="AA51" s="34">
        <v>45471</v>
      </c>
      <c r="AB51" s="35">
        <v>0.11325</v>
      </c>
      <c r="AC51" s="34">
        <v>45472</v>
      </c>
      <c r="AD51" s="35">
        <v>0.11325</v>
      </c>
      <c r="AE51" s="34">
        <v>45473</v>
      </c>
      <c r="AF51" s="35">
        <v>0.11325</v>
      </c>
      <c r="AG51" s="34">
        <v>45474</v>
      </c>
      <c r="AH51" s="35">
        <v>0.11275</v>
      </c>
      <c r="AI51" s="36">
        <v>6.9607102380052854E-2</v>
      </c>
      <c r="AK51" s="34">
        <v>45463</v>
      </c>
      <c r="AL51" s="35">
        <v>8.029E-2</v>
      </c>
      <c r="AM51" s="34">
        <v>45477</v>
      </c>
      <c r="AN51" s="5">
        <v>0.12489</v>
      </c>
      <c r="AP51" s="36">
        <v>0.55548636193797485</v>
      </c>
      <c r="AS51" s="5" t="s">
        <v>721</v>
      </c>
      <c r="AT51" s="5" t="s">
        <v>12400</v>
      </c>
      <c r="AU51" s="5" t="s">
        <v>12400</v>
      </c>
      <c r="AV51" s="5" t="s">
        <v>12400</v>
      </c>
      <c r="AW51" s="5" t="s">
        <v>12400</v>
      </c>
      <c r="AX51" s="5">
        <v>100</v>
      </c>
      <c r="AZ51" s="49" t="s">
        <v>12417</v>
      </c>
      <c r="BA51" s="50" t="s">
        <v>12415</v>
      </c>
      <c r="BC51" s="51">
        <v>-0.21537000000000001</v>
      </c>
      <c r="BR51" s="26">
        <v>0</v>
      </c>
    </row>
    <row r="52" spans="1:70" ht="15" customHeight="1" x14ac:dyDescent="0.4">
      <c r="A52" s="27" t="s">
        <v>10996</v>
      </c>
      <c r="B52" s="44" t="s">
        <v>11941</v>
      </c>
      <c r="C52" s="45" t="s">
        <v>11462</v>
      </c>
      <c r="D52" s="46">
        <v>9.08</v>
      </c>
      <c r="E52" s="45" t="s">
        <v>12358</v>
      </c>
      <c r="F52" s="45"/>
      <c r="G52" s="9">
        <v>190.69899000000001</v>
      </c>
      <c r="H52" s="9">
        <v>1671</v>
      </c>
      <c r="I52" s="9">
        <v>12.212199999999999</v>
      </c>
      <c r="J52" s="9">
        <v>16856</v>
      </c>
      <c r="K52" s="9">
        <v>16856</v>
      </c>
      <c r="L52" s="9">
        <v>2121</v>
      </c>
      <c r="M52" s="9">
        <v>2134</v>
      </c>
      <c r="N52" s="10" t="s">
        <v>12467</v>
      </c>
      <c r="P52" s="32">
        <v>45469</v>
      </c>
      <c r="R52" s="35">
        <v>86.54</v>
      </c>
      <c r="S52" s="34">
        <v>45468</v>
      </c>
      <c r="T52" s="35">
        <v>86.01</v>
      </c>
      <c r="U52" s="34">
        <v>45467</v>
      </c>
      <c r="V52" s="35">
        <v>87.48</v>
      </c>
      <c r="W52" s="34">
        <v>45466</v>
      </c>
      <c r="X52" s="35">
        <v>86.74</v>
      </c>
      <c r="Y52" s="34">
        <v>45465</v>
      </c>
      <c r="Z52" s="35">
        <v>86.74</v>
      </c>
      <c r="AA52" s="34">
        <v>45470</v>
      </c>
      <c r="AB52" s="35">
        <v>86.34</v>
      </c>
      <c r="AC52" s="34">
        <v>45471</v>
      </c>
      <c r="AD52" s="35">
        <v>85.86</v>
      </c>
      <c r="AE52" s="34">
        <v>45472</v>
      </c>
      <c r="AF52" s="35">
        <v>85.86</v>
      </c>
      <c r="AG52" s="34">
        <v>45473</v>
      </c>
      <c r="AH52" s="35">
        <v>85.86</v>
      </c>
      <c r="AI52" s="36">
        <v>3.836763167073487E-3</v>
      </c>
      <c r="AK52" s="34">
        <v>45462</v>
      </c>
      <c r="AL52" s="35">
        <v>85.96</v>
      </c>
      <c r="AM52" s="34">
        <v>45476</v>
      </c>
      <c r="AN52" s="5">
        <v>86.21</v>
      </c>
      <c r="AP52" s="36">
        <v>2.9083294555607431E-3</v>
      </c>
      <c r="AS52" s="5" t="s">
        <v>12389</v>
      </c>
      <c r="AT52" s="5">
        <v>7.58</v>
      </c>
      <c r="AU52" s="5">
        <v>83.53</v>
      </c>
      <c r="AV52" s="5" t="s">
        <v>12400</v>
      </c>
      <c r="AW52" s="5" t="s">
        <v>12400</v>
      </c>
      <c r="AX52" s="5">
        <v>16.47</v>
      </c>
      <c r="AZ52" s="49" t="s">
        <v>12416</v>
      </c>
      <c r="BA52" s="50" t="s">
        <v>12416</v>
      </c>
      <c r="BC52" s="51">
        <v>1.01329</v>
      </c>
      <c r="BR52" s="26">
        <v>0</v>
      </c>
    </row>
    <row r="53" spans="1:70" ht="15" customHeight="1" x14ac:dyDescent="0.4">
      <c r="A53" s="27" t="s">
        <v>11017</v>
      </c>
      <c r="B53" s="44" t="s">
        <v>11962</v>
      </c>
      <c r="C53" s="45" t="s">
        <v>11463</v>
      </c>
      <c r="D53" s="46">
        <v>4.2300000000000004</v>
      </c>
      <c r="E53" s="45" t="s">
        <v>12357</v>
      </c>
      <c r="F53" s="45"/>
      <c r="G53" s="9">
        <v>38.664029999999997</v>
      </c>
      <c r="H53" s="9">
        <v>6.2766000000000002</v>
      </c>
      <c r="I53" s="9">
        <v>7.5030000000000001</v>
      </c>
      <c r="J53" s="9">
        <v>65.478610000000003</v>
      </c>
      <c r="K53" s="9">
        <v>65.478610000000003</v>
      </c>
      <c r="L53" s="9">
        <v>2.09491</v>
      </c>
      <c r="M53" s="9">
        <v>46.502499999999998</v>
      </c>
      <c r="N53" s="10" t="s">
        <v>12474</v>
      </c>
      <c r="P53" s="32">
        <v>45468</v>
      </c>
      <c r="R53" s="35">
        <v>0.72236999999999996</v>
      </c>
      <c r="S53" s="34">
        <v>45467</v>
      </c>
      <c r="T53" s="35">
        <v>0.65993999999999997</v>
      </c>
      <c r="U53" s="34">
        <v>45466</v>
      </c>
      <c r="V53" s="35">
        <v>0.66286999999999996</v>
      </c>
      <c r="W53" s="34">
        <v>45465</v>
      </c>
      <c r="X53" s="35">
        <v>0.66286999999999996</v>
      </c>
      <c r="Y53" s="34">
        <v>45464</v>
      </c>
      <c r="Z53" s="35">
        <v>0.66286999999999996</v>
      </c>
      <c r="AA53" s="34">
        <v>45469</v>
      </c>
      <c r="AB53" s="35">
        <v>0.73843999999999999</v>
      </c>
      <c r="AC53" s="34">
        <v>45470</v>
      </c>
      <c r="AD53" s="35">
        <v>0.75870000000000004</v>
      </c>
      <c r="AE53" s="34">
        <v>45471</v>
      </c>
      <c r="AF53" s="35">
        <v>0.75827</v>
      </c>
      <c r="AG53" s="34">
        <v>45472</v>
      </c>
      <c r="AH53" s="35">
        <v>0.75827</v>
      </c>
      <c r="AI53" s="36">
        <v>0.11895020759462982</v>
      </c>
      <c r="AK53" s="34">
        <v>45461</v>
      </c>
      <c r="AL53" s="35">
        <v>0.66612000000000005</v>
      </c>
      <c r="AM53" s="34">
        <v>45475</v>
      </c>
      <c r="AN53" s="5">
        <v>0.77339999999999998</v>
      </c>
      <c r="AP53" s="36">
        <v>0.16105206269140693</v>
      </c>
      <c r="AS53" s="5" t="s">
        <v>12387</v>
      </c>
      <c r="AT53" s="5">
        <v>2.9</v>
      </c>
      <c r="AU53" s="5">
        <v>100</v>
      </c>
      <c r="AV53" s="5" t="s">
        <v>12400</v>
      </c>
      <c r="AW53" s="5" t="s">
        <v>12400</v>
      </c>
      <c r="AX53" s="5" t="s">
        <v>12400</v>
      </c>
      <c r="AZ53" s="49" t="s">
        <v>12415</v>
      </c>
      <c r="BA53" s="50" t="s">
        <v>12410</v>
      </c>
      <c r="BC53" s="51">
        <v>-6.6320000000000004E-2</v>
      </c>
      <c r="BR53" s="26">
        <v>0</v>
      </c>
    </row>
    <row r="54" spans="1:70" ht="15" customHeight="1" x14ac:dyDescent="0.4">
      <c r="A54" s="27" t="s">
        <v>11018</v>
      </c>
      <c r="B54" s="44" t="s">
        <v>11963</v>
      </c>
      <c r="C54" s="45" t="s">
        <v>11464</v>
      </c>
      <c r="D54" s="46">
        <v>111</v>
      </c>
      <c r="E54" s="45" t="s">
        <v>12358</v>
      </c>
      <c r="F54" s="45"/>
      <c r="G54" s="9">
        <v>137.52814000000001</v>
      </c>
      <c r="H54" s="9">
        <v>183.1</v>
      </c>
      <c r="I54" s="9">
        <v>33.963999999999999</v>
      </c>
      <c r="J54" s="9">
        <v>7712.1</v>
      </c>
      <c r="K54" s="9">
        <v>7712.1</v>
      </c>
      <c r="L54" s="9">
        <v>313.7</v>
      </c>
      <c r="M54" s="9">
        <v>4955.3</v>
      </c>
      <c r="N54" s="10" t="s">
        <v>12475</v>
      </c>
      <c r="P54" s="32">
        <v>45468</v>
      </c>
      <c r="R54" s="35">
        <v>9.44</v>
      </c>
      <c r="S54" s="34">
        <v>45467</v>
      </c>
      <c r="T54" s="35">
        <v>9.7100000000000009</v>
      </c>
      <c r="U54" s="34">
        <v>45466</v>
      </c>
      <c r="V54" s="35">
        <v>9.73</v>
      </c>
      <c r="W54" s="34">
        <v>45465</v>
      </c>
      <c r="X54" s="35">
        <v>9.73</v>
      </c>
      <c r="Y54" s="34">
        <v>45464</v>
      </c>
      <c r="Z54" s="35">
        <v>9.73</v>
      </c>
      <c r="AA54" s="34">
        <v>45469</v>
      </c>
      <c r="AB54" s="35">
        <v>9.6199999999999992</v>
      </c>
      <c r="AC54" s="34">
        <v>45470</v>
      </c>
      <c r="AD54" s="35">
        <v>9.7200000000000006</v>
      </c>
      <c r="AE54" s="34">
        <v>45471</v>
      </c>
      <c r="AF54" s="35">
        <v>9.7200000000000006</v>
      </c>
      <c r="AG54" s="34">
        <v>45472</v>
      </c>
      <c r="AH54" s="35">
        <v>9.7200000000000006</v>
      </c>
      <c r="AI54" s="36">
        <v>-9.2687950566427979E-3</v>
      </c>
      <c r="AK54" s="34">
        <v>45461</v>
      </c>
      <c r="AL54" s="35">
        <v>9.6300000000000008</v>
      </c>
      <c r="AM54" s="34">
        <v>45475</v>
      </c>
      <c r="AN54" s="5">
        <v>9.9700000000000006</v>
      </c>
      <c r="AP54" s="36">
        <v>3.530633437175501E-2</v>
      </c>
      <c r="AS54" s="5" t="s">
        <v>12387</v>
      </c>
      <c r="AT54" s="5">
        <v>111</v>
      </c>
      <c r="AU54" s="5">
        <v>100</v>
      </c>
      <c r="AV54" s="5" t="s">
        <v>12400</v>
      </c>
      <c r="AW54" s="5" t="s">
        <v>12400</v>
      </c>
      <c r="AX54" s="5" t="s">
        <v>12400</v>
      </c>
      <c r="AZ54" s="49" t="s">
        <v>12403</v>
      </c>
      <c r="BA54" s="50" t="s">
        <v>12415</v>
      </c>
      <c r="BC54" s="51">
        <v>1.0567899999999999</v>
      </c>
      <c r="BR54" s="26">
        <v>0</v>
      </c>
    </row>
    <row r="55" spans="1:70" ht="15" customHeight="1" x14ac:dyDescent="0.4">
      <c r="A55" s="27" t="s">
        <v>11019</v>
      </c>
      <c r="B55" s="44" t="s">
        <v>11964</v>
      </c>
      <c r="C55" s="45" t="s">
        <v>11465</v>
      </c>
      <c r="D55" s="47">
        <v>0.4</v>
      </c>
      <c r="E55" s="45" t="s">
        <v>12358</v>
      </c>
      <c r="F55" s="45"/>
      <c r="G55" s="9">
        <v>70.817509999999999</v>
      </c>
      <c r="H55" s="9">
        <v>37.57</v>
      </c>
      <c r="I55" s="9">
        <v>3.5154000000000001</v>
      </c>
      <c r="J55" s="9">
        <v>608.88599999999997</v>
      </c>
      <c r="K55" s="9">
        <v>608.88599999999997</v>
      </c>
      <c r="L55" s="9">
        <v>245.44900000000001</v>
      </c>
      <c r="M55" s="9">
        <v>-204.46</v>
      </c>
      <c r="N55" s="10" t="s">
        <v>12474</v>
      </c>
      <c r="P55" s="32">
        <v>45468</v>
      </c>
      <c r="R55" s="35">
        <v>16</v>
      </c>
      <c r="S55" s="34">
        <v>45467</v>
      </c>
      <c r="T55" s="35">
        <v>16.05</v>
      </c>
      <c r="U55" s="34">
        <v>45466</v>
      </c>
      <c r="V55" s="35">
        <v>15.44</v>
      </c>
      <c r="W55" s="34">
        <v>45465</v>
      </c>
      <c r="X55" s="35">
        <v>15.44</v>
      </c>
      <c r="Y55" s="34">
        <v>45464</v>
      </c>
      <c r="Z55" s="35">
        <v>15.44</v>
      </c>
      <c r="AA55" s="34">
        <v>45469</v>
      </c>
      <c r="AB55" s="35">
        <v>15.37</v>
      </c>
      <c r="AC55" s="34">
        <v>45470</v>
      </c>
      <c r="AD55" s="35">
        <v>15.33</v>
      </c>
      <c r="AE55" s="34">
        <v>45471</v>
      </c>
      <c r="AF55" s="35">
        <v>15.91</v>
      </c>
      <c r="AG55" s="34">
        <v>45472</v>
      </c>
      <c r="AH55" s="35">
        <v>15.91</v>
      </c>
      <c r="AI55" s="36">
        <v>-4.2367601246106057E-2</v>
      </c>
      <c r="AK55" s="34">
        <v>45461</v>
      </c>
      <c r="AL55" s="35">
        <v>15.89</v>
      </c>
      <c r="AM55" s="34">
        <v>45475</v>
      </c>
      <c r="AN55" s="5">
        <v>15.56</v>
      </c>
      <c r="AP55" s="36">
        <v>-2.0767778477029597E-2</v>
      </c>
      <c r="AS55" s="5" t="s">
        <v>12387</v>
      </c>
      <c r="AT55" s="5">
        <v>0.4</v>
      </c>
      <c r="AU55" s="5">
        <v>100</v>
      </c>
      <c r="AV55" s="5" t="s">
        <v>12400</v>
      </c>
      <c r="AW55" s="5" t="s">
        <v>12400</v>
      </c>
      <c r="AX55" s="5" t="s">
        <v>12400</v>
      </c>
      <c r="AZ55" s="49" t="s">
        <v>12403</v>
      </c>
      <c r="BA55" s="50" t="s">
        <v>12410</v>
      </c>
      <c r="BC55" s="51">
        <v>1.8433200000000001</v>
      </c>
      <c r="BR55" s="26">
        <v>0</v>
      </c>
    </row>
    <row r="56" spans="1:70" ht="15" customHeight="1" x14ac:dyDescent="0.4">
      <c r="A56" s="27" t="s">
        <v>11020</v>
      </c>
      <c r="B56" s="44" t="s">
        <v>11965</v>
      </c>
      <c r="C56" s="45" t="s">
        <v>11466</v>
      </c>
      <c r="D56" s="46">
        <v>8.8800000000000008</v>
      </c>
      <c r="E56" s="45" t="s">
        <v>12357</v>
      </c>
      <c r="F56" s="45"/>
      <c r="G56" s="9">
        <v>14.53243</v>
      </c>
      <c r="H56" s="9">
        <v>-2.4859100000000001</v>
      </c>
      <c r="I56" s="9">
        <v>-0.87319999999999998</v>
      </c>
      <c r="J56" s="9">
        <v>467.84823999999998</v>
      </c>
      <c r="K56" s="9">
        <v>467.84823999999998</v>
      </c>
      <c r="L56" s="9">
        <v>42.359900000000003</v>
      </c>
      <c r="M56" s="9">
        <v>134.23912999999999</v>
      </c>
      <c r="N56" s="10" t="s">
        <v>12467</v>
      </c>
      <c r="P56" s="32">
        <v>45468</v>
      </c>
      <c r="R56" s="35">
        <v>7.4243699999999997</v>
      </c>
      <c r="S56" s="34">
        <v>45467</v>
      </c>
      <c r="T56" s="35">
        <v>7.5289000000000001</v>
      </c>
      <c r="U56" s="34">
        <v>45466</v>
      </c>
      <c r="V56" s="35">
        <v>7.5609099999999998</v>
      </c>
      <c r="W56" s="34">
        <v>45465</v>
      </c>
      <c r="X56" s="35">
        <v>7.5609099999999998</v>
      </c>
      <c r="Y56" s="34">
        <v>45464</v>
      </c>
      <c r="Z56" s="35">
        <v>7.5609099999999998</v>
      </c>
      <c r="AA56" s="34">
        <v>45469</v>
      </c>
      <c r="AB56" s="35">
        <v>7.3918299999999997</v>
      </c>
      <c r="AC56" s="34">
        <v>45470</v>
      </c>
      <c r="AD56" s="35">
        <v>7.3507199999999999</v>
      </c>
      <c r="AE56" s="34">
        <v>45471</v>
      </c>
      <c r="AF56" s="35">
        <v>7.23658</v>
      </c>
      <c r="AG56" s="34">
        <v>45472</v>
      </c>
      <c r="AH56" s="35">
        <v>7.23658</v>
      </c>
      <c r="AI56" s="36">
        <v>-1.8205846803650005E-2</v>
      </c>
      <c r="AK56" s="34">
        <v>45461</v>
      </c>
      <c r="AL56" s="35">
        <v>7.6648199999999997</v>
      </c>
      <c r="AM56" s="34">
        <v>45475</v>
      </c>
      <c r="AN56" s="5">
        <v>7.4277600000000001</v>
      </c>
      <c r="AP56" s="36">
        <v>-3.0928319256029457E-2</v>
      </c>
      <c r="AS56" s="5" t="s">
        <v>12387</v>
      </c>
      <c r="AT56" s="5">
        <v>8.8800000000000008</v>
      </c>
      <c r="AU56" s="5">
        <v>100</v>
      </c>
      <c r="AV56" s="5" t="s">
        <v>12400</v>
      </c>
      <c r="AW56" s="5" t="s">
        <v>12400</v>
      </c>
      <c r="AX56" s="5" t="s">
        <v>12400</v>
      </c>
      <c r="AZ56" s="49" t="s">
        <v>12416</v>
      </c>
      <c r="BA56" s="50" t="s">
        <v>12416</v>
      </c>
      <c r="BC56" s="51">
        <v>2.14547</v>
      </c>
      <c r="BR56" s="26">
        <v>0</v>
      </c>
    </row>
    <row r="57" spans="1:70" ht="15" customHeight="1" x14ac:dyDescent="0.4">
      <c r="A57" s="27" t="s">
        <v>11021</v>
      </c>
      <c r="B57" s="44" t="s">
        <v>11966</v>
      </c>
      <c r="C57" s="45" t="s">
        <v>11467</v>
      </c>
      <c r="D57" s="46">
        <v>17.54</v>
      </c>
      <c r="E57" s="45" t="s">
        <v>12357</v>
      </c>
      <c r="F57" s="45"/>
      <c r="G57" s="9">
        <v>84.453339999999997</v>
      </c>
      <c r="H57" s="9">
        <v>815</v>
      </c>
      <c r="I57" s="9">
        <v>3.5329999999999999</v>
      </c>
      <c r="J57" s="9">
        <v>6826</v>
      </c>
      <c r="K57" s="9">
        <v>6826</v>
      </c>
      <c r="L57" s="9">
        <v>29</v>
      </c>
      <c r="M57" s="9">
        <v>4084</v>
      </c>
      <c r="N57" s="10" t="s">
        <v>12469</v>
      </c>
      <c r="P57" s="32">
        <v>45468</v>
      </c>
      <c r="R57" s="35">
        <v>56.57</v>
      </c>
      <c r="S57" s="34">
        <v>45467</v>
      </c>
      <c r="T57" s="35">
        <v>56.25</v>
      </c>
      <c r="U57" s="34">
        <v>45466</v>
      </c>
      <c r="V57" s="35">
        <v>56.13</v>
      </c>
      <c r="W57" s="34">
        <v>45465</v>
      </c>
      <c r="X57" s="35">
        <v>56.13</v>
      </c>
      <c r="Y57" s="34">
        <v>45464</v>
      </c>
      <c r="Z57" s="35">
        <v>56.13</v>
      </c>
      <c r="AA57" s="34">
        <v>45469</v>
      </c>
      <c r="AB57" s="35">
        <v>56.75</v>
      </c>
      <c r="AC57" s="34">
        <v>45470</v>
      </c>
      <c r="AD57" s="35">
        <v>56.97</v>
      </c>
      <c r="AE57" s="34">
        <v>45471</v>
      </c>
      <c r="AF57" s="35">
        <v>56.54</v>
      </c>
      <c r="AG57" s="34">
        <v>45472</v>
      </c>
      <c r="AH57" s="35">
        <v>56.54</v>
      </c>
      <c r="AI57" s="36">
        <v>8.8888888888889461E-3</v>
      </c>
      <c r="AK57" s="34">
        <v>45461</v>
      </c>
      <c r="AL57" s="35">
        <v>54.48</v>
      </c>
      <c r="AM57" s="34">
        <v>45475</v>
      </c>
      <c r="AN57" s="5">
        <v>56.14</v>
      </c>
      <c r="AP57" s="36">
        <v>3.0469897209985275E-2</v>
      </c>
      <c r="AS57" s="5" t="s">
        <v>12387</v>
      </c>
      <c r="AT57" s="5">
        <v>7.87</v>
      </c>
      <c r="AU57" s="5">
        <v>100</v>
      </c>
      <c r="AV57" s="5" t="s">
        <v>12400</v>
      </c>
      <c r="AW57" s="5" t="s">
        <v>12400</v>
      </c>
      <c r="AX57" s="5" t="s">
        <v>12400</v>
      </c>
      <c r="AZ57" s="49" t="s">
        <v>12412</v>
      </c>
      <c r="BA57" s="50" t="s">
        <v>12411</v>
      </c>
      <c r="BC57" s="51">
        <v>0.49208000000000002</v>
      </c>
      <c r="BR57" s="26">
        <v>0</v>
      </c>
    </row>
    <row r="58" spans="1:70" ht="15" customHeight="1" x14ac:dyDescent="0.4">
      <c r="A58" s="27" t="s">
        <v>11022</v>
      </c>
      <c r="B58" s="44" t="s">
        <v>11967</v>
      </c>
      <c r="C58" s="45" t="s">
        <v>11468</v>
      </c>
      <c r="D58" s="46">
        <v>19.04</v>
      </c>
      <c r="E58" s="45" t="s">
        <v>12357</v>
      </c>
      <c r="F58" s="45"/>
      <c r="G58" s="9">
        <v>116.57955</v>
      </c>
      <c r="H58" s="9">
        <v>37.363709999999998</v>
      </c>
      <c r="I58" s="9">
        <v>14.0589</v>
      </c>
      <c r="J58" s="9">
        <v>135.99888000000001</v>
      </c>
      <c r="K58" s="9">
        <v>135.99888000000001</v>
      </c>
      <c r="L58" s="9">
        <v>14.815049999999999</v>
      </c>
      <c r="M58" s="9">
        <v>3.93336</v>
      </c>
      <c r="N58" s="10" t="s">
        <v>12474</v>
      </c>
      <c r="P58" s="32">
        <v>45467</v>
      </c>
      <c r="R58" s="35">
        <v>1.90367</v>
      </c>
      <c r="S58" s="34">
        <v>45466</v>
      </c>
      <c r="T58" s="35">
        <v>1.7360899999999999</v>
      </c>
      <c r="U58" s="34">
        <v>45465</v>
      </c>
      <c r="V58" s="35">
        <v>1.7360899999999999</v>
      </c>
      <c r="W58" s="34">
        <v>45464</v>
      </c>
      <c r="X58" s="35">
        <v>1.7360899999999999</v>
      </c>
      <c r="Y58" s="34">
        <v>45463</v>
      </c>
      <c r="Z58" s="35">
        <v>1.7746</v>
      </c>
      <c r="AA58" s="34">
        <v>45468</v>
      </c>
      <c r="AB58" s="35">
        <v>1.9960199999999999</v>
      </c>
      <c r="AC58" s="34">
        <v>45469</v>
      </c>
      <c r="AD58" s="35">
        <v>2.0196700000000001</v>
      </c>
      <c r="AE58" s="34">
        <v>45470</v>
      </c>
      <c r="AF58" s="35">
        <v>2.02319</v>
      </c>
      <c r="AG58" s="34">
        <v>45471</v>
      </c>
      <c r="AH58" s="35">
        <v>2.0915699999999999</v>
      </c>
      <c r="AI58" s="36">
        <v>0.14972150061344736</v>
      </c>
      <c r="AK58" s="34">
        <v>45460</v>
      </c>
      <c r="AL58" s="35">
        <v>1.73834</v>
      </c>
      <c r="AM58" s="34">
        <v>45474</v>
      </c>
      <c r="AN58" s="5">
        <v>2.2621600000000002</v>
      </c>
      <c r="AP58" s="36">
        <v>0.30133345605577744</v>
      </c>
      <c r="AS58" s="5" t="s">
        <v>12387</v>
      </c>
      <c r="AT58" s="5">
        <v>19.04</v>
      </c>
      <c r="AU58" s="5">
        <v>100</v>
      </c>
      <c r="AV58" s="5" t="s">
        <v>12400</v>
      </c>
      <c r="AW58" s="5" t="s">
        <v>12400</v>
      </c>
      <c r="AX58" s="5" t="s">
        <v>12400</v>
      </c>
      <c r="AZ58" s="49" t="s">
        <v>12415</v>
      </c>
      <c r="BA58" s="50" t="s">
        <v>12415</v>
      </c>
      <c r="BC58" s="51">
        <v>1.0654699999999999</v>
      </c>
      <c r="BR58" s="26">
        <v>0</v>
      </c>
    </row>
    <row r="59" spans="1:70" ht="15" customHeight="1" x14ac:dyDescent="0.4">
      <c r="A59" s="27" t="s">
        <v>11023</v>
      </c>
      <c r="B59" s="44" t="s">
        <v>11968</v>
      </c>
      <c r="C59" s="45" t="s">
        <v>11469</v>
      </c>
      <c r="D59" s="46">
        <v>3900</v>
      </c>
      <c r="E59" s="45" t="s">
        <v>12357</v>
      </c>
      <c r="F59" s="45"/>
      <c r="G59" s="9">
        <v>98.25582</v>
      </c>
      <c r="H59" s="9">
        <v>903.399</v>
      </c>
      <c r="I59" s="9">
        <v>16.6022</v>
      </c>
      <c r="J59" s="9">
        <v>7191.9570000000003</v>
      </c>
      <c r="K59" s="9">
        <v>7191.9570000000003</v>
      </c>
      <c r="L59" s="9">
        <v>138.89500000000001</v>
      </c>
      <c r="M59" s="9">
        <v>3135.0230000000001</v>
      </c>
      <c r="N59" s="10" t="s">
        <v>12466</v>
      </c>
      <c r="P59" s="32">
        <v>45467</v>
      </c>
      <c r="R59" s="35">
        <v>53.3</v>
      </c>
      <c r="S59" s="34">
        <v>45466</v>
      </c>
      <c r="T59" s="35">
        <v>55.6</v>
      </c>
      <c r="U59" s="34">
        <v>45465</v>
      </c>
      <c r="V59" s="35">
        <v>55.6</v>
      </c>
      <c r="W59" s="34">
        <v>45464</v>
      </c>
      <c r="X59" s="35">
        <v>55.6</v>
      </c>
      <c r="Y59" s="34">
        <v>45463</v>
      </c>
      <c r="Z59" s="35">
        <v>56.46</v>
      </c>
      <c r="AA59" s="34">
        <v>45468</v>
      </c>
      <c r="AB59" s="35">
        <v>51.95</v>
      </c>
      <c r="AC59" s="34">
        <v>45469</v>
      </c>
      <c r="AD59" s="35">
        <v>51.66</v>
      </c>
      <c r="AE59" s="34">
        <v>45470</v>
      </c>
      <c r="AF59" s="35">
        <v>51.64</v>
      </c>
      <c r="AG59" s="34">
        <v>45471</v>
      </c>
      <c r="AH59" s="35">
        <v>50.72</v>
      </c>
      <c r="AI59" s="36">
        <v>-6.5647482014388414E-2</v>
      </c>
      <c r="AK59" s="34">
        <v>45460</v>
      </c>
      <c r="AL59" s="35">
        <v>57.59</v>
      </c>
      <c r="AM59" s="34">
        <v>45474</v>
      </c>
      <c r="AN59" s="5">
        <v>50.31</v>
      </c>
      <c r="AP59" s="36">
        <v>-0.12641083521444696</v>
      </c>
      <c r="AS59" s="5" t="s">
        <v>12387</v>
      </c>
      <c r="AT59" s="5">
        <v>3900</v>
      </c>
      <c r="AU59" s="5">
        <v>100</v>
      </c>
      <c r="AV59" s="5" t="s">
        <v>12400</v>
      </c>
      <c r="AW59" s="5" t="s">
        <v>12400</v>
      </c>
      <c r="AX59" s="5" t="s">
        <v>12400</v>
      </c>
      <c r="AZ59" s="49" t="s">
        <v>12403</v>
      </c>
      <c r="BA59" s="50" t="s">
        <v>12412</v>
      </c>
      <c r="BC59" s="51">
        <v>0.53939000000000004</v>
      </c>
      <c r="BR59" s="26">
        <v>0</v>
      </c>
    </row>
    <row r="60" spans="1:70" ht="15" customHeight="1" x14ac:dyDescent="0.4">
      <c r="A60" s="27" t="s">
        <v>11024</v>
      </c>
      <c r="B60" s="44" t="s">
        <v>11969</v>
      </c>
      <c r="C60" s="45" t="s">
        <v>11470</v>
      </c>
      <c r="D60" s="46">
        <v>5.47</v>
      </c>
      <c r="E60" s="45" t="s">
        <v>12357</v>
      </c>
      <c r="F60" s="45"/>
      <c r="G60" s="9">
        <v>95.220690000000005</v>
      </c>
      <c r="H60" s="9">
        <v>64.465000000000003</v>
      </c>
      <c r="I60" s="9">
        <v>5.9218000000000002</v>
      </c>
      <c r="J60" s="9">
        <v>756.62</v>
      </c>
      <c r="K60" s="9">
        <v>756.62</v>
      </c>
      <c r="L60" s="9">
        <v>97.296000000000006</v>
      </c>
      <c r="M60" s="9">
        <v>-351.697</v>
      </c>
      <c r="N60" s="10" t="s">
        <v>12465</v>
      </c>
      <c r="P60" s="32">
        <v>45467</v>
      </c>
      <c r="R60" s="35">
        <v>26.12</v>
      </c>
      <c r="S60" s="34">
        <v>45466</v>
      </c>
      <c r="T60" s="35">
        <v>25.86</v>
      </c>
      <c r="U60" s="34">
        <v>45465</v>
      </c>
      <c r="V60" s="35">
        <v>25.86</v>
      </c>
      <c r="W60" s="34">
        <v>45464</v>
      </c>
      <c r="X60" s="35">
        <v>25.86</v>
      </c>
      <c r="Y60" s="34">
        <v>45463</v>
      </c>
      <c r="Z60" s="35">
        <v>25.34</v>
      </c>
      <c r="AA60" s="34">
        <v>45468</v>
      </c>
      <c r="AB60" s="35">
        <v>26.52</v>
      </c>
      <c r="AC60" s="34">
        <v>45469</v>
      </c>
      <c r="AD60" s="35">
        <v>27.54</v>
      </c>
      <c r="AE60" s="34">
        <v>45470</v>
      </c>
      <c r="AF60" s="35">
        <v>28.62</v>
      </c>
      <c r="AG60" s="34">
        <v>45471</v>
      </c>
      <c r="AH60" s="35">
        <v>28.61</v>
      </c>
      <c r="AI60" s="36">
        <v>2.5522041763341052E-2</v>
      </c>
      <c r="AK60" s="34">
        <v>45460</v>
      </c>
      <c r="AL60" s="35">
        <v>26.71</v>
      </c>
      <c r="AM60" s="34">
        <v>45474</v>
      </c>
      <c r="AN60" s="5">
        <v>28.38</v>
      </c>
      <c r="AP60" s="36">
        <v>6.2523399475851615E-2</v>
      </c>
      <c r="AS60" s="5" t="s">
        <v>12387</v>
      </c>
      <c r="AT60" s="5" t="s">
        <v>12400</v>
      </c>
      <c r="AU60" s="5" t="s">
        <v>12400</v>
      </c>
      <c r="AV60" s="5" t="s">
        <v>12400</v>
      </c>
      <c r="AW60" s="5" t="s">
        <v>12400</v>
      </c>
      <c r="AX60" s="5" t="s">
        <v>12400</v>
      </c>
      <c r="AZ60" s="49" t="s">
        <v>12403</v>
      </c>
      <c r="BA60" s="50" t="s">
        <v>12406</v>
      </c>
      <c r="BC60" s="51">
        <v>0.97185999999999995</v>
      </c>
      <c r="BR60" s="26">
        <v>0</v>
      </c>
    </row>
    <row r="61" spans="1:70" ht="15" customHeight="1" x14ac:dyDescent="0.4">
      <c r="A61" s="27" t="s">
        <v>11025</v>
      </c>
      <c r="B61" s="44" t="s">
        <v>11970</v>
      </c>
      <c r="C61" s="45" t="s">
        <v>11471</v>
      </c>
      <c r="D61" s="46">
        <v>30.98</v>
      </c>
      <c r="E61" s="45" t="s">
        <v>12357</v>
      </c>
      <c r="F61" s="45"/>
      <c r="G61" s="9">
        <v>27.176100000000002</v>
      </c>
      <c r="H61" s="9">
        <v>52.660299999999999</v>
      </c>
      <c r="I61" s="9">
        <v>6.7496</v>
      </c>
      <c r="J61" s="9">
        <v>480.83852999999999</v>
      </c>
      <c r="K61" s="9">
        <v>480.83852999999999</v>
      </c>
      <c r="L61" s="9">
        <v>13.272589999999999</v>
      </c>
      <c r="M61" s="9">
        <v>77.366600000000005</v>
      </c>
      <c r="N61" s="10" t="s">
        <v>12467</v>
      </c>
      <c r="P61" s="32">
        <v>45467</v>
      </c>
      <c r="R61" s="35">
        <v>11.233090000000001</v>
      </c>
      <c r="S61" s="34">
        <v>45466</v>
      </c>
      <c r="T61" s="35">
        <v>10.55612</v>
      </c>
      <c r="U61" s="34">
        <v>45465</v>
      </c>
      <c r="V61" s="35">
        <v>10.55612</v>
      </c>
      <c r="W61" s="34">
        <v>45464</v>
      </c>
      <c r="X61" s="35">
        <v>10.55612</v>
      </c>
      <c r="Y61" s="34">
        <v>45463</v>
      </c>
      <c r="Z61" s="35">
        <v>10.631919999999999</v>
      </c>
      <c r="AA61" s="34">
        <v>45468</v>
      </c>
      <c r="AB61" s="35">
        <v>11.309799999999999</v>
      </c>
      <c r="AC61" s="34">
        <v>45469</v>
      </c>
      <c r="AD61" s="35">
        <v>11.199350000000001</v>
      </c>
      <c r="AE61" s="34">
        <v>45470</v>
      </c>
      <c r="AF61" s="35">
        <v>11.14861</v>
      </c>
      <c r="AG61" s="34">
        <v>45471</v>
      </c>
      <c r="AH61" s="35">
        <v>11.16344</v>
      </c>
      <c r="AI61" s="36">
        <v>7.1397445273452709E-2</v>
      </c>
      <c r="AK61" s="34">
        <v>45460</v>
      </c>
      <c r="AL61" s="35">
        <v>10.47786</v>
      </c>
      <c r="AM61" s="34">
        <v>45474</v>
      </c>
      <c r="AN61" s="5">
        <v>11.08478</v>
      </c>
      <c r="AP61" s="36">
        <v>5.792404174134802E-2</v>
      </c>
      <c r="AS61" s="5" t="s">
        <v>12387</v>
      </c>
      <c r="AT61" s="5">
        <v>30.98</v>
      </c>
      <c r="AU61" s="5">
        <v>100</v>
      </c>
      <c r="AV61" s="5" t="s">
        <v>12400</v>
      </c>
      <c r="AW61" s="5" t="s">
        <v>12400</v>
      </c>
      <c r="AX61" s="5" t="s">
        <v>12400</v>
      </c>
      <c r="AZ61" s="49" t="s">
        <v>12414</v>
      </c>
      <c r="BA61" s="50" t="s">
        <v>12414</v>
      </c>
      <c r="BC61" s="51">
        <v>1.28061</v>
      </c>
      <c r="BR61" s="26">
        <v>0</v>
      </c>
    </row>
    <row r="62" spans="1:70" ht="15" customHeight="1" x14ac:dyDescent="0.4">
      <c r="A62" s="27" t="s">
        <v>11026</v>
      </c>
      <c r="B62" s="44" t="s">
        <v>11971</v>
      </c>
      <c r="C62" s="45" t="s">
        <v>11472</v>
      </c>
      <c r="D62" s="46">
        <v>407.54</v>
      </c>
      <c r="E62" s="45" t="s">
        <v>12357</v>
      </c>
      <c r="F62" s="45"/>
      <c r="G62" s="9">
        <v>1127.09871</v>
      </c>
      <c r="H62" s="9">
        <v>1071.8772899999999</v>
      </c>
      <c r="I62" s="9">
        <v>13.385999999999999</v>
      </c>
      <c r="J62" s="9">
        <v>10621.55263</v>
      </c>
      <c r="K62" s="9">
        <v>10621.55263</v>
      </c>
      <c r="L62" s="9">
        <v>1494.3863200000001</v>
      </c>
      <c r="M62" s="9">
        <v>212.85199</v>
      </c>
      <c r="N62" s="10" t="s">
        <v>12472</v>
      </c>
      <c r="P62" s="32">
        <v>45467</v>
      </c>
      <c r="R62" s="35">
        <v>6.1323800000000004</v>
      </c>
      <c r="S62" s="34">
        <v>45466</v>
      </c>
      <c r="T62" s="35">
        <v>6.0811999999999999</v>
      </c>
      <c r="U62" s="34">
        <v>45465</v>
      </c>
      <c r="V62" s="35">
        <v>6.0811999999999999</v>
      </c>
      <c r="W62" s="34">
        <v>45464</v>
      </c>
      <c r="X62" s="35">
        <v>6.0811999999999999</v>
      </c>
      <c r="Y62" s="34">
        <v>45463</v>
      </c>
      <c r="Z62" s="35">
        <v>6.3202600000000002</v>
      </c>
      <c r="AA62" s="34">
        <v>45468</v>
      </c>
      <c r="AB62" s="35">
        <v>6.17767</v>
      </c>
      <c r="AC62" s="34">
        <v>45469</v>
      </c>
      <c r="AD62" s="35">
        <v>6.1958900000000003</v>
      </c>
      <c r="AE62" s="34">
        <v>45470</v>
      </c>
      <c r="AF62" s="35">
        <v>6.38225</v>
      </c>
      <c r="AG62" s="34">
        <v>45471</v>
      </c>
      <c r="AH62" s="35">
        <v>6.2639100000000001</v>
      </c>
      <c r="AI62" s="36">
        <v>1.5863645333157983E-2</v>
      </c>
      <c r="AK62" s="34">
        <v>45460</v>
      </c>
      <c r="AL62" s="35">
        <v>6.4054500000000001</v>
      </c>
      <c r="AM62" s="34">
        <v>45474</v>
      </c>
      <c r="AN62" s="5">
        <v>6.2944699999999996</v>
      </c>
      <c r="AP62" s="36">
        <v>-1.7325870938029397E-2</v>
      </c>
      <c r="AS62" s="5" t="s">
        <v>721</v>
      </c>
      <c r="AT62" s="5" t="s">
        <v>12400</v>
      </c>
      <c r="AU62" s="5" t="s">
        <v>12400</v>
      </c>
      <c r="AV62" s="5" t="s">
        <v>12400</v>
      </c>
      <c r="AW62" s="5" t="s">
        <v>12400</v>
      </c>
      <c r="AX62" s="5">
        <v>100</v>
      </c>
      <c r="AZ62" s="49" t="s">
        <v>12417</v>
      </c>
      <c r="BA62" s="50" t="s">
        <v>12419</v>
      </c>
      <c r="BC62" s="51">
        <v>9.5499999999999995E-3</v>
      </c>
      <c r="BR62" s="26">
        <v>0</v>
      </c>
    </row>
    <row r="63" spans="1:70" ht="15" customHeight="1" x14ac:dyDescent="0.4">
      <c r="A63" s="27" t="s">
        <v>11027</v>
      </c>
      <c r="B63" s="44" t="s">
        <v>11972</v>
      </c>
      <c r="C63" s="45" t="s">
        <v>11473</v>
      </c>
      <c r="D63" s="46">
        <v>6.58</v>
      </c>
      <c r="E63" s="45" t="s">
        <v>12357</v>
      </c>
      <c r="F63" s="45"/>
      <c r="G63" s="9">
        <v>26.352609999999999</v>
      </c>
      <c r="H63" s="9">
        <v>8.4862000000000002</v>
      </c>
      <c r="I63" s="9">
        <v>45.137300000000003</v>
      </c>
      <c r="J63" s="9">
        <v>25.1768</v>
      </c>
      <c r="K63" s="9">
        <v>25.1768</v>
      </c>
      <c r="L63" s="9">
        <v>0.80166000000000004</v>
      </c>
      <c r="M63" s="9">
        <v>2.2429899999999998</v>
      </c>
      <c r="N63" s="10" t="s">
        <v>12468</v>
      </c>
      <c r="P63" s="32">
        <v>45467</v>
      </c>
      <c r="R63" s="35">
        <v>2.4363800000000002</v>
      </c>
      <c r="S63" s="34">
        <v>45466</v>
      </c>
      <c r="T63" s="35">
        <v>2.5139800000000001</v>
      </c>
      <c r="U63" s="34">
        <v>45465</v>
      </c>
      <c r="V63" s="35">
        <v>2.5139800000000001</v>
      </c>
      <c r="W63" s="34">
        <v>45464</v>
      </c>
      <c r="X63" s="35">
        <v>2.5139800000000001</v>
      </c>
      <c r="Y63" s="34">
        <v>45463</v>
      </c>
      <c r="Z63" s="35">
        <v>2.5320100000000001</v>
      </c>
      <c r="AA63" s="34">
        <v>45468</v>
      </c>
      <c r="AB63" s="35">
        <v>2.41934</v>
      </c>
      <c r="AC63" s="34">
        <v>45469</v>
      </c>
      <c r="AD63" s="35">
        <v>2.65008</v>
      </c>
      <c r="AE63" s="34">
        <v>45470</v>
      </c>
      <c r="AF63" s="35">
        <v>2.6212200000000001</v>
      </c>
      <c r="AG63" s="34">
        <v>45471</v>
      </c>
      <c r="AH63" s="35">
        <v>2.5615800000000002</v>
      </c>
      <c r="AI63" s="36">
        <v>-3.7645486439828457E-2</v>
      </c>
      <c r="AK63" s="34">
        <v>45460</v>
      </c>
      <c r="AL63" s="35">
        <v>2.56745</v>
      </c>
      <c r="AM63" s="34">
        <v>45474</v>
      </c>
      <c r="AN63" s="5">
        <v>2.59449</v>
      </c>
      <c r="AP63" s="36">
        <v>1.053185066895157E-2</v>
      </c>
      <c r="AS63" s="5" t="s">
        <v>12388</v>
      </c>
      <c r="AT63" s="5">
        <v>1.65</v>
      </c>
      <c r="AU63" s="5">
        <v>33.33</v>
      </c>
      <c r="AV63" s="5" t="s">
        <v>12400</v>
      </c>
      <c r="AW63" s="5" t="s">
        <v>12400</v>
      </c>
      <c r="AX63" s="5">
        <v>66.67</v>
      </c>
      <c r="AZ63" s="49" t="s">
        <v>12415</v>
      </c>
      <c r="BA63" s="50" t="s">
        <v>12415</v>
      </c>
      <c r="BC63" s="51">
        <v>1.3789</v>
      </c>
      <c r="BR63" s="26">
        <v>0</v>
      </c>
    </row>
    <row r="64" spans="1:70" ht="15" customHeight="1" x14ac:dyDescent="0.4">
      <c r="A64" s="27" t="s">
        <v>11028</v>
      </c>
      <c r="B64" s="44" t="s">
        <v>11973</v>
      </c>
      <c r="C64" s="45" t="s">
        <v>11474</v>
      </c>
      <c r="D64" s="46">
        <v>4.2699999999999996</v>
      </c>
      <c r="E64" s="45" t="s">
        <v>12357</v>
      </c>
      <c r="F64" s="45"/>
      <c r="G64" s="9">
        <v>33.054589999999997</v>
      </c>
      <c r="H64" s="9">
        <v>95.003870000000006</v>
      </c>
      <c r="I64" s="9">
        <v>83.674800000000005</v>
      </c>
      <c r="J64" s="9">
        <v>2100.7693199999999</v>
      </c>
      <c r="K64" s="9">
        <v>2100.7693199999999</v>
      </c>
      <c r="L64" s="9">
        <v>262.77882</v>
      </c>
      <c r="M64" s="9">
        <v>765.56759</v>
      </c>
      <c r="N64" s="10" t="s">
        <v>12475</v>
      </c>
      <c r="P64" s="32">
        <v>45467</v>
      </c>
      <c r="R64" s="35">
        <v>9.8809100000000001</v>
      </c>
      <c r="S64" s="34">
        <v>45466</v>
      </c>
      <c r="T64" s="35">
        <v>10.149570000000001</v>
      </c>
      <c r="U64" s="34">
        <v>45465</v>
      </c>
      <c r="V64" s="35">
        <v>10.149570000000001</v>
      </c>
      <c r="W64" s="34">
        <v>45464</v>
      </c>
      <c r="X64" s="35">
        <v>10.149570000000001</v>
      </c>
      <c r="Y64" s="34">
        <v>45463</v>
      </c>
      <c r="Z64" s="35">
        <v>10.597939999999999</v>
      </c>
      <c r="AA64" s="34">
        <v>45468</v>
      </c>
      <c r="AB64" s="35">
        <v>9.7613199999999996</v>
      </c>
      <c r="AC64" s="34">
        <v>45469</v>
      </c>
      <c r="AD64" s="35">
        <v>9.5695800000000002</v>
      </c>
      <c r="AE64" s="34">
        <v>45470</v>
      </c>
      <c r="AF64" s="35">
        <v>9.5278899999999993</v>
      </c>
      <c r="AG64" s="34">
        <v>45471</v>
      </c>
      <c r="AH64" s="35">
        <v>9.3753299999999999</v>
      </c>
      <c r="AI64" s="36">
        <v>-3.8252852091270939E-2</v>
      </c>
      <c r="AK64" s="34">
        <v>45460</v>
      </c>
      <c r="AL64" s="35">
        <v>10.62621</v>
      </c>
      <c r="AM64" s="34">
        <v>45474</v>
      </c>
      <c r="AN64" s="5">
        <v>9.4359900000000003</v>
      </c>
      <c r="AP64" s="36">
        <v>-0.11200795015344134</v>
      </c>
      <c r="AS64" s="5" t="s">
        <v>12387</v>
      </c>
      <c r="AT64" s="5">
        <v>4.2699999999999996</v>
      </c>
      <c r="AU64" s="5">
        <v>100</v>
      </c>
      <c r="AV64" s="5" t="s">
        <v>12400</v>
      </c>
      <c r="AW64" s="5" t="s">
        <v>12400</v>
      </c>
      <c r="AX64" s="5" t="s">
        <v>12400</v>
      </c>
      <c r="AZ64" s="49" t="s">
        <v>12406</v>
      </c>
      <c r="BA64" s="50" t="s">
        <v>12406</v>
      </c>
      <c r="BC64" s="51">
        <v>0.83116999999999996</v>
      </c>
      <c r="BR64" s="26">
        <v>0</v>
      </c>
    </row>
    <row r="65" spans="1:70" ht="15" customHeight="1" x14ac:dyDescent="0.4">
      <c r="A65" s="27" t="s">
        <v>11029</v>
      </c>
      <c r="B65" s="44" t="s">
        <v>11974</v>
      </c>
      <c r="C65" s="45" t="s">
        <v>11475</v>
      </c>
      <c r="D65" s="46">
        <v>205.13</v>
      </c>
      <c r="E65" s="45" t="s">
        <v>12357</v>
      </c>
      <c r="F65" s="45"/>
      <c r="G65" s="9">
        <v>53.632930000000002</v>
      </c>
      <c r="H65" s="9">
        <v>547.14269999999999</v>
      </c>
      <c r="I65" s="9">
        <v>19.283200000000001</v>
      </c>
      <c r="J65" s="9">
        <v>3983.6409899999999</v>
      </c>
      <c r="K65" s="9">
        <v>3983.6409899999999</v>
      </c>
      <c r="L65" s="9">
        <v>981.54084</v>
      </c>
      <c r="M65" s="9">
        <v>-752.73571000000004</v>
      </c>
      <c r="N65" s="10" t="s">
        <v>12467</v>
      </c>
      <c r="P65" s="32">
        <v>45464</v>
      </c>
      <c r="R65" s="35">
        <v>84.219809999999995</v>
      </c>
      <c r="S65" s="34">
        <v>45463</v>
      </c>
      <c r="T65" s="35">
        <v>81.607200000000006</v>
      </c>
      <c r="U65" s="34">
        <v>45462</v>
      </c>
      <c r="V65" s="35">
        <v>81.096339999999998</v>
      </c>
      <c r="W65" s="34">
        <v>45461</v>
      </c>
      <c r="X65" s="35">
        <v>80.602450000000005</v>
      </c>
      <c r="Y65" s="34">
        <v>45460</v>
      </c>
      <c r="Z65" s="35">
        <v>80.200879999999998</v>
      </c>
      <c r="AA65" s="34">
        <v>45465</v>
      </c>
      <c r="AB65" s="35">
        <v>84.219809999999995</v>
      </c>
      <c r="AC65" s="34">
        <v>45466</v>
      </c>
      <c r="AD65" s="35">
        <v>84.219809999999995</v>
      </c>
      <c r="AE65" s="34">
        <v>45467</v>
      </c>
      <c r="AF65" s="35">
        <v>86.585440000000006</v>
      </c>
      <c r="AG65" s="34">
        <v>45468</v>
      </c>
      <c r="AH65" s="35">
        <v>85.612870000000001</v>
      </c>
      <c r="AI65" s="36">
        <v>3.2014454606946297E-2</v>
      </c>
      <c r="AK65" s="34">
        <v>45457</v>
      </c>
      <c r="AL65" s="35">
        <v>80.235069999999993</v>
      </c>
      <c r="AM65" s="34">
        <v>45471</v>
      </c>
      <c r="AN65" s="5">
        <v>87.569069999999996</v>
      </c>
      <c r="AP65" s="36">
        <v>9.1406413679205434E-2</v>
      </c>
      <c r="AS65" s="5" t="s">
        <v>12387</v>
      </c>
      <c r="AT65" s="5" t="s">
        <v>12400</v>
      </c>
      <c r="AU65" s="5" t="s">
        <v>12400</v>
      </c>
      <c r="AV65" s="5" t="s">
        <v>12400</v>
      </c>
      <c r="AW65" s="5" t="s">
        <v>12400</v>
      </c>
      <c r="AX65" s="5" t="s">
        <v>12400</v>
      </c>
      <c r="AZ65" s="49" t="s">
        <v>12414</v>
      </c>
      <c r="BA65" s="50" t="s">
        <v>12429</v>
      </c>
      <c r="BC65" s="51">
        <v>0.74280999999999997</v>
      </c>
      <c r="BR65" s="26">
        <v>0</v>
      </c>
    </row>
    <row r="66" spans="1:70" ht="15" customHeight="1" x14ac:dyDescent="0.4">
      <c r="A66" s="27" t="s">
        <v>11030</v>
      </c>
      <c r="B66" s="44" t="s">
        <v>11975</v>
      </c>
      <c r="C66" s="45" t="s">
        <v>11476</v>
      </c>
      <c r="D66" s="46">
        <v>11.98</v>
      </c>
      <c r="E66" s="45" t="s">
        <v>12359</v>
      </c>
      <c r="F66" s="45"/>
      <c r="G66" s="9">
        <v>0</v>
      </c>
      <c r="H66" s="9">
        <v>0</v>
      </c>
      <c r="I66" s="9">
        <v>0</v>
      </c>
      <c r="J66" s="9">
        <v>0</v>
      </c>
      <c r="K66" s="9">
        <v>0</v>
      </c>
      <c r="L66" s="9">
        <v>0</v>
      </c>
      <c r="M66" s="9">
        <v>0</v>
      </c>
      <c r="N66" s="10" t="s">
        <v>12466</v>
      </c>
      <c r="P66" s="32">
        <v>45464</v>
      </c>
      <c r="R66" s="35">
        <v>0</v>
      </c>
      <c r="S66" s="34">
        <v>45463</v>
      </c>
      <c r="T66" s="35">
        <v>0</v>
      </c>
      <c r="U66" s="34">
        <v>45462</v>
      </c>
      <c r="V66" s="35">
        <v>0</v>
      </c>
      <c r="W66" s="34">
        <v>45461</v>
      </c>
      <c r="X66" s="35">
        <v>0</v>
      </c>
      <c r="Y66" s="34">
        <v>45460</v>
      </c>
      <c r="Z66" s="35">
        <v>0</v>
      </c>
      <c r="AA66" s="34">
        <v>45465</v>
      </c>
      <c r="AB66" s="35">
        <v>0</v>
      </c>
      <c r="AC66" s="34">
        <v>45466</v>
      </c>
      <c r="AD66" s="35">
        <v>0</v>
      </c>
      <c r="AE66" s="34">
        <v>45467</v>
      </c>
      <c r="AF66" s="35">
        <v>0</v>
      </c>
      <c r="AG66" s="34">
        <v>45468</v>
      </c>
      <c r="AH66" s="35">
        <v>0</v>
      </c>
      <c r="AI66" s="36" t="s">
        <v>318</v>
      </c>
      <c r="AK66" s="34">
        <v>45457</v>
      </c>
      <c r="AL66" s="35">
        <v>0</v>
      </c>
      <c r="AM66" s="34">
        <v>45471</v>
      </c>
      <c r="AN66" s="5">
        <v>0</v>
      </c>
      <c r="AP66" s="36" t="s">
        <v>318</v>
      </c>
      <c r="AS66" s="5" t="s">
        <v>12392</v>
      </c>
      <c r="AT66" s="5" t="s">
        <v>12400</v>
      </c>
      <c r="AU66" s="5" t="s">
        <v>12400</v>
      </c>
      <c r="AV66" s="5" t="s">
        <v>12400</v>
      </c>
      <c r="AW66" s="5" t="s">
        <v>12400</v>
      </c>
      <c r="AX66" s="5">
        <v>100</v>
      </c>
      <c r="AZ66" s="49" t="s">
        <v>12415</v>
      </c>
      <c r="BA66" s="50" t="s">
        <v>12415</v>
      </c>
      <c r="BC66" s="51">
        <v>0</v>
      </c>
      <c r="BR66" s="26">
        <v>0</v>
      </c>
    </row>
    <row r="67" spans="1:70" ht="15" customHeight="1" x14ac:dyDescent="0.4">
      <c r="A67" s="27" t="s">
        <v>11031</v>
      </c>
      <c r="B67" s="44" t="s">
        <v>11976</v>
      </c>
      <c r="C67" s="45" t="s">
        <v>11477</v>
      </c>
      <c r="D67" s="46">
        <v>29.91</v>
      </c>
      <c r="E67" s="45" t="s">
        <v>12357</v>
      </c>
      <c r="F67" s="45"/>
      <c r="G67" s="9">
        <v>41.351140000000001</v>
      </c>
      <c r="H67" s="9">
        <v>23.963899999999999</v>
      </c>
      <c r="I67" s="9">
        <v>5.7503000000000002</v>
      </c>
      <c r="J67" s="9">
        <v>249.23737</v>
      </c>
      <c r="K67" s="9">
        <v>249.23737</v>
      </c>
      <c r="L67" s="9">
        <v>83.540239999999997</v>
      </c>
      <c r="M67" s="9">
        <v>-15.096270000000001</v>
      </c>
      <c r="N67" s="10" t="s">
        <v>12474</v>
      </c>
      <c r="P67" s="32">
        <v>45464</v>
      </c>
      <c r="R67" s="35">
        <v>8.1356400000000004</v>
      </c>
      <c r="S67" s="34">
        <v>45463</v>
      </c>
      <c r="T67" s="35">
        <v>8.2740500000000008</v>
      </c>
      <c r="U67" s="34">
        <v>45462</v>
      </c>
      <c r="V67" s="35">
        <v>8.0805500000000006</v>
      </c>
      <c r="W67" s="34">
        <v>45461</v>
      </c>
      <c r="X67" s="35">
        <v>8.0869400000000002</v>
      </c>
      <c r="Y67" s="34">
        <v>45460</v>
      </c>
      <c r="Z67" s="35">
        <v>8.0662500000000001</v>
      </c>
      <c r="AA67" s="34">
        <v>45465</v>
      </c>
      <c r="AB67" s="35">
        <v>8.1356400000000004</v>
      </c>
      <c r="AC67" s="34">
        <v>45466</v>
      </c>
      <c r="AD67" s="35">
        <v>8.1356400000000004</v>
      </c>
      <c r="AE67" s="34">
        <v>45467</v>
      </c>
      <c r="AF67" s="35">
        <v>8.2720199999999995</v>
      </c>
      <c r="AG67" s="34">
        <v>45468</v>
      </c>
      <c r="AH67" s="35">
        <v>8.4824800000000007</v>
      </c>
      <c r="AI67" s="36">
        <v>-1.6728204446431971E-2</v>
      </c>
      <c r="AK67" s="34">
        <v>45457</v>
      </c>
      <c r="AL67" s="35">
        <v>8.1984399999999997</v>
      </c>
      <c r="AM67" s="34">
        <v>45471</v>
      </c>
      <c r="AN67" s="5">
        <v>8.3858599999999992</v>
      </c>
      <c r="AP67" s="36">
        <v>2.2860446621552288E-2</v>
      </c>
      <c r="AS67" s="5" t="s">
        <v>12387</v>
      </c>
      <c r="AT67" s="5">
        <v>29.91</v>
      </c>
      <c r="AU67" s="5">
        <v>100</v>
      </c>
      <c r="AV67" s="5" t="s">
        <v>12400</v>
      </c>
      <c r="AW67" s="5" t="s">
        <v>12400</v>
      </c>
      <c r="AX67" s="5" t="s">
        <v>12400</v>
      </c>
      <c r="AZ67" s="49" t="s">
        <v>12420</v>
      </c>
      <c r="BA67" s="50" t="s">
        <v>12406</v>
      </c>
      <c r="BC67" s="51">
        <v>4.1730000000000003E-2</v>
      </c>
      <c r="BR67" s="26">
        <v>0</v>
      </c>
    </row>
    <row r="68" spans="1:70" ht="15" customHeight="1" x14ac:dyDescent="0.4">
      <c r="A68" s="27" t="s">
        <v>11032</v>
      </c>
      <c r="B68" s="44" t="s">
        <v>11977</v>
      </c>
      <c r="C68" s="45" t="s">
        <v>11478</v>
      </c>
      <c r="D68" s="46">
        <v>48.34</v>
      </c>
      <c r="E68" s="45" t="s">
        <v>12357</v>
      </c>
      <c r="F68" s="45"/>
      <c r="G68" s="9">
        <v>45.722380000000001</v>
      </c>
      <c r="H68" s="9">
        <v>99.219629999999995</v>
      </c>
      <c r="I68" s="9">
        <v>22.680399999999999</v>
      </c>
      <c r="J68" s="9">
        <v>1131.0069599999999</v>
      </c>
      <c r="K68" s="9">
        <v>1131.0069599999999</v>
      </c>
      <c r="L68" s="9">
        <v>178.70895999999999</v>
      </c>
      <c r="M68" s="9">
        <v>120.23985999999999</v>
      </c>
      <c r="N68" s="10" t="s">
        <v>12467</v>
      </c>
      <c r="P68" s="32">
        <v>45464</v>
      </c>
      <c r="R68" s="35">
        <v>18.034189999999999</v>
      </c>
      <c r="S68" s="34">
        <v>45463</v>
      </c>
      <c r="T68" s="35">
        <v>18.420490000000001</v>
      </c>
      <c r="U68" s="34">
        <v>45462</v>
      </c>
      <c r="V68" s="35">
        <v>17.884</v>
      </c>
      <c r="W68" s="34">
        <v>45461</v>
      </c>
      <c r="X68" s="35">
        <v>17.592099999999999</v>
      </c>
      <c r="Y68" s="34">
        <v>45460</v>
      </c>
      <c r="Z68" s="35">
        <v>17.467300000000002</v>
      </c>
      <c r="AA68" s="34">
        <v>45465</v>
      </c>
      <c r="AB68" s="35">
        <v>18.034189999999999</v>
      </c>
      <c r="AC68" s="34">
        <v>45466</v>
      </c>
      <c r="AD68" s="35">
        <v>18.034189999999999</v>
      </c>
      <c r="AE68" s="34">
        <v>45467</v>
      </c>
      <c r="AF68" s="35">
        <v>18.410039999999999</v>
      </c>
      <c r="AG68" s="34">
        <v>45468</v>
      </c>
      <c r="AH68" s="35">
        <v>17.86364</v>
      </c>
      <c r="AI68" s="36">
        <v>-2.0971211949302182E-2</v>
      </c>
      <c r="AK68" s="34">
        <v>45457</v>
      </c>
      <c r="AL68" s="35">
        <v>17.74521</v>
      </c>
      <c r="AM68" s="34">
        <v>45471</v>
      </c>
      <c r="AN68" s="5">
        <v>17.293469999999999</v>
      </c>
      <c r="AP68" s="36">
        <v>-2.5457010652452206E-2</v>
      </c>
      <c r="AS68" s="5" t="s">
        <v>12387</v>
      </c>
      <c r="AT68" s="5">
        <v>30.44</v>
      </c>
      <c r="AU68" s="5">
        <v>100</v>
      </c>
      <c r="AV68" s="5" t="s">
        <v>12400</v>
      </c>
      <c r="AW68" s="5" t="s">
        <v>12400</v>
      </c>
      <c r="AX68" s="5" t="s">
        <v>12400</v>
      </c>
      <c r="AZ68" s="49" t="s">
        <v>12416</v>
      </c>
      <c r="BA68" s="50" t="s">
        <v>12416</v>
      </c>
      <c r="BC68" s="51">
        <v>1.2674399999999999</v>
      </c>
      <c r="BR68" s="26">
        <v>0</v>
      </c>
    </row>
    <row r="69" spans="1:70" ht="15" customHeight="1" x14ac:dyDescent="0.4">
      <c r="A69" s="27" t="s">
        <v>11032</v>
      </c>
      <c r="B69" s="44" t="s">
        <v>11977</v>
      </c>
      <c r="C69" s="45" t="s">
        <v>11479</v>
      </c>
      <c r="D69" s="46">
        <v>27.12</v>
      </c>
      <c r="E69" s="45" t="s">
        <v>12357</v>
      </c>
      <c r="F69" s="45"/>
      <c r="G69" s="9">
        <v>45.722380000000001</v>
      </c>
      <c r="H69" s="9">
        <v>99.219629999999995</v>
      </c>
      <c r="I69" s="9">
        <v>22.680399999999999</v>
      </c>
      <c r="J69" s="9">
        <v>1131.0069599999999</v>
      </c>
      <c r="K69" s="9">
        <v>1131.0069599999999</v>
      </c>
      <c r="L69" s="9">
        <v>178.70895999999999</v>
      </c>
      <c r="M69" s="9">
        <v>120.23985999999999</v>
      </c>
      <c r="N69" s="10" t="s">
        <v>12467</v>
      </c>
      <c r="P69" s="32">
        <v>45464</v>
      </c>
      <c r="R69" s="35">
        <v>18.034189999999999</v>
      </c>
      <c r="S69" s="34">
        <v>45463</v>
      </c>
      <c r="T69" s="35">
        <v>18.420490000000001</v>
      </c>
      <c r="U69" s="34">
        <v>45462</v>
      </c>
      <c r="V69" s="35">
        <v>17.884</v>
      </c>
      <c r="W69" s="34">
        <v>45461</v>
      </c>
      <c r="X69" s="35">
        <v>17.592099999999999</v>
      </c>
      <c r="Y69" s="34">
        <v>45460</v>
      </c>
      <c r="Z69" s="35">
        <v>17.467300000000002</v>
      </c>
      <c r="AA69" s="34">
        <v>45465</v>
      </c>
      <c r="AB69" s="35">
        <v>18.034189999999999</v>
      </c>
      <c r="AC69" s="34">
        <v>45466</v>
      </c>
      <c r="AD69" s="35">
        <v>18.034189999999999</v>
      </c>
      <c r="AE69" s="34">
        <v>45467</v>
      </c>
      <c r="AF69" s="35">
        <v>18.410039999999999</v>
      </c>
      <c r="AG69" s="34">
        <v>45468</v>
      </c>
      <c r="AH69" s="35">
        <v>17.86364</v>
      </c>
      <c r="AI69" s="36">
        <v>-2.0971211949302182E-2</v>
      </c>
      <c r="AK69" s="34">
        <v>45457</v>
      </c>
      <c r="AL69" s="35">
        <v>17.74521</v>
      </c>
      <c r="AM69" s="34">
        <v>45471</v>
      </c>
      <c r="AN69" s="5">
        <v>17.293469999999999</v>
      </c>
      <c r="AP69" s="36">
        <v>-2.5457010652452206E-2</v>
      </c>
      <c r="AS69" s="5" t="s">
        <v>12387</v>
      </c>
      <c r="AT69" s="5">
        <v>27.12</v>
      </c>
      <c r="AU69" s="5">
        <v>100</v>
      </c>
      <c r="AV69" s="5" t="s">
        <v>12400</v>
      </c>
      <c r="AW69" s="5" t="s">
        <v>12400</v>
      </c>
      <c r="AX69" s="5" t="s">
        <v>12400</v>
      </c>
      <c r="AZ69" s="49" t="s">
        <v>12416</v>
      </c>
      <c r="BA69" s="50" t="s">
        <v>12416</v>
      </c>
      <c r="BC69" s="51">
        <v>1.2674399999999999</v>
      </c>
      <c r="BR69" s="26">
        <v>0</v>
      </c>
    </row>
    <row r="70" spans="1:70" ht="15" customHeight="1" x14ac:dyDescent="0.4">
      <c r="A70" s="27" t="s">
        <v>11033</v>
      </c>
      <c r="B70" s="44" t="s">
        <v>11978</v>
      </c>
      <c r="C70" s="45" t="s">
        <v>11480</v>
      </c>
      <c r="D70" s="46">
        <v>4.63</v>
      </c>
      <c r="E70" s="45" t="s">
        <v>12357</v>
      </c>
      <c r="F70" s="45"/>
      <c r="G70" s="9">
        <v>19.396820000000002</v>
      </c>
      <c r="H70" s="9">
        <v>36.245359999999998</v>
      </c>
      <c r="I70" s="9">
        <v>13.5863</v>
      </c>
      <c r="J70" s="9">
        <v>293.97584999999998</v>
      </c>
      <c r="K70" s="9">
        <v>293.97584999999998</v>
      </c>
      <c r="L70" s="9">
        <v>52.931489999999997</v>
      </c>
      <c r="M70" s="9">
        <v>-8.2338299999999993</v>
      </c>
      <c r="N70" s="10" t="s">
        <v>12467</v>
      </c>
      <c r="P70" s="32">
        <v>45463</v>
      </c>
      <c r="R70" s="35">
        <v>29.237559999999998</v>
      </c>
      <c r="S70" s="34">
        <v>45462</v>
      </c>
      <c r="T70" s="35">
        <v>29.536770000000001</v>
      </c>
      <c r="U70" s="34">
        <v>45461</v>
      </c>
      <c r="V70" s="35">
        <v>29.85549</v>
      </c>
      <c r="W70" s="34">
        <v>45460</v>
      </c>
      <c r="X70" s="35">
        <v>28.8125</v>
      </c>
      <c r="Y70" s="34">
        <v>45459</v>
      </c>
      <c r="Z70" s="35">
        <v>29.140540000000001</v>
      </c>
      <c r="AA70" s="34">
        <v>45464</v>
      </c>
      <c r="AB70" s="35">
        <v>29.029340000000001</v>
      </c>
      <c r="AC70" s="34">
        <v>45465</v>
      </c>
      <c r="AD70" s="35">
        <v>29.029340000000001</v>
      </c>
      <c r="AE70" s="34">
        <v>45466</v>
      </c>
      <c r="AF70" s="35">
        <v>29.029340000000001</v>
      </c>
      <c r="AG70" s="34">
        <v>45467</v>
      </c>
      <c r="AH70" s="35">
        <v>29.427700000000002</v>
      </c>
      <c r="AI70" s="36">
        <v>-1.7179603592403669E-2</v>
      </c>
      <c r="AK70" s="34">
        <v>45456</v>
      </c>
      <c r="AL70" s="35">
        <v>29.586500000000001</v>
      </c>
      <c r="AM70" s="34">
        <v>45470</v>
      </c>
      <c r="AN70" s="5">
        <v>29.741710000000001</v>
      </c>
      <c r="AP70" s="36">
        <v>5.245973670424009E-3</v>
      </c>
      <c r="AS70" s="5" t="s">
        <v>12387</v>
      </c>
      <c r="AT70" s="5">
        <v>1.78</v>
      </c>
      <c r="AU70" s="5">
        <v>100</v>
      </c>
      <c r="AV70" s="5" t="s">
        <v>12400</v>
      </c>
      <c r="AW70" s="5" t="s">
        <v>12400</v>
      </c>
      <c r="AX70" s="5" t="s">
        <v>12400</v>
      </c>
      <c r="AZ70" s="49" t="s">
        <v>12409</v>
      </c>
      <c r="BA70" s="50" t="s">
        <v>12406</v>
      </c>
      <c r="BC70" s="51">
        <v>0.78620000000000001</v>
      </c>
      <c r="BR70" s="26">
        <v>0</v>
      </c>
    </row>
    <row r="71" spans="1:70" ht="15" customHeight="1" x14ac:dyDescent="0.4">
      <c r="A71" s="27" t="s">
        <v>11034</v>
      </c>
      <c r="B71" s="44" t="s">
        <v>11979</v>
      </c>
      <c r="C71" s="45" t="s">
        <v>11481</v>
      </c>
      <c r="D71" s="46">
        <v>1.78</v>
      </c>
      <c r="E71" s="45" t="s">
        <v>12357</v>
      </c>
      <c r="F71" s="45"/>
      <c r="G71" s="9">
        <v>1506.0638899999999</v>
      </c>
      <c r="H71" s="9">
        <v>-1.76241</v>
      </c>
      <c r="I71" s="9">
        <v>0</v>
      </c>
      <c r="J71" s="9">
        <v>51.613280000000003</v>
      </c>
      <c r="K71" s="9">
        <v>51.613280000000003</v>
      </c>
      <c r="L71" s="9">
        <v>0.25563999999999998</v>
      </c>
      <c r="M71" s="9">
        <v>-0.25563999999999998</v>
      </c>
      <c r="N71" s="10" t="s">
        <v>12466</v>
      </c>
      <c r="P71" s="32">
        <v>45463</v>
      </c>
      <c r="R71" s="35">
        <v>4.0600000000000002E-3</v>
      </c>
      <c r="S71" s="34">
        <v>45462</v>
      </c>
      <c r="T71" s="35">
        <v>4.5199999999999997E-3</v>
      </c>
      <c r="U71" s="34">
        <v>45461</v>
      </c>
      <c r="V71" s="35">
        <v>4.4999999999999997E-3</v>
      </c>
      <c r="W71" s="34">
        <v>45460</v>
      </c>
      <c r="X71" s="35">
        <v>4.4999999999999997E-3</v>
      </c>
      <c r="Y71" s="34">
        <v>45459</v>
      </c>
      <c r="Z71" s="35">
        <v>4.4999999999999997E-3</v>
      </c>
      <c r="AA71" s="34">
        <v>45464</v>
      </c>
      <c r="AB71" s="35">
        <v>3.79E-3</v>
      </c>
      <c r="AC71" s="34">
        <v>45465</v>
      </c>
      <c r="AD71" s="35">
        <v>3.79E-3</v>
      </c>
      <c r="AE71" s="34">
        <v>45466</v>
      </c>
      <c r="AF71" s="35">
        <v>3.79E-3</v>
      </c>
      <c r="AG71" s="34">
        <v>45467</v>
      </c>
      <c r="AH71" s="35">
        <v>3.7399999999999998E-3</v>
      </c>
      <c r="AI71" s="36">
        <v>-0.16150442477876104</v>
      </c>
      <c r="AK71" s="34">
        <v>45456</v>
      </c>
      <c r="AL71" s="35">
        <v>4.5300000000000002E-3</v>
      </c>
      <c r="AM71" s="34">
        <v>45470</v>
      </c>
      <c r="AN71" s="5">
        <v>3.79E-3</v>
      </c>
      <c r="AP71" s="36">
        <v>-0.16335540838852103</v>
      </c>
      <c r="AS71" s="5" t="s">
        <v>721</v>
      </c>
      <c r="AT71" s="5" t="s">
        <v>12400</v>
      </c>
      <c r="AU71" s="5" t="s">
        <v>12400</v>
      </c>
      <c r="AV71" s="5" t="s">
        <v>12400</v>
      </c>
      <c r="AW71" s="5" t="s">
        <v>12400</v>
      </c>
      <c r="AX71" s="5">
        <v>100</v>
      </c>
      <c r="AZ71" s="49" t="s">
        <v>12415</v>
      </c>
      <c r="BA71" s="50" t="s">
        <v>12415</v>
      </c>
      <c r="BC71" s="51">
        <v>1.0030399999999999</v>
      </c>
      <c r="BR71" s="26">
        <v>0</v>
      </c>
    </row>
    <row r="72" spans="1:70" ht="54.95" customHeight="1" x14ac:dyDescent="0.4">
      <c r="A72" s="27" t="s">
        <v>11035</v>
      </c>
      <c r="B72" s="44" t="s">
        <v>11980</v>
      </c>
      <c r="C72" s="45" t="s">
        <v>11482</v>
      </c>
      <c r="D72" s="46">
        <v>1879.42</v>
      </c>
      <c r="E72" s="45" t="s">
        <v>12357</v>
      </c>
      <c r="F72" s="45"/>
      <c r="G72" s="9">
        <v>396.15001999999998</v>
      </c>
      <c r="H72" s="9">
        <v>373.41663999999997</v>
      </c>
      <c r="I72" s="9">
        <v>17.3962</v>
      </c>
      <c r="J72" s="9">
        <v>2843.3358600000001</v>
      </c>
      <c r="K72" s="9">
        <v>2843.3358600000001</v>
      </c>
      <c r="L72" s="9">
        <v>477.14348999999999</v>
      </c>
      <c r="M72" s="9">
        <v>303.85863999999998</v>
      </c>
      <c r="N72" s="10" t="s">
        <v>12471</v>
      </c>
      <c r="P72" s="32">
        <v>45463</v>
      </c>
      <c r="R72" s="35">
        <v>7.8018999999999998</v>
      </c>
      <c r="S72" s="34">
        <v>45462</v>
      </c>
      <c r="T72" s="35">
        <v>8.6148799999999994</v>
      </c>
      <c r="U72" s="34">
        <v>45461</v>
      </c>
      <c r="V72" s="35">
        <v>8.6278000000000006</v>
      </c>
      <c r="W72" s="34">
        <v>45460</v>
      </c>
      <c r="X72" s="35">
        <v>8.5203799999999994</v>
      </c>
      <c r="Y72" s="34">
        <v>45459</v>
      </c>
      <c r="Z72" s="35">
        <v>8.5475499999999993</v>
      </c>
      <c r="AA72" s="34">
        <v>45464</v>
      </c>
      <c r="AB72" s="35">
        <v>7.8471200000000003</v>
      </c>
      <c r="AC72" s="34">
        <v>45465</v>
      </c>
      <c r="AD72" s="35">
        <v>7.8471200000000003</v>
      </c>
      <c r="AE72" s="34">
        <v>45466</v>
      </c>
      <c r="AF72" s="35">
        <v>7.8471200000000003</v>
      </c>
      <c r="AG72" s="34">
        <v>45467</v>
      </c>
      <c r="AH72" s="35">
        <v>8.0144699999999993</v>
      </c>
      <c r="AI72" s="36">
        <v>-8.9120219898593978E-2</v>
      </c>
      <c r="AK72" s="34">
        <v>45456</v>
      </c>
      <c r="AL72" s="35">
        <v>8.5922099999999997</v>
      </c>
      <c r="AM72" s="34">
        <v>45470</v>
      </c>
      <c r="AN72" s="5">
        <v>7.7386999999999997</v>
      </c>
      <c r="AP72" s="36">
        <v>-9.9335328163534187E-2</v>
      </c>
      <c r="AS72" s="5" t="s">
        <v>12388</v>
      </c>
      <c r="AT72" s="5">
        <v>1150</v>
      </c>
      <c r="AU72" s="5">
        <v>64.12</v>
      </c>
      <c r="AV72" s="5" t="s">
        <v>12400</v>
      </c>
      <c r="AW72" s="5" t="s">
        <v>12400</v>
      </c>
      <c r="AX72" s="5">
        <v>35.880000000000003</v>
      </c>
      <c r="AZ72" s="49" t="s">
        <v>12415</v>
      </c>
      <c r="BA72" s="50" t="s">
        <v>12414</v>
      </c>
      <c r="BC72" s="51">
        <v>0.32185999999999998</v>
      </c>
      <c r="BR72" s="26">
        <v>0</v>
      </c>
    </row>
    <row r="73" spans="1:70" ht="15" customHeight="1" x14ac:dyDescent="0.4">
      <c r="A73" s="27" t="s">
        <v>11036</v>
      </c>
      <c r="B73" s="44" t="s">
        <v>11981</v>
      </c>
      <c r="C73" s="45" t="s">
        <v>11483</v>
      </c>
      <c r="D73" s="46">
        <v>9.02</v>
      </c>
      <c r="E73" s="45" t="s">
        <v>12357</v>
      </c>
      <c r="F73" s="45"/>
      <c r="G73" s="9">
        <v>182.77288999999999</v>
      </c>
      <c r="H73" s="9">
        <v>770.77786000000003</v>
      </c>
      <c r="I73" s="9">
        <v>33.126399999999997</v>
      </c>
      <c r="J73" s="9">
        <v>3933.6979700000002</v>
      </c>
      <c r="K73" s="9">
        <v>3933.6979700000002</v>
      </c>
      <c r="L73" s="9">
        <v>232.61180999999999</v>
      </c>
      <c r="M73" s="9">
        <v>-1.2541899999999999</v>
      </c>
      <c r="N73" s="10" t="s">
        <v>12465</v>
      </c>
      <c r="P73" s="32">
        <v>45462</v>
      </c>
      <c r="R73" s="35">
        <v>25.132169999999999</v>
      </c>
      <c r="S73" s="34">
        <v>45461</v>
      </c>
      <c r="T73" s="35">
        <v>25.361719999999998</v>
      </c>
      <c r="U73" s="34">
        <v>45460</v>
      </c>
      <c r="V73" s="35">
        <v>25.204180000000001</v>
      </c>
      <c r="W73" s="34">
        <v>45459</v>
      </c>
      <c r="X73" s="35">
        <v>24.98724</v>
      </c>
      <c r="Y73" s="34">
        <v>45458</v>
      </c>
      <c r="Z73" s="35">
        <v>24.98724</v>
      </c>
      <c r="AA73" s="34">
        <v>45463</v>
      </c>
      <c r="AB73" s="35">
        <v>25.217469999999999</v>
      </c>
      <c r="AC73" s="34">
        <v>45464</v>
      </c>
      <c r="AD73" s="35">
        <v>25.047129999999999</v>
      </c>
      <c r="AE73" s="34">
        <v>45465</v>
      </c>
      <c r="AF73" s="35">
        <v>25.047129999999999</v>
      </c>
      <c r="AG73" s="34">
        <v>45466</v>
      </c>
      <c r="AH73" s="35">
        <v>25.047129999999999</v>
      </c>
      <c r="AI73" s="36">
        <v>-5.6877057234288042E-3</v>
      </c>
      <c r="AK73" s="34">
        <v>45455</v>
      </c>
      <c r="AL73" s="35">
        <v>25.402059999999999</v>
      </c>
      <c r="AM73" s="34">
        <v>45469</v>
      </c>
      <c r="AN73" s="5">
        <v>25.890180000000001</v>
      </c>
      <c r="AP73" s="36">
        <v>1.9215764390762002E-2</v>
      </c>
      <c r="AS73" s="5" t="s">
        <v>12387</v>
      </c>
      <c r="AT73" s="5">
        <v>5.59</v>
      </c>
      <c r="AU73" s="5">
        <v>100</v>
      </c>
      <c r="AV73" s="5" t="s">
        <v>12400</v>
      </c>
      <c r="AW73" s="5" t="s">
        <v>12400</v>
      </c>
      <c r="AX73" s="5" t="s">
        <v>12400</v>
      </c>
      <c r="AZ73" s="49" t="s">
        <v>12448</v>
      </c>
      <c r="BA73" s="50" t="s">
        <v>12410</v>
      </c>
      <c r="BC73" s="51">
        <v>0.23144999999999999</v>
      </c>
      <c r="BR73" s="26">
        <v>0</v>
      </c>
    </row>
    <row r="74" spans="1:70" ht="15" customHeight="1" x14ac:dyDescent="0.4">
      <c r="A74" s="27" t="s">
        <v>11025</v>
      </c>
      <c r="B74" s="44" t="s">
        <v>11970</v>
      </c>
      <c r="C74" s="45" t="s">
        <v>11484</v>
      </c>
      <c r="D74" s="46">
        <v>6.61</v>
      </c>
      <c r="E74" s="45" t="s">
        <v>12357</v>
      </c>
      <c r="F74" s="45"/>
      <c r="G74" s="9">
        <v>27.176100000000002</v>
      </c>
      <c r="H74" s="9">
        <v>52.660299999999999</v>
      </c>
      <c r="I74" s="9">
        <v>6.7496</v>
      </c>
      <c r="J74" s="9">
        <v>480.83852999999999</v>
      </c>
      <c r="K74" s="9">
        <v>480.83852999999999</v>
      </c>
      <c r="L74" s="9">
        <v>13.272589999999999</v>
      </c>
      <c r="M74" s="9">
        <v>77.366600000000005</v>
      </c>
      <c r="N74" s="10" t="s">
        <v>12467</v>
      </c>
      <c r="P74" s="32">
        <v>45461</v>
      </c>
      <c r="R74" s="35">
        <v>10.57907</v>
      </c>
      <c r="S74" s="34">
        <v>45460</v>
      </c>
      <c r="T74" s="35">
        <v>10.47786</v>
      </c>
      <c r="U74" s="34">
        <v>45459</v>
      </c>
      <c r="V74" s="35">
        <v>10.454219999999999</v>
      </c>
      <c r="W74" s="34">
        <v>45458</v>
      </c>
      <c r="X74" s="35">
        <v>10.454219999999999</v>
      </c>
      <c r="Y74" s="34">
        <v>45457</v>
      </c>
      <c r="Z74" s="35">
        <v>10.454219999999999</v>
      </c>
      <c r="AA74" s="34">
        <v>45462</v>
      </c>
      <c r="AB74" s="35">
        <v>10.44313</v>
      </c>
      <c r="AC74" s="34">
        <v>45463</v>
      </c>
      <c r="AD74" s="35">
        <v>10.631919999999999</v>
      </c>
      <c r="AE74" s="34">
        <v>45464</v>
      </c>
      <c r="AF74" s="35">
        <v>10.55612</v>
      </c>
      <c r="AG74" s="34">
        <v>45465</v>
      </c>
      <c r="AH74" s="35">
        <v>10.55612</v>
      </c>
      <c r="AI74" s="36">
        <v>-3.31460813563067E-3</v>
      </c>
      <c r="AK74" s="34">
        <v>45454</v>
      </c>
      <c r="AL74" s="35">
        <v>10.658899999999999</v>
      </c>
      <c r="AM74" s="34">
        <v>45468</v>
      </c>
      <c r="AN74" s="5">
        <v>11.309799999999999</v>
      </c>
      <c r="AP74" s="36">
        <v>6.1066338928031927E-2</v>
      </c>
      <c r="AS74" s="5" t="s">
        <v>12387</v>
      </c>
      <c r="AT74" s="5">
        <v>6.61</v>
      </c>
      <c r="AU74" s="5">
        <v>100</v>
      </c>
      <c r="AV74" s="5" t="s">
        <v>12400</v>
      </c>
      <c r="AW74" s="5" t="s">
        <v>12400</v>
      </c>
      <c r="AX74" s="5" t="s">
        <v>12400</v>
      </c>
      <c r="AZ74" s="49" t="s">
        <v>12414</v>
      </c>
      <c r="BA74" s="50" t="s">
        <v>12408</v>
      </c>
      <c r="BC74" s="51">
        <v>1.28061</v>
      </c>
      <c r="BR74" s="26">
        <v>0</v>
      </c>
    </row>
    <row r="75" spans="1:70" ht="15" customHeight="1" x14ac:dyDescent="0.4">
      <c r="A75" s="27" t="s">
        <v>11037</v>
      </c>
      <c r="B75" s="44" t="s">
        <v>11982</v>
      </c>
      <c r="C75" s="45" t="s">
        <v>11485</v>
      </c>
      <c r="D75" s="47">
        <v>0.5</v>
      </c>
      <c r="E75" s="45" t="s">
        <v>12357</v>
      </c>
      <c r="F75" s="45"/>
      <c r="G75" s="9">
        <v>4.5216700000000003</v>
      </c>
      <c r="H75" s="9">
        <v>-1.8210500000000001</v>
      </c>
      <c r="I75" s="9">
        <v>-184.31139999999999</v>
      </c>
      <c r="J75" s="9">
        <v>1.2240599999999999</v>
      </c>
      <c r="K75" s="9">
        <v>1.2240599999999999</v>
      </c>
      <c r="L75" s="9">
        <v>0.55018999999999996</v>
      </c>
      <c r="M75" s="9">
        <v>-0.54466999999999999</v>
      </c>
      <c r="N75" s="10" t="s">
        <v>12465</v>
      </c>
      <c r="P75" s="32">
        <v>45461</v>
      </c>
      <c r="R75" s="35">
        <v>0.21357999999999999</v>
      </c>
      <c r="S75" s="34">
        <v>45460</v>
      </c>
      <c r="T75" s="35">
        <v>0.19855</v>
      </c>
      <c r="U75" s="34">
        <v>45459</v>
      </c>
      <c r="V75" s="35">
        <v>0.19181000000000001</v>
      </c>
      <c r="W75" s="34">
        <v>45458</v>
      </c>
      <c r="X75" s="35">
        <v>0.19181000000000001</v>
      </c>
      <c r="Y75" s="34">
        <v>45457</v>
      </c>
      <c r="Z75" s="35">
        <v>0.19181000000000001</v>
      </c>
      <c r="AA75" s="34">
        <v>45462</v>
      </c>
      <c r="AB75" s="35">
        <v>0.23246</v>
      </c>
      <c r="AC75" s="34">
        <v>45463</v>
      </c>
      <c r="AD75" s="35">
        <v>0.24765999999999999</v>
      </c>
      <c r="AE75" s="34">
        <v>45464</v>
      </c>
      <c r="AF75" s="35">
        <v>0.24590000000000001</v>
      </c>
      <c r="AG75" s="34">
        <v>45465</v>
      </c>
      <c r="AH75" s="35">
        <v>0.24590000000000001</v>
      </c>
      <c r="AI75" s="36">
        <v>0.17078821455552751</v>
      </c>
      <c r="AK75" s="34">
        <v>45454</v>
      </c>
      <c r="AL75" s="35">
        <v>0.19764999999999999</v>
      </c>
      <c r="AM75" s="34">
        <v>45468</v>
      </c>
      <c r="AN75" s="5">
        <v>0.30115999999999998</v>
      </c>
      <c r="AP75" s="36">
        <v>0.52370351631672141</v>
      </c>
      <c r="AS75" s="5" t="s">
        <v>12389</v>
      </c>
      <c r="AT75" s="5">
        <v>0.3</v>
      </c>
      <c r="AU75" s="5">
        <v>60.04</v>
      </c>
      <c r="AV75" s="5" t="s">
        <v>12400</v>
      </c>
      <c r="AW75" s="5" t="s">
        <v>12400</v>
      </c>
      <c r="AX75" s="5">
        <v>39.96</v>
      </c>
      <c r="AZ75" s="49" t="s">
        <v>12409</v>
      </c>
      <c r="BA75" s="50" t="s">
        <v>12409</v>
      </c>
      <c r="BC75" s="51">
        <v>2.4588199999999998</v>
      </c>
      <c r="BR75" s="26">
        <v>0</v>
      </c>
    </row>
    <row r="76" spans="1:70" ht="15" customHeight="1" x14ac:dyDescent="0.4">
      <c r="A76" s="27" t="s">
        <v>11038</v>
      </c>
      <c r="B76" s="44" t="s">
        <v>11983</v>
      </c>
      <c r="C76" s="45" t="s">
        <v>11486</v>
      </c>
      <c r="D76" s="47">
        <v>0.50800000000000001</v>
      </c>
      <c r="E76" s="45" t="s">
        <v>12358</v>
      </c>
      <c r="F76" s="45"/>
      <c r="G76" s="9">
        <v>43.458069999999999</v>
      </c>
      <c r="H76" s="9">
        <v>35.543509999999998</v>
      </c>
      <c r="I76" s="9">
        <v>12.370699999999999</v>
      </c>
      <c r="J76" s="9">
        <v>221.70352</v>
      </c>
      <c r="K76" s="9">
        <v>221.70352</v>
      </c>
      <c r="L76" s="9">
        <v>41.431449999999998</v>
      </c>
      <c r="M76" s="9">
        <v>-41.431449999999998</v>
      </c>
      <c r="N76" s="10" t="s">
        <v>12466</v>
      </c>
      <c r="P76" s="32">
        <v>45460</v>
      </c>
      <c r="R76" s="35">
        <v>4.9612400000000001</v>
      </c>
      <c r="S76" s="34">
        <v>45459</v>
      </c>
      <c r="T76" s="35">
        <v>4.76837</v>
      </c>
      <c r="U76" s="34">
        <v>45458</v>
      </c>
      <c r="V76" s="35">
        <v>4.76837</v>
      </c>
      <c r="W76" s="34">
        <v>45457</v>
      </c>
      <c r="X76" s="35">
        <v>4.76837</v>
      </c>
      <c r="Y76" s="34">
        <v>45456</v>
      </c>
      <c r="Z76" s="35">
        <v>4.4651399999999999</v>
      </c>
      <c r="AA76" s="34">
        <v>45461</v>
      </c>
      <c r="AB76" s="35">
        <v>4.8467900000000004</v>
      </c>
      <c r="AC76" s="34">
        <v>45462</v>
      </c>
      <c r="AD76" s="35">
        <v>4.91188</v>
      </c>
      <c r="AE76" s="34">
        <v>45463</v>
      </c>
      <c r="AF76" s="35">
        <v>4.8548</v>
      </c>
      <c r="AG76" s="34">
        <v>45464</v>
      </c>
      <c r="AH76" s="35">
        <v>4.7979200000000004</v>
      </c>
      <c r="AI76" s="36">
        <v>1.6445871440345483E-2</v>
      </c>
      <c r="AK76" s="34">
        <v>45453</v>
      </c>
      <c r="AL76" s="35">
        <v>4.8864299999999998</v>
      </c>
      <c r="AM76" s="34">
        <v>45467</v>
      </c>
      <c r="AN76" s="5">
        <v>4.5434400000000004</v>
      </c>
      <c r="AP76" s="36">
        <v>-7.0192349015538835E-2</v>
      </c>
      <c r="AS76" s="5" t="s">
        <v>12387</v>
      </c>
      <c r="AT76" s="5">
        <v>0.50800000000000001</v>
      </c>
      <c r="AU76" s="5">
        <v>100</v>
      </c>
      <c r="AV76" s="5" t="s">
        <v>12400</v>
      </c>
      <c r="AW76" s="5" t="s">
        <v>12400</v>
      </c>
      <c r="AX76" s="5" t="s">
        <v>12400</v>
      </c>
      <c r="AZ76" s="49" t="s">
        <v>12415</v>
      </c>
      <c r="BA76" s="50" t="s">
        <v>12415</v>
      </c>
      <c r="BC76" s="51">
        <v>0.30462</v>
      </c>
      <c r="BR76" s="26">
        <v>0</v>
      </c>
    </row>
    <row r="77" spans="1:70" ht="15" customHeight="1" x14ac:dyDescent="0.4">
      <c r="A77" s="27" t="s">
        <v>11039</v>
      </c>
      <c r="B77" s="44" t="s">
        <v>11984</v>
      </c>
      <c r="C77" s="45" t="s">
        <v>11487</v>
      </c>
      <c r="D77" s="46">
        <v>3.43</v>
      </c>
      <c r="E77" s="45" t="s">
        <v>12357</v>
      </c>
      <c r="F77" s="45"/>
      <c r="G77" s="9">
        <v>134.40652</v>
      </c>
      <c r="H77" s="9">
        <v>42.531230000000001</v>
      </c>
      <c r="I77" s="9">
        <v>43.418599999999998</v>
      </c>
      <c r="J77" s="9">
        <v>301.35514999999998</v>
      </c>
      <c r="K77" s="9">
        <v>301.35514999999998</v>
      </c>
      <c r="L77" s="9">
        <v>17.118379999999998</v>
      </c>
      <c r="M77" s="9">
        <v>72.5047</v>
      </c>
      <c r="N77" s="10" t="s">
        <v>12474</v>
      </c>
      <c r="P77" s="32">
        <v>45460</v>
      </c>
      <c r="R77" s="35">
        <v>2.7814000000000001</v>
      </c>
      <c r="S77" s="34">
        <v>45459</v>
      </c>
      <c r="T77" s="35">
        <v>2.7811699999999999</v>
      </c>
      <c r="U77" s="34">
        <v>45458</v>
      </c>
      <c r="V77" s="35">
        <v>2.7811699999999999</v>
      </c>
      <c r="W77" s="34">
        <v>45457</v>
      </c>
      <c r="X77" s="35">
        <v>2.7811699999999999</v>
      </c>
      <c r="Y77" s="34">
        <v>45456</v>
      </c>
      <c r="Z77" s="35">
        <v>2.9157000000000002</v>
      </c>
      <c r="AA77" s="34">
        <v>45461</v>
      </c>
      <c r="AB77" s="35">
        <v>2.7176100000000001</v>
      </c>
      <c r="AC77" s="34">
        <v>45462</v>
      </c>
      <c r="AD77" s="35">
        <v>2.7043400000000002</v>
      </c>
      <c r="AE77" s="34">
        <v>45463</v>
      </c>
      <c r="AF77" s="35">
        <v>2.7183299999999999</v>
      </c>
      <c r="AG77" s="34">
        <v>45464</v>
      </c>
      <c r="AH77" s="35">
        <v>2.6989700000000001</v>
      </c>
      <c r="AI77" s="36">
        <v>-2.2853691072462268E-2</v>
      </c>
      <c r="AK77" s="34">
        <v>45453</v>
      </c>
      <c r="AL77" s="35">
        <v>3.0176500000000002</v>
      </c>
      <c r="AM77" s="34">
        <v>45467</v>
      </c>
      <c r="AN77" s="5">
        <v>2.6513599999999999</v>
      </c>
      <c r="AP77" s="36">
        <v>-0.12138253276556266</v>
      </c>
      <c r="AS77" s="5" t="s">
        <v>12387</v>
      </c>
      <c r="AT77" s="5">
        <v>1.18</v>
      </c>
      <c r="AU77" s="5">
        <v>100</v>
      </c>
      <c r="AV77" s="5" t="s">
        <v>12400</v>
      </c>
      <c r="AW77" s="5" t="s">
        <v>12400</v>
      </c>
      <c r="AX77" s="5" t="s">
        <v>12400</v>
      </c>
      <c r="AZ77" s="49" t="s">
        <v>12421</v>
      </c>
      <c r="BA77" s="50" t="s">
        <v>12415</v>
      </c>
      <c r="BC77" s="51">
        <v>0.28532999999999997</v>
      </c>
      <c r="BR77" s="26">
        <v>0</v>
      </c>
    </row>
    <row r="78" spans="1:70" ht="15" customHeight="1" x14ac:dyDescent="0.4">
      <c r="A78" s="27" t="s">
        <v>11040</v>
      </c>
      <c r="B78" s="44" t="s">
        <v>11985</v>
      </c>
      <c r="C78" s="45" t="s">
        <v>11488</v>
      </c>
      <c r="D78" s="46">
        <v>774.64</v>
      </c>
      <c r="E78" s="45" t="s">
        <v>12359</v>
      </c>
      <c r="F78" s="45"/>
      <c r="G78" s="9">
        <v>20.851240000000001</v>
      </c>
      <c r="H78" s="9">
        <v>159.03393</v>
      </c>
      <c r="I78" s="9">
        <v>13.2652</v>
      </c>
      <c r="J78" s="9">
        <v>1614.3605600000001</v>
      </c>
      <c r="K78" s="9">
        <v>1614.3605600000001</v>
      </c>
      <c r="L78" s="9">
        <v>96.291589999999999</v>
      </c>
      <c r="M78" s="9">
        <v>391.33967000000001</v>
      </c>
      <c r="N78" s="10" t="s">
        <v>12472</v>
      </c>
      <c r="P78" s="32">
        <v>45460</v>
      </c>
      <c r="R78" s="35">
        <v>42.247480000000003</v>
      </c>
      <c r="S78" s="34">
        <v>45459</v>
      </c>
      <c r="T78" s="35">
        <v>42.143540000000002</v>
      </c>
      <c r="U78" s="34">
        <v>45458</v>
      </c>
      <c r="V78" s="35">
        <v>42.143540000000002</v>
      </c>
      <c r="W78" s="34">
        <v>45457</v>
      </c>
      <c r="X78" s="35">
        <v>42.143540000000002</v>
      </c>
      <c r="Y78" s="34">
        <v>45456</v>
      </c>
      <c r="Z78" s="35">
        <v>42.518839999999997</v>
      </c>
      <c r="AA78" s="34">
        <v>45461</v>
      </c>
      <c r="AB78" s="35">
        <v>42.261839999999999</v>
      </c>
      <c r="AC78" s="34">
        <v>45462</v>
      </c>
      <c r="AD78" s="35">
        <v>42.37379</v>
      </c>
      <c r="AE78" s="34">
        <v>45463</v>
      </c>
      <c r="AF78" s="35">
        <v>42.220320000000001</v>
      </c>
      <c r="AG78" s="34">
        <v>45464</v>
      </c>
      <c r="AH78" s="35">
        <v>42.200850000000003</v>
      </c>
      <c r="AI78" s="36">
        <v>2.8070731599669774E-3</v>
      </c>
      <c r="AK78" s="34">
        <v>45453</v>
      </c>
      <c r="AL78" s="35">
        <v>41.684570000000001</v>
      </c>
      <c r="AM78" s="34">
        <v>45467</v>
      </c>
      <c r="AN78" s="5">
        <v>42.377429999999997</v>
      </c>
      <c r="AP78" s="36">
        <v>1.6621498074707253E-2</v>
      </c>
      <c r="AS78" s="5" t="s">
        <v>12387</v>
      </c>
      <c r="AT78" s="5">
        <v>97.05</v>
      </c>
      <c r="AU78" s="5">
        <v>100</v>
      </c>
      <c r="AV78" s="5" t="s">
        <v>12400</v>
      </c>
      <c r="AW78" s="5" t="s">
        <v>12400</v>
      </c>
      <c r="AX78" s="5" t="s">
        <v>12400</v>
      </c>
      <c r="AZ78" s="49" t="s">
        <v>12422</v>
      </c>
      <c r="BA78" s="50" t="s">
        <v>12422</v>
      </c>
      <c r="BC78" s="51">
        <v>-0.36365999999999998</v>
      </c>
      <c r="BR78" s="26">
        <v>0</v>
      </c>
    </row>
    <row r="79" spans="1:70" ht="15" customHeight="1" x14ac:dyDescent="0.4">
      <c r="A79" s="27" t="s">
        <v>11041</v>
      </c>
      <c r="B79" s="44" t="s">
        <v>11986</v>
      </c>
      <c r="C79" s="45" t="s">
        <v>11489</v>
      </c>
      <c r="D79" s="46">
        <v>11</v>
      </c>
      <c r="E79" s="45" t="s">
        <v>12357</v>
      </c>
      <c r="F79" s="45"/>
      <c r="G79" s="9">
        <v>260.86345</v>
      </c>
      <c r="H79" s="9">
        <v>531.15020000000004</v>
      </c>
      <c r="I79" s="9">
        <v>21.935600000000001</v>
      </c>
      <c r="J79" s="9">
        <v>4270.1931000000004</v>
      </c>
      <c r="K79" s="9">
        <v>4270.1931000000004</v>
      </c>
      <c r="L79" s="9">
        <v>1182.36113</v>
      </c>
      <c r="M79" s="9">
        <v>-1203.64346</v>
      </c>
      <c r="N79" s="10" t="s">
        <v>12469</v>
      </c>
      <c r="P79" s="32">
        <v>45460</v>
      </c>
      <c r="R79" s="35">
        <v>8.0472400000000004</v>
      </c>
      <c r="S79" s="34">
        <v>45459</v>
      </c>
      <c r="T79" s="35">
        <v>8.3255499999999998</v>
      </c>
      <c r="U79" s="34">
        <v>45458</v>
      </c>
      <c r="V79" s="35">
        <v>8.3255499999999998</v>
      </c>
      <c r="W79" s="34">
        <v>45457</v>
      </c>
      <c r="X79" s="35">
        <v>8.3255499999999998</v>
      </c>
      <c r="Y79" s="34">
        <v>45456</v>
      </c>
      <c r="Z79" s="35">
        <v>8.2467699999999997</v>
      </c>
      <c r="AA79" s="34">
        <v>45461</v>
      </c>
      <c r="AB79" s="35">
        <v>7.9919399999999996</v>
      </c>
      <c r="AC79" s="34">
        <v>45462</v>
      </c>
      <c r="AD79" s="35">
        <v>7.9539</v>
      </c>
      <c r="AE79" s="34">
        <v>45463</v>
      </c>
      <c r="AF79" s="35">
        <v>7.9778700000000002</v>
      </c>
      <c r="AG79" s="34">
        <v>45464</v>
      </c>
      <c r="AH79" s="35">
        <v>7.8974599999999997</v>
      </c>
      <c r="AI79" s="36">
        <v>-4.0070625964651052E-2</v>
      </c>
      <c r="AK79" s="34">
        <v>45453</v>
      </c>
      <c r="AL79" s="35">
        <v>8.1682100000000002</v>
      </c>
      <c r="AM79" s="34">
        <v>45467</v>
      </c>
      <c r="AN79" s="5">
        <v>7.8900399999999999</v>
      </c>
      <c r="AP79" s="36">
        <v>-3.4055196915848129E-2</v>
      </c>
      <c r="AS79" s="5" t="s">
        <v>12387</v>
      </c>
      <c r="AT79" s="5">
        <v>2.5</v>
      </c>
      <c r="AU79" s="5">
        <v>100</v>
      </c>
      <c r="AV79" s="5" t="s">
        <v>12400</v>
      </c>
      <c r="AW79" s="5" t="s">
        <v>12400</v>
      </c>
      <c r="AX79" s="5" t="s">
        <v>12400</v>
      </c>
      <c r="AZ79" s="49" t="s">
        <v>12423</v>
      </c>
      <c r="BA79" s="50" t="s">
        <v>12408</v>
      </c>
      <c r="BC79" s="51">
        <v>0.19459000000000001</v>
      </c>
      <c r="BR79" s="26">
        <v>0</v>
      </c>
    </row>
    <row r="80" spans="1:70" ht="15" customHeight="1" x14ac:dyDescent="0.4">
      <c r="A80" s="27" t="s">
        <v>11042</v>
      </c>
      <c r="B80" s="44" t="s">
        <v>11987</v>
      </c>
      <c r="C80" s="45" t="s">
        <v>11490</v>
      </c>
      <c r="D80" s="46">
        <v>2368.42</v>
      </c>
      <c r="E80" s="45" t="s">
        <v>12357</v>
      </c>
      <c r="F80" s="45"/>
      <c r="G80" s="9">
        <v>2508.9837600000001</v>
      </c>
      <c r="H80" s="9">
        <v>1903.39339</v>
      </c>
      <c r="I80" s="9">
        <v>20.8172</v>
      </c>
      <c r="J80" s="9">
        <v>26776.83209</v>
      </c>
      <c r="K80" s="9">
        <v>26776.83209</v>
      </c>
      <c r="L80" s="9">
        <v>1495.5233800000001</v>
      </c>
      <c r="M80" s="9">
        <v>1838.1784</v>
      </c>
      <c r="N80" s="10" t="s">
        <v>12473</v>
      </c>
      <c r="P80" s="32">
        <v>45460</v>
      </c>
      <c r="R80" s="35">
        <v>8.3229699999999998</v>
      </c>
      <c r="S80" s="34">
        <v>45459</v>
      </c>
      <c r="T80" s="35">
        <v>8.4051799999999997</v>
      </c>
      <c r="U80" s="34">
        <v>45458</v>
      </c>
      <c r="V80" s="35">
        <v>8.4051799999999997</v>
      </c>
      <c r="W80" s="34">
        <v>45457</v>
      </c>
      <c r="X80" s="35">
        <v>8.4051799999999997</v>
      </c>
      <c r="Y80" s="34">
        <v>45456</v>
      </c>
      <c r="Z80" s="35">
        <v>8.5317500000000006</v>
      </c>
      <c r="AA80" s="34">
        <v>45461</v>
      </c>
      <c r="AB80" s="35">
        <v>8.3750400000000003</v>
      </c>
      <c r="AC80" s="34">
        <v>45462</v>
      </c>
      <c r="AD80" s="35">
        <v>8.5112799999999993</v>
      </c>
      <c r="AE80" s="34">
        <v>45463</v>
      </c>
      <c r="AF80" s="35">
        <v>8.6240900000000007</v>
      </c>
      <c r="AG80" s="34">
        <v>45464</v>
      </c>
      <c r="AH80" s="35">
        <v>8.5982900000000004</v>
      </c>
      <c r="AI80" s="36">
        <v>-3.5858839429969702E-3</v>
      </c>
      <c r="AK80" s="34">
        <v>45453</v>
      </c>
      <c r="AL80" s="35">
        <v>8.5689700000000002</v>
      </c>
      <c r="AM80" s="34">
        <v>45467</v>
      </c>
      <c r="AN80" s="5">
        <v>8.6664499999999993</v>
      </c>
      <c r="AP80" s="36">
        <v>1.1375929662491346E-2</v>
      </c>
      <c r="AS80" s="5" t="s">
        <v>721</v>
      </c>
      <c r="AT80" s="5" t="s">
        <v>12400</v>
      </c>
      <c r="AU80" s="5" t="s">
        <v>12400</v>
      </c>
      <c r="AV80" s="5" t="s">
        <v>12400</v>
      </c>
      <c r="AW80" s="5" t="s">
        <v>12400</v>
      </c>
      <c r="AX80" s="5">
        <v>100</v>
      </c>
      <c r="AZ80" s="49" t="s">
        <v>12411</v>
      </c>
      <c r="BA80" s="50" t="s">
        <v>12414</v>
      </c>
      <c r="BC80" s="51">
        <v>0.30803000000000003</v>
      </c>
      <c r="BR80" s="26">
        <v>0</v>
      </c>
    </row>
    <row r="81" spans="1:70" ht="15" customHeight="1" x14ac:dyDescent="0.4">
      <c r="A81" s="27" t="s">
        <v>11043</v>
      </c>
      <c r="B81" s="44" t="s">
        <v>11988</v>
      </c>
      <c r="C81" s="45" t="s">
        <v>11491</v>
      </c>
      <c r="D81" s="47">
        <v>0.47499999999999998</v>
      </c>
      <c r="E81" s="45" t="s">
        <v>12357</v>
      </c>
      <c r="F81" s="45"/>
      <c r="G81" s="9">
        <v>163.94853000000001</v>
      </c>
      <c r="H81" s="9">
        <v>1.7513700000000001</v>
      </c>
      <c r="I81" s="9">
        <v>10.33</v>
      </c>
      <c r="J81" s="9">
        <v>25.339179999999999</v>
      </c>
      <c r="K81" s="9">
        <v>25.339179999999999</v>
      </c>
      <c r="L81" s="9">
        <v>1.58422</v>
      </c>
      <c r="M81" s="9">
        <v>8.0099</v>
      </c>
      <c r="N81" s="10" t="s">
        <v>12468</v>
      </c>
      <c r="P81" s="32">
        <v>45460</v>
      </c>
      <c r="R81" s="35">
        <v>5.3249999999999999E-2</v>
      </c>
      <c r="S81" s="34">
        <v>45459</v>
      </c>
      <c r="T81" s="35">
        <v>5.4579999999999997E-2</v>
      </c>
      <c r="U81" s="34">
        <v>45458</v>
      </c>
      <c r="V81" s="35">
        <v>5.4579999999999997E-2</v>
      </c>
      <c r="W81" s="34">
        <v>45457</v>
      </c>
      <c r="X81" s="35">
        <v>5.4579999999999997E-2</v>
      </c>
      <c r="Y81" s="34">
        <v>45456</v>
      </c>
      <c r="Z81" s="35">
        <v>5.5829999999999998E-2</v>
      </c>
      <c r="AA81" s="34">
        <v>45461</v>
      </c>
      <c r="AB81" s="35">
        <v>5.4539999999999998E-2</v>
      </c>
      <c r="AC81" s="34">
        <v>45462</v>
      </c>
      <c r="AD81" s="35">
        <v>5.2740000000000002E-2</v>
      </c>
      <c r="AE81" s="34">
        <v>45463</v>
      </c>
      <c r="AF81" s="35">
        <v>5.398E-2</v>
      </c>
      <c r="AG81" s="34">
        <v>45464</v>
      </c>
      <c r="AH81" s="35">
        <v>5.3600000000000002E-2</v>
      </c>
      <c r="AI81" s="36">
        <v>-7.3286918285087044E-4</v>
      </c>
      <c r="AK81" s="34">
        <v>45453</v>
      </c>
      <c r="AL81" s="35">
        <v>5.0930000000000003E-2</v>
      </c>
      <c r="AM81" s="34">
        <v>45467</v>
      </c>
      <c r="AN81" s="5">
        <v>5.398E-2</v>
      </c>
      <c r="AP81" s="36">
        <v>5.9886118201452954E-2</v>
      </c>
      <c r="AS81" s="5" t="s">
        <v>12387</v>
      </c>
      <c r="AT81" s="5">
        <v>0.35699999999999998</v>
      </c>
      <c r="AU81" s="5">
        <v>100</v>
      </c>
      <c r="AV81" s="5" t="s">
        <v>12400</v>
      </c>
      <c r="AW81" s="5" t="s">
        <v>12400</v>
      </c>
      <c r="AX81" s="5" t="s">
        <v>12400</v>
      </c>
      <c r="AZ81" s="49" t="s">
        <v>12409</v>
      </c>
      <c r="BA81" s="50" t="s">
        <v>12409</v>
      </c>
      <c r="BC81" s="51">
        <v>0.95501999999999998</v>
      </c>
      <c r="BR81" s="26">
        <v>0</v>
      </c>
    </row>
    <row r="82" spans="1:70" ht="15" customHeight="1" x14ac:dyDescent="0.4">
      <c r="A82" s="27" t="s">
        <v>11044</v>
      </c>
      <c r="B82" s="44" t="s">
        <v>11989</v>
      </c>
      <c r="C82" s="45" t="s">
        <v>11492</v>
      </c>
      <c r="D82" s="46">
        <v>22.64</v>
      </c>
      <c r="E82" s="45" t="s">
        <v>12357</v>
      </c>
      <c r="F82" s="45"/>
      <c r="G82" s="9">
        <v>10.8</v>
      </c>
      <c r="H82" s="9">
        <v>2.8072900000000001</v>
      </c>
      <c r="I82" s="9">
        <v>16.4621</v>
      </c>
      <c r="J82" s="9">
        <v>27.143149999999999</v>
      </c>
      <c r="K82" s="9">
        <v>27.143149999999999</v>
      </c>
      <c r="L82" s="9">
        <v>0.70391000000000004</v>
      </c>
      <c r="M82" s="9">
        <v>5.2923</v>
      </c>
      <c r="N82" s="10" t="s">
        <v>12465</v>
      </c>
      <c r="P82" s="32">
        <v>45460</v>
      </c>
      <c r="R82" s="35">
        <v>3.4993400000000001</v>
      </c>
      <c r="S82" s="34">
        <v>45459</v>
      </c>
      <c r="T82" s="35">
        <v>3.1703399999999999</v>
      </c>
      <c r="U82" s="34">
        <v>45458</v>
      </c>
      <c r="V82" s="35">
        <v>3.1703399999999999</v>
      </c>
      <c r="W82" s="34">
        <v>45457</v>
      </c>
      <c r="X82" s="35">
        <v>3.1703399999999999</v>
      </c>
      <c r="Y82" s="34">
        <v>45456</v>
      </c>
      <c r="Z82" s="35">
        <v>3.2640600000000002</v>
      </c>
      <c r="AA82" s="34">
        <v>45461</v>
      </c>
      <c r="AB82" s="35">
        <v>3.7893500000000002</v>
      </c>
      <c r="AC82" s="34">
        <v>45462</v>
      </c>
      <c r="AD82" s="35">
        <v>3.79758</v>
      </c>
      <c r="AE82" s="34">
        <v>45463</v>
      </c>
      <c r="AF82" s="35">
        <v>3.7836799999999999</v>
      </c>
      <c r="AG82" s="34">
        <v>45464</v>
      </c>
      <c r="AH82" s="35">
        <v>3.7567400000000002</v>
      </c>
      <c r="AI82" s="36">
        <v>0.19525035169729432</v>
      </c>
      <c r="AK82" s="34">
        <v>45453</v>
      </c>
      <c r="AL82" s="35">
        <v>3.27467</v>
      </c>
      <c r="AM82" s="34">
        <v>45467</v>
      </c>
      <c r="AN82" s="5">
        <v>4.3950500000000003</v>
      </c>
      <c r="AP82" s="36">
        <v>0.34213523805452173</v>
      </c>
      <c r="AS82" s="5" t="s">
        <v>12393</v>
      </c>
      <c r="AT82" s="5" t="s">
        <v>12400</v>
      </c>
      <c r="AU82" s="5" t="s">
        <v>12400</v>
      </c>
      <c r="AV82" s="5">
        <v>22.64</v>
      </c>
      <c r="AW82" s="5">
        <v>100</v>
      </c>
      <c r="AX82" s="5" t="s">
        <v>12400</v>
      </c>
      <c r="AZ82" s="49" t="s">
        <v>12409</v>
      </c>
      <c r="BA82" s="50" t="s">
        <v>12414</v>
      </c>
      <c r="BC82" s="51">
        <v>0.50907999999999998</v>
      </c>
      <c r="BR82" s="26">
        <v>0</v>
      </c>
    </row>
    <row r="83" spans="1:70" ht="15" customHeight="1" x14ac:dyDescent="0.4">
      <c r="A83" s="27" t="s">
        <v>10994</v>
      </c>
      <c r="B83" s="44" t="s">
        <v>11939</v>
      </c>
      <c r="C83" s="45" t="s">
        <v>11493</v>
      </c>
      <c r="D83" s="46">
        <v>3.7</v>
      </c>
      <c r="E83" s="45" t="s">
        <v>12357</v>
      </c>
      <c r="F83" s="45"/>
      <c r="G83" s="9">
        <v>18.579989999999999</v>
      </c>
      <c r="H83" s="9">
        <v>7.8114299999999997</v>
      </c>
      <c r="I83" s="9">
        <v>26.825800000000001</v>
      </c>
      <c r="J83" s="9">
        <v>54.034489999999998</v>
      </c>
      <c r="K83" s="9">
        <v>54.034489999999998</v>
      </c>
      <c r="L83" s="9">
        <v>8.1673500000000008</v>
      </c>
      <c r="M83" s="9">
        <v>1.11639</v>
      </c>
      <c r="N83" s="10" t="s">
        <v>12468</v>
      </c>
      <c r="P83" s="32">
        <v>45460</v>
      </c>
      <c r="R83" s="35">
        <v>6.8625299999999996</v>
      </c>
      <c r="S83" s="34">
        <v>45459</v>
      </c>
      <c r="T83" s="35">
        <v>6.4712800000000001</v>
      </c>
      <c r="U83" s="34">
        <v>45458</v>
      </c>
      <c r="V83" s="35">
        <v>6.4712800000000001</v>
      </c>
      <c r="W83" s="34">
        <v>45457</v>
      </c>
      <c r="X83" s="35">
        <v>6.4712800000000001</v>
      </c>
      <c r="Y83" s="34">
        <v>45456</v>
      </c>
      <c r="Z83" s="35">
        <v>6.5123800000000003</v>
      </c>
      <c r="AA83" s="34">
        <v>45461</v>
      </c>
      <c r="AB83" s="35">
        <v>6.4439900000000003</v>
      </c>
      <c r="AC83" s="34">
        <v>45462</v>
      </c>
      <c r="AD83" s="35">
        <v>6.44468</v>
      </c>
      <c r="AE83" s="34">
        <v>45463</v>
      </c>
      <c r="AF83" s="35">
        <v>6.32233</v>
      </c>
      <c r="AG83" s="34">
        <v>45464</v>
      </c>
      <c r="AH83" s="35">
        <v>6.30342</v>
      </c>
      <c r="AI83" s="36">
        <v>-4.2170946087944916E-3</v>
      </c>
      <c r="AK83" s="34">
        <v>45453</v>
      </c>
      <c r="AL83" s="35">
        <v>6.6072199999999999</v>
      </c>
      <c r="AM83" s="34">
        <v>45467</v>
      </c>
      <c r="AN83" s="5">
        <v>6.32979</v>
      </c>
      <c r="AP83" s="36">
        <v>-4.1988915156450091E-2</v>
      </c>
      <c r="AS83" s="5" t="s">
        <v>12387</v>
      </c>
      <c r="AT83" s="5">
        <v>2.36</v>
      </c>
      <c r="AU83" s="5">
        <v>100</v>
      </c>
      <c r="AV83" s="5" t="s">
        <v>12400</v>
      </c>
      <c r="AW83" s="5" t="s">
        <v>12400</v>
      </c>
      <c r="AX83" s="5" t="s">
        <v>12400</v>
      </c>
      <c r="AZ83" s="49" t="s">
        <v>12411</v>
      </c>
      <c r="BA83" s="50" t="s">
        <v>12411</v>
      </c>
      <c r="BC83" s="51">
        <v>0.61965000000000003</v>
      </c>
      <c r="BR83" s="26">
        <v>0</v>
      </c>
    </row>
    <row r="84" spans="1:70" ht="15" customHeight="1" x14ac:dyDescent="0.4">
      <c r="A84" s="27" t="s">
        <v>11045</v>
      </c>
      <c r="B84" s="44" t="s">
        <v>11990</v>
      </c>
      <c r="C84" s="45" t="s">
        <v>11494</v>
      </c>
      <c r="D84" s="46">
        <v>14.5</v>
      </c>
      <c r="E84" s="45" t="s">
        <v>12357</v>
      </c>
      <c r="F84" s="45"/>
      <c r="G84" s="9">
        <v>2339.4518400000002</v>
      </c>
      <c r="H84" s="9">
        <v>2264.7373499999999</v>
      </c>
      <c r="I84" s="9">
        <v>28.312100000000001</v>
      </c>
      <c r="J84" s="9">
        <v>240969.07324999999</v>
      </c>
      <c r="K84" s="9">
        <v>240969.07324999999</v>
      </c>
      <c r="L84" s="9">
        <v>6557.2935299999999</v>
      </c>
      <c r="M84" s="9">
        <v>3676.0584899999999</v>
      </c>
      <c r="N84" s="10" t="s">
        <v>12473</v>
      </c>
      <c r="P84" s="32">
        <v>45457</v>
      </c>
      <c r="R84" s="35">
        <v>2.54271</v>
      </c>
      <c r="S84" s="34">
        <v>45456</v>
      </c>
      <c r="T84" s="35">
        <v>2.5757500000000002</v>
      </c>
      <c r="U84" s="34">
        <v>45455</v>
      </c>
      <c r="V84" s="35">
        <v>2.6181000000000001</v>
      </c>
      <c r="W84" s="34">
        <v>45454</v>
      </c>
      <c r="X84" s="35">
        <v>2.5399799999999999</v>
      </c>
      <c r="Y84" s="34">
        <v>45453</v>
      </c>
      <c r="Z84" s="35">
        <v>2.5831900000000001</v>
      </c>
      <c r="AA84" s="34">
        <v>45458</v>
      </c>
      <c r="AB84" s="35">
        <v>2.54271</v>
      </c>
      <c r="AC84" s="34">
        <v>45459</v>
      </c>
      <c r="AD84" s="35">
        <v>2.54271</v>
      </c>
      <c r="AE84" s="34">
        <v>45460</v>
      </c>
      <c r="AF84" s="35">
        <v>2.54914</v>
      </c>
      <c r="AG84" s="34">
        <v>45461</v>
      </c>
      <c r="AH84" s="35">
        <v>2.5857999999999999</v>
      </c>
      <c r="AI84" s="36">
        <v>-1.282733184509377E-2</v>
      </c>
      <c r="AK84" s="34">
        <v>45450</v>
      </c>
      <c r="AL84" s="35">
        <v>2.5230000000000001</v>
      </c>
      <c r="AM84" s="34">
        <v>45464</v>
      </c>
      <c r="AN84" s="5">
        <v>2.6148699999999998</v>
      </c>
      <c r="AP84" s="36">
        <v>3.6413000396353423E-2</v>
      </c>
      <c r="AS84" s="5" t="s">
        <v>12387</v>
      </c>
      <c r="AT84" s="5">
        <v>13</v>
      </c>
      <c r="AU84" s="5">
        <v>100</v>
      </c>
      <c r="AV84" s="5" t="s">
        <v>12400</v>
      </c>
      <c r="AW84" s="5" t="s">
        <v>12400</v>
      </c>
      <c r="AX84" s="5" t="s">
        <v>12400</v>
      </c>
      <c r="AZ84" s="49" t="s">
        <v>12424</v>
      </c>
      <c r="BA84" s="50" t="s">
        <v>12415</v>
      </c>
      <c r="BC84" s="51">
        <v>0.92449000000000003</v>
      </c>
      <c r="BR84" s="26">
        <v>0</v>
      </c>
    </row>
    <row r="85" spans="1:70" ht="15" customHeight="1" x14ac:dyDescent="0.4">
      <c r="A85" s="27" t="s">
        <v>11046</v>
      </c>
      <c r="B85" s="44" t="s">
        <v>11991</v>
      </c>
      <c r="C85" s="45" t="s">
        <v>11495</v>
      </c>
      <c r="D85" s="46">
        <v>296.43</v>
      </c>
      <c r="E85" s="45" t="s">
        <v>12358</v>
      </c>
      <c r="F85" s="45"/>
      <c r="G85" s="9">
        <v>242.51364000000001</v>
      </c>
      <c r="H85" s="9">
        <v>23.964169999999999</v>
      </c>
      <c r="I85" s="9">
        <v>67.507000000000005</v>
      </c>
      <c r="J85" s="9">
        <v>548.69002999999998</v>
      </c>
      <c r="K85" s="9">
        <v>548.69002999999998</v>
      </c>
      <c r="L85" s="9">
        <v>2.8836599999999999</v>
      </c>
      <c r="M85" s="9">
        <v>246.30394999999999</v>
      </c>
      <c r="N85" s="10" t="s">
        <v>12475</v>
      </c>
      <c r="O85" s="11"/>
      <c r="P85" s="32">
        <v>45457</v>
      </c>
      <c r="R85" s="35">
        <v>1.3004100000000001</v>
      </c>
      <c r="S85" s="34">
        <v>45456</v>
      </c>
      <c r="T85" s="35">
        <v>1.2788999999999999</v>
      </c>
      <c r="U85" s="34">
        <v>45455</v>
      </c>
      <c r="V85" s="35">
        <v>1.2815300000000001</v>
      </c>
      <c r="W85" s="34">
        <v>45454</v>
      </c>
      <c r="X85" s="35">
        <v>1.33138</v>
      </c>
      <c r="Y85" s="34">
        <v>45453</v>
      </c>
      <c r="Z85" s="35">
        <v>1.3327199999999999</v>
      </c>
      <c r="AA85" s="34">
        <v>45458</v>
      </c>
      <c r="AB85" s="35">
        <v>1.3004100000000001</v>
      </c>
      <c r="AC85" s="34">
        <v>45459</v>
      </c>
      <c r="AD85" s="35">
        <v>1.3004100000000001</v>
      </c>
      <c r="AE85" s="34">
        <v>45460</v>
      </c>
      <c r="AF85" s="35">
        <v>1.30274</v>
      </c>
      <c r="AG85" s="34">
        <v>45461</v>
      </c>
      <c r="AH85" s="35">
        <v>1.3109599999999999</v>
      </c>
      <c r="AI85" s="36">
        <v>1.6819141449683439E-2</v>
      </c>
      <c r="AK85" s="34">
        <v>45450</v>
      </c>
      <c r="AL85" s="35">
        <v>1.3377699999999999</v>
      </c>
      <c r="AM85" s="34">
        <v>45464</v>
      </c>
      <c r="AN85" s="5">
        <v>1.3897999999999999</v>
      </c>
      <c r="AP85" s="36">
        <v>3.8893083265434392E-2</v>
      </c>
      <c r="AS85" s="5" t="s">
        <v>721</v>
      </c>
      <c r="AT85" s="5" t="s">
        <v>12400</v>
      </c>
      <c r="AU85" s="5" t="s">
        <v>12400</v>
      </c>
      <c r="AV85" s="5" t="s">
        <v>12400</v>
      </c>
      <c r="AW85" s="5" t="s">
        <v>12400</v>
      </c>
      <c r="AX85" s="5">
        <v>100</v>
      </c>
      <c r="AZ85" s="49" t="s">
        <v>12409</v>
      </c>
      <c r="BA85" s="50" t="s">
        <v>12408</v>
      </c>
      <c r="BC85" s="51">
        <v>1.9402200000000001</v>
      </c>
      <c r="BR85" s="26">
        <v>0</v>
      </c>
    </row>
    <row r="86" spans="1:70" ht="25.5" customHeight="1" x14ac:dyDescent="0.4">
      <c r="A86" s="27" t="s">
        <v>11047</v>
      </c>
      <c r="B86" s="44" t="s">
        <v>11992</v>
      </c>
      <c r="C86" s="45" t="s">
        <v>11496</v>
      </c>
      <c r="D86" s="46">
        <v>41.45</v>
      </c>
      <c r="E86" s="45" t="s">
        <v>12357</v>
      </c>
      <c r="F86" s="45"/>
      <c r="G86" s="9">
        <v>54.421489999999999</v>
      </c>
      <c r="H86" s="9">
        <v>309</v>
      </c>
      <c r="I86" s="9">
        <v>32.526299999999999</v>
      </c>
      <c r="J86" s="9">
        <v>12539</v>
      </c>
      <c r="K86" s="9">
        <v>12539</v>
      </c>
      <c r="L86" s="9">
        <v>132</v>
      </c>
      <c r="M86" s="9">
        <v>1659</v>
      </c>
      <c r="N86" s="10" t="s">
        <v>12473</v>
      </c>
      <c r="O86" s="11"/>
      <c r="P86" s="32">
        <v>45457</v>
      </c>
      <c r="R86" s="35">
        <v>75.52</v>
      </c>
      <c r="S86" s="34">
        <v>45456</v>
      </c>
      <c r="T86" s="35">
        <v>75.989999999999995</v>
      </c>
      <c r="U86" s="34">
        <v>45455</v>
      </c>
      <c r="V86" s="35">
        <v>75.39</v>
      </c>
      <c r="W86" s="34">
        <v>45454</v>
      </c>
      <c r="X86" s="35">
        <v>73.72</v>
      </c>
      <c r="Y86" s="34">
        <v>45453</v>
      </c>
      <c r="Z86" s="35">
        <v>75.349999999999994</v>
      </c>
      <c r="AA86" s="34">
        <v>45458</v>
      </c>
      <c r="AB86" s="35">
        <v>75.52</v>
      </c>
      <c r="AC86" s="34">
        <v>45459</v>
      </c>
      <c r="AD86" s="35">
        <v>75.52</v>
      </c>
      <c r="AE86" s="34">
        <v>45460</v>
      </c>
      <c r="AF86" s="35">
        <v>77.59</v>
      </c>
      <c r="AG86" s="34">
        <v>45461</v>
      </c>
      <c r="AH86" s="35">
        <v>77.72</v>
      </c>
      <c r="AI86" s="36">
        <v>-6.1850243453085429E-3</v>
      </c>
      <c r="AK86" s="34">
        <v>45450</v>
      </c>
      <c r="AL86" s="35">
        <v>76.989999999999995</v>
      </c>
      <c r="AM86" s="34">
        <v>45464</v>
      </c>
      <c r="AN86" s="5">
        <v>77.150000000000006</v>
      </c>
      <c r="AP86" s="36">
        <v>2.0781919729835341E-3</v>
      </c>
      <c r="AS86" s="5" t="s">
        <v>12387</v>
      </c>
      <c r="AT86" s="5">
        <v>41.45</v>
      </c>
      <c r="AU86" s="5">
        <v>100</v>
      </c>
      <c r="AV86" s="5" t="s">
        <v>12400</v>
      </c>
      <c r="AW86" s="5" t="s">
        <v>12400</v>
      </c>
      <c r="AX86" s="5" t="s">
        <v>12400</v>
      </c>
      <c r="AZ86" s="49" t="s">
        <v>12425</v>
      </c>
      <c r="BA86" s="50" t="s">
        <v>12425</v>
      </c>
      <c r="BC86" s="51">
        <v>0.90339999999999998</v>
      </c>
      <c r="BR86" s="26">
        <v>0</v>
      </c>
    </row>
    <row r="87" spans="1:70" ht="15" customHeight="1" x14ac:dyDescent="0.4">
      <c r="A87" s="27" t="s">
        <v>11048</v>
      </c>
      <c r="B87" s="44" t="s">
        <v>11993</v>
      </c>
      <c r="C87" s="45" t="s">
        <v>11497</v>
      </c>
      <c r="D87" s="46">
        <v>102.62</v>
      </c>
      <c r="E87" s="45" t="s">
        <v>12357</v>
      </c>
      <c r="F87" s="45"/>
      <c r="G87" s="9">
        <v>9.7319499999999994</v>
      </c>
      <c r="H87" s="9">
        <v>218.74602999999999</v>
      </c>
      <c r="I87" s="9">
        <v>16.478200000000001</v>
      </c>
      <c r="J87" s="9">
        <v>929.67061000000001</v>
      </c>
      <c r="K87" s="9">
        <v>929.67061000000001</v>
      </c>
      <c r="L87" s="9">
        <v>22.63767</v>
      </c>
      <c r="M87" s="9">
        <v>236.80529000000001</v>
      </c>
      <c r="N87" s="10" t="s">
        <v>12466</v>
      </c>
      <c r="P87" s="32">
        <v>45457</v>
      </c>
      <c r="R87" s="35">
        <v>205.72712999999999</v>
      </c>
      <c r="S87" s="34">
        <v>45456</v>
      </c>
      <c r="T87" s="35">
        <v>210.31795</v>
      </c>
      <c r="U87" s="34">
        <v>45455</v>
      </c>
      <c r="V87" s="35">
        <v>219.06408999999999</v>
      </c>
      <c r="W87" s="34">
        <v>45454</v>
      </c>
      <c r="X87" s="35">
        <v>211.22756999999999</v>
      </c>
      <c r="Y87" s="34">
        <v>45453</v>
      </c>
      <c r="Z87" s="35">
        <v>214.20769999999999</v>
      </c>
      <c r="AA87" s="34">
        <v>45458</v>
      </c>
      <c r="AB87" s="35">
        <v>205.72712999999999</v>
      </c>
      <c r="AC87" s="34">
        <v>45459</v>
      </c>
      <c r="AD87" s="35">
        <v>205.72712999999999</v>
      </c>
      <c r="AE87" s="34">
        <v>45460</v>
      </c>
      <c r="AF87" s="35">
        <v>211.64542</v>
      </c>
      <c r="AG87" s="34">
        <v>45461</v>
      </c>
      <c r="AH87" s="35">
        <v>212.02375000000001</v>
      </c>
      <c r="AI87" s="36">
        <v>-2.1827998989149555E-2</v>
      </c>
      <c r="AK87" s="34">
        <v>45450</v>
      </c>
      <c r="AL87" s="35">
        <v>216.37207000000001</v>
      </c>
      <c r="AM87" s="34">
        <v>45464</v>
      </c>
      <c r="AN87" s="5">
        <v>220.56281999999999</v>
      </c>
      <c r="AP87" s="36">
        <v>1.9368257649889697E-2</v>
      </c>
      <c r="AS87" s="5" t="s">
        <v>12387</v>
      </c>
      <c r="AT87" s="5">
        <v>92.85</v>
      </c>
      <c r="AU87" s="5">
        <v>100</v>
      </c>
      <c r="AV87" s="5" t="s">
        <v>12400</v>
      </c>
      <c r="AW87" s="5" t="s">
        <v>12400</v>
      </c>
      <c r="AX87" s="5" t="s">
        <v>12400</v>
      </c>
      <c r="AZ87" s="49" t="s">
        <v>12425</v>
      </c>
      <c r="BA87" s="50" t="s">
        <v>12425</v>
      </c>
      <c r="BC87" s="51">
        <v>0.76871</v>
      </c>
      <c r="BR87" s="26">
        <v>0</v>
      </c>
    </row>
    <row r="88" spans="1:70" ht="15" customHeight="1" x14ac:dyDescent="0.4">
      <c r="A88" s="27" t="s">
        <v>11049</v>
      </c>
      <c r="B88" s="44" t="s">
        <v>11994</v>
      </c>
      <c r="C88" s="45" t="s">
        <v>11498</v>
      </c>
      <c r="D88" s="46">
        <v>3.55</v>
      </c>
      <c r="E88" s="45" t="s">
        <v>12357</v>
      </c>
      <c r="F88" s="45"/>
      <c r="G88" s="9">
        <v>8.21861</v>
      </c>
      <c r="H88" s="9">
        <v>8.4671099999999999</v>
      </c>
      <c r="I88" s="9">
        <v>10.3085</v>
      </c>
      <c r="J88" s="9">
        <v>100.15532</v>
      </c>
      <c r="K88" s="9">
        <v>100.15532</v>
      </c>
      <c r="L88" s="9">
        <v>9.72438</v>
      </c>
      <c r="M88" s="9">
        <v>4.0518299999999998</v>
      </c>
      <c r="N88" s="10" t="s">
        <v>12467</v>
      </c>
      <c r="P88" s="32">
        <v>45457</v>
      </c>
      <c r="R88" s="35">
        <v>12.64339</v>
      </c>
      <c r="S88" s="34">
        <v>45456</v>
      </c>
      <c r="T88" s="35">
        <v>12.655390000000001</v>
      </c>
      <c r="U88" s="34">
        <v>45455</v>
      </c>
      <c r="V88" s="35">
        <v>13.08714</v>
      </c>
      <c r="W88" s="34">
        <v>45454</v>
      </c>
      <c r="X88" s="35">
        <v>12.743230000000001</v>
      </c>
      <c r="Y88" s="34">
        <v>45453</v>
      </c>
      <c r="Z88" s="35">
        <v>12.851190000000001</v>
      </c>
      <c r="AA88" s="34">
        <v>45458</v>
      </c>
      <c r="AB88" s="35">
        <v>12.64339</v>
      </c>
      <c r="AC88" s="34">
        <v>45459</v>
      </c>
      <c r="AD88" s="35">
        <v>12.64339</v>
      </c>
      <c r="AE88" s="34">
        <v>45460</v>
      </c>
      <c r="AF88" s="35">
        <v>13.00841</v>
      </c>
      <c r="AG88" s="34">
        <v>45461</v>
      </c>
      <c r="AH88" s="35">
        <v>13.16704</v>
      </c>
      <c r="AI88" s="36">
        <v>-9.4821257977828477E-4</v>
      </c>
      <c r="AK88" s="34">
        <v>45450</v>
      </c>
      <c r="AL88" s="35">
        <v>12.65663</v>
      </c>
      <c r="AM88" s="34">
        <v>45464</v>
      </c>
      <c r="AN88" s="5">
        <v>13.186529999999999</v>
      </c>
      <c r="AP88" s="36">
        <v>4.1867384919998418E-2</v>
      </c>
      <c r="AS88" s="5" t="s">
        <v>12387</v>
      </c>
      <c r="AT88" s="5">
        <v>3.32</v>
      </c>
      <c r="AU88" s="5">
        <v>100</v>
      </c>
      <c r="AV88" s="5" t="s">
        <v>12400</v>
      </c>
      <c r="AW88" s="5" t="s">
        <v>12400</v>
      </c>
      <c r="AX88" s="5" t="s">
        <v>12400</v>
      </c>
      <c r="AZ88" s="49" t="s">
        <v>12409</v>
      </c>
      <c r="BA88" s="50" t="s">
        <v>12409</v>
      </c>
      <c r="BC88" s="51">
        <v>0.72757000000000005</v>
      </c>
      <c r="BR88" s="26">
        <v>0</v>
      </c>
    </row>
    <row r="89" spans="1:70" ht="15" customHeight="1" x14ac:dyDescent="0.4">
      <c r="A89" s="27" t="s">
        <v>11050</v>
      </c>
      <c r="B89" s="44" t="s">
        <v>11995</v>
      </c>
      <c r="C89" s="45" t="s">
        <v>11499</v>
      </c>
      <c r="D89" s="46">
        <v>102.91</v>
      </c>
      <c r="E89" s="45" t="s">
        <v>12358</v>
      </c>
      <c r="F89" s="45"/>
      <c r="G89" s="9">
        <v>442.45738999999998</v>
      </c>
      <c r="H89" s="9">
        <v>4524.8123400000004</v>
      </c>
      <c r="I89" s="9">
        <v>78.323999999999998</v>
      </c>
      <c r="J89" s="9">
        <v>88452.916679999995</v>
      </c>
      <c r="K89" s="9">
        <v>88452.916679999995</v>
      </c>
      <c r="L89" s="9">
        <v>1484.56999</v>
      </c>
      <c r="M89" s="9">
        <v>3803.1381500000002</v>
      </c>
      <c r="N89" s="10" t="s">
        <v>12473</v>
      </c>
      <c r="P89" s="32">
        <v>45457</v>
      </c>
      <c r="R89" s="35">
        <v>10.132020000000001</v>
      </c>
      <c r="S89" s="34">
        <v>45456</v>
      </c>
      <c r="T89" s="35">
        <v>10.118539999999999</v>
      </c>
      <c r="U89" s="34">
        <v>45455</v>
      </c>
      <c r="V89" s="35">
        <v>10.422319999999999</v>
      </c>
      <c r="W89" s="34">
        <v>45454</v>
      </c>
      <c r="X89" s="35">
        <v>10.10688</v>
      </c>
      <c r="Y89" s="34">
        <v>45453</v>
      </c>
      <c r="Z89" s="35">
        <v>10.285310000000001</v>
      </c>
      <c r="AA89" s="34">
        <v>45458</v>
      </c>
      <c r="AB89" s="35">
        <v>10.132020000000001</v>
      </c>
      <c r="AC89" s="34">
        <v>45459</v>
      </c>
      <c r="AD89" s="35">
        <v>10.132020000000001</v>
      </c>
      <c r="AE89" s="34">
        <v>45460</v>
      </c>
      <c r="AF89" s="35">
        <v>10.20726</v>
      </c>
      <c r="AG89" s="34">
        <v>45461</v>
      </c>
      <c r="AH89" s="35">
        <v>10.32282</v>
      </c>
      <c r="AI89" s="36">
        <v>1.3322080062936337E-3</v>
      </c>
      <c r="AK89" s="34">
        <v>45450</v>
      </c>
      <c r="AL89" s="35">
        <v>10.576610000000001</v>
      </c>
      <c r="AM89" s="34">
        <v>45464</v>
      </c>
      <c r="AN89" s="5">
        <v>10.260020000000001</v>
      </c>
      <c r="AP89" s="36">
        <v>-2.9933031472276994E-2</v>
      </c>
      <c r="AS89" s="5" t="s">
        <v>12387</v>
      </c>
      <c r="AT89" s="5">
        <v>102.91</v>
      </c>
      <c r="AU89" s="5">
        <v>100</v>
      </c>
      <c r="AV89" s="5" t="s">
        <v>12400</v>
      </c>
      <c r="AW89" s="5" t="s">
        <v>12400</v>
      </c>
      <c r="AX89" s="5" t="s">
        <v>12400</v>
      </c>
      <c r="AZ89" s="49" t="s">
        <v>12408</v>
      </c>
      <c r="BA89" s="50" t="s">
        <v>12408</v>
      </c>
      <c r="BC89" s="51">
        <v>0.57655000000000001</v>
      </c>
      <c r="BR89" s="26">
        <v>0</v>
      </c>
    </row>
    <row r="90" spans="1:70" ht="15" customHeight="1" x14ac:dyDescent="0.4">
      <c r="A90" s="27" t="s">
        <v>11051</v>
      </c>
      <c r="B90" s="44" t="s">
        <v>11996</v>
      </c>
      <c r="C90" s="45" t="s">
        <v>11500</v>
      </c>
      <c r="D90" s="46">
        <v>212.69</v>
      </c>
      <c r="E90" s="45" t="s">
        <v>12357</v>
      </c>
      <c r="F90" s="45"/>
      <c r="G90" s="9">
        <v>528.64953000000003</v>
      </c>
      <c r="H90" s="9">
        <v>164.26788999999999</v>
      </c>
      <c r="I90" s="9">
        <v>95.688500000000005</v>
      </c>
      <c r="J90" s="9">
        <v>68.660529999999994</v>
      </c>
      <c r="K90" s="9">
        <v>68.660529999999994</v>
      </c>
      <c r="L90" s="9">
        <v>16.999320000000001</v>
      </c>
      <c r="M90" s="9">
        <v>-16.63327</v>
      </c>
      <c r="N90" s="10" t="s">
        <v>12466</v>
      </c>
      <c r="P90" s="32">
        <v>45456</v>
      </c>
      <c r="R90" s="35">
        <v>2.96129</v>
      </c>
      <c r="S90" s="34">
        <v>45455</v>
      </c>
      <c r="T90" s="35">
        <v>2.9748700000000001</v>
      </c>
      <c r="U90" s="34">
        <v>45454</v>
      </c>
      <c r="V90" s="35">
        <v>2.9549500000000002</v>
      </c>
      <c r="W90" s="34">
        <v>45453</v>
      </c>
      <c r="X90" s="35">
        <v>3.0255000000000001</v>
      </c>
      <c r="Y90" s="34">
        <v>45452</v>
      </c>
      <c r="Z90" s="35">
        <v>3.0151400000000002</v>
      </c>
      <c r="AA90" s="34">
        <v>45457</v>
      </c>
      <c r="AB90" s="35">
        <v>2.7439800000000001</v>
      </c>
      <c r="AC90" s="34">
        <v>45458</v>
      </c>
      <c r="AD90" s="35">
        <v>2.7439800000000001</v>
      </c>
      <c r="AE90" s="34">
        <v>45459</v>
      </c>
      <c r="AF90" s="35">
        <v>2.7439800000000001</v>
      </c>
      <c r="AG90" s="34">
        <v>45460</v>
      </c>
      <c r="AH90" s="35">
        <v>2.67916</v>
      </c>
      <c r="AI90" s="36">
        <v>-7.7613475546830624E-2</v>
      </c>
      <c r="AK90" s="34">
        <v>45449</v>
      </c>
      <c r="AL90" s="35">
        <v>3.03091</v>
      </c>
      <c r="AM90" s="34">
        <v>45463</v>
      </c>
      <c r="AN90" s="5">
        <v>2.7359900000000001</v>
      </c>
      <c r="AP90" s="36">
        <v>-9.7304109986769638E-2</v>
      </c>
      <c r="AS90" s="5" t="s">
        <v>12387</v>
      </c>
      <c r="AT90" s="5">
        <v>183.21</v>
      </c>
      <c r="AU90" s="5">
        <v>100</v>
      </c>
      <c r="AV90" s="5" t="s">
        <v>12400</v>
      </c>
      <c r="AW90" s="5" t="s">
        <v>12400</v>
      </c>
      <c r="AX90" s="5" t="s">
        <v>12400</v>
      </c>
      <c r="AZ90" s="49" t="s">
        <v>12405</v>
      </c>
      <c r="BA90" s="50" t="s">
        <v>12415</v>
      </c>
      <c r="BC90" s="51">
        <v>0.55001</v>
      </c>
      <c r="BR90" s="26">
        <v>0</v>
      </c>
    </row>
    <row r="91" spans="1:70" ht="15" customHeight="1" x14ac:dyDescent="0.4">
      <c r="A91" s="27" t="s">
        <v>11052</v>
      </c>
      <c r="B91" s="44" t="s">
        <v>11997</v>
      </c>
      <c r="C91" s="45" t="s">
        <v>11501</v>
      </c>
      <c r="D91" s="46">
        <v>3.65</v>
      </c>
      <c r="E91" s="45" t="s">
        <v>12357</v>
      </c>
      <c r="F91" s="45"/>
      <c r="G91" s="9">
        <v>498.08046999999999</v>
      </c>
      <c r="H91" s="9">
        <v>4798</v>
      </c>
      <c r="I91" s="9">
        <v>42.6982</v>
      </c>
      <c r="J91" s="9">
        <v>50741</v>
      </c>
      <c r="K91" s="9">
        <v>50741</v>
      </c>
      <c r="L91" s="9">
        <v>54</v>
      </c>
      <c r="M91" s="9">
        <v>20379</v>
      </c>
      <c r="N91" s="10" t="s">
        <v>12472</v>
      </c>
      <c r="P91" s="32">
        <v>45456</v>
      </c>
      <c r="R91" s="35">
        <v>73.209999999999994</v>
      </c>
      <c r="S91" s="34">
        <v>45455</v>
      </c>
      <c r="T91" s="35">
        <v>73.040000000000006</v>
      </c>
      <c r="U91" s="34">
        <v>45454</v>
      </c>
      <c r="V91" s="35">
        <v>73.67</v>
      </c>
      <c r="W91" s="34">
        <v>45453</v>
      </c>
      <c r="X91" s="35">
        <v>73.44</v>
      </c>
      <c r="Y91" s="34">
        <v>45452</v>
      </c>
      <c r="Z91" s="35">
        <v>72.88</v>
      </c>
      <c r="AA91" s="34">
        <v>45457</v>
      </c>
      <c r="AB91" s="35">
        <v>72.64</v>
      </c>
      <c r="AC91" s="34">
        <v>45458</v>
      </c>
      <c r="AD91" s="35">
        <v>72.64</v>
      </c>
      <c r="AE91" s="34">
        <v>45459</v>
      </c>
      <c r="AF91" s="35">
        <v>72.64</v>
      </c>
      <c r="AG91" s="34">
        <v>45460</v>
      </c>
      <c r="AH91" s="35">
        <v>73.069999999999993</v>
      </c>
      <c r="AI91" s="36">
        <v>-5.4764512595838477E-3</v>
      </c>
      <c r="AK91" s="34">
        <v>45449</v>
      </c>
      <c r="AL91" s="35">
        <v>74.44</v>
      </c>
      <c r="AM91" s="34">
        <v>45463</v>
      </c>
      <c r="AN91" s="5">
        <v>73.58</v>
      </c>
      <c r="AP91" s="36">
        <v>-1.1552928533046791E-2</v>
      </c>
      <c r="AS91" s="5" t="s">
        <v>12389</v>
      </c>
      <c r="AT91" s="5">
        <v>3.21</v>
      </c>
      <c r="AU91" s="5">
        <v>88.16</v>
      </c>
      <c r="AV91" s="5" t="s">
        <v>12400</v>
      </c>
      <c r="AW91" s="5" t="s">
        <v>12400</v>
      </c>
      <c r="AX91" s="5">
        <v>11.84</v>
      </c>
      <c r="AZ91" s="49" t="s">
        <v>12415</v>
      </c>
      <c r="BA91" s="50" t="s">
        <v>12415</v>
      </c>
      <c r="BC91" s="51">
        <v>0.6038</v>
      </c>
      <c r="BR91" s="26">
        <v>0</v>
      </c>
    </row>
    <row r="92" spans="1:70" ht="15" customHeight="1" x14ac:dyDescent="0.4">
      <c r="A92" s="27" t="s">
        <v>11053</v>
      </c>
      <c r="B92" s="44" t="s">
        <v>11998</v>
      </c>
      <c r="C92" s="45" t="s">
        <v>11502</v>
      </c>
      <c r="D92" s="46">
        <v>221.3</v>
      </c>
      <c r="E92" s="45" t="s">
        <v>12357</v>
      </c>
      <c r="F92" s="45"/>
      <c r="G92" s="9">
        <v>372.72154</v>
      </c>
      <c r="H92" s="9">
        <v>951.9</v>
      </c>
      <c r="I92" s="9">
        <v>23.1279</v>
      </c>
      <c r="J92" s="9">
        <v>42087.9</v>
      </c>
      <c r="K92" s="9">
        <v>42087.9</v>
      </c>
      <c r="L92" s="9">
        <v>1410.1</v>
      </c>
      <c r="M92" s="9">
        <v>6594.2</v>
      </c>
      <c r="N92" s="10" t="s">
        <v>12470</v>
      </c>
      <c r="P92" s="32">
        <v>45456</v>
      </c>
      <c r="R92" s="35">
        <v>17.63</v>
      </c>
      <c r="S92" s="34">
        <v>45455</v>
      </c>
      <c r="T92" s="35">
        <v>17.809999999999999</v>
      </c>
      <c r="U92" s="34">
        <v>45454</v>
      </c>
      <c r="V92" s="35">
        <v>17.7</v>
      </c>
      <c r="W92" s="34">
        <v>45453</v>
      </c>
      <c r="X92" s="35">
        <v>17.739999999999998</v>
      </c>
      <c r="Y92" s="34">
        <v>45452</v>
      </c>
      <c r="Z92" s="35">
        <v>18.09</v>
      </c>
      <c r="AA92" s="34">
        <v>45457</v>
      </c>
      <c r="AB92" s="35">
        <v>17.53</v>
      </c>
      <c r="AC92" s="34">
        <v>45458</v>
      </c>
      <c r="AD92" s="35">
        <v>17.53</v>
      </c>
      <c r="AE92" s="34">
        <v>45459</v>
      </c>
      <c r="AF92" s="35">
        <v>17.53</v>
      </c>
      <c r="AG92" s="34">
        <v>45460</v>
      </c>
      <c r="AH92" s="35">
        <v>17.52</v>
      </c>
      <c r="AI92" s="36">
        <v>-1.5721504772599482E-2</v>
      </c>
      <c r="AK92" s="34">
        <v>45449</v>
      </c>
      <c r="AL92" s="35">
        <v>18.13</v>
      </c>
      <c r="AM92" s="34">
        <v>45463</v>
      </c>
      <c r="AN92" s="5">
        <v>17.190000000000001</v>
      </c>
      <c r="AP92" s="36">
        <v>-5.18477661334803E-2</v>
      </c>
      <c r="AS92" s="5" t="s">
        <v>12387</v>
      </c>
      <c r="AT92" s="5">
        <v>165.7</v>
      </c>
      <c r="AU92" s="5">
        <v>100</v>
      </c>
      <c r="AV92" s="5" t="s">
        <v>12400</v>
      </c>
      <c r="AW92" s="5" t="s">
        <v>12400</v>
      </c>
      <c r="AX92" s="5" t="s">
        <v>12400</v>
      </c>
      <c r="AZ92" s="49" t="s">
        <v>12457</v>
      </c>
      <c r="BA92" s="50" t="s">
        <v>12415</v>
      </c>
      <c r="BC92" s="51">
        <v>0.85007999999999995</v>
      </c>
      <c r="BR92" s="26">
        <v>0</v>
      </c>
    </row>
    <row r="93" spans="1:70" ht="15" customHeight="1" x14ac:dyDescent="0.4">
      <c r="A93" s="27" t="s">
        <v>11054</v>
      </c>
      <c r="B93" s="44" t="s">
        <v>11999</v>
      </c>
      <c r="C93" s="45" t="s">
        <v>11503</v>
      </c>
      <c r="D93" s="46">
        <v>17.98</v>
      </c>
      <c r="E93" s="45" t="s">
        <v>12357</v>
      </c>
      <c r="F93" s="45"/>
      <c r="G93" s="9">
        <v>58.56756</v>
      </c>
      <c r="H93" s="9">
        <v>-2.6896399999999998</v>
      </c>
      <c r="I93" s="9">
        <v>-145.566</v>
      </c>
      <c r="J93" s="9">
        <v>23.44547</v>
      </c>
      <c r="K93" s="9">
        <v>23.44547</v>
      </c>
      <c r="L93" s="9">
        <v>0.47732000000000002</v>
      </c>
      <c r="M93" s="9">
        <v>4.7034399999999996</v>
      </c>
      <c r="N93" s="10" t="s">
        <v>12466</v>
      </c>
      <c r="P93" s="32">
        <v>45455</v>
      </c>
      <c r="R93" s="35">
        <v>0.44735000000000003</v>
      </c>
      <c r="S93" s="34">
        <v>45454</v>
      </c>
      <c r="T93" s="35">
        <v>0.36236000000000002</v>
      </c>
      <c r="U93" s="34">
        <v>45453</v>
      </c>
      <c r="V93" s="35">
        <v>0.35596</v>
      </c>
      <c r="W93" s="34">
        <v>45452</v>
      </c>
      <c r="X93" s="35">
        <v>0.35504999999999998</v>
      </c>
      <c r="Y93" s="34">
        <v>45451</v>
      </c>
      <c r="Z93" s="35">
        <v>0.35504999999999998</v>
      </c>
      <c r="AA93" s="34">
        <v>45456</v>
      </c>
      <c r="AB93" s="35">
        <v>0.40455000000000002</v>
      </c>
      <c r="AC93" s="34">
        <v>45457</v>
      </c>
      <c r="AD93" s="35">
        <v>0.40883999999999998</v>
      </c>
      <c r="AE93" s="34">
        <v>45458</v>
      </c>
      <c r="AF93" s="35">
        <v>0.40883999999999998</v>
      </c>
      <c r="AG93" s="34">
        <v>45459</v>
      </c>
      <c r="AH93" s="35">
        <v>0.40883999999999998</v>
      </c>
      <c r="AI93" s="36">
        <v>0.11643117341869957</v>
      </c>
      <c r="AK93" s="34">
        <v>45448</v>
      </c>
      <c r="AL93" s="35">
        <v>0.36151</v>
      </c>
      <c r="AM93" s="34">
        <v>45462</v>
      </c>
      <c r="AN93" s="5">
        <v>0.37004999999999999</v>
      </c>
      <c r="AP93" s="36">
        <v>2.3623136289452562E-2</v>
      </c>
      <c r="AS93" s="5" t="s">
        <v>12389</v>
      </c>
      <c r="AT93" s="5">
        <v>10.95</v>
      </c>
      <c r="AU93" s="5">
        <v>60.88</v>
      </c>
      <c r="AV93" s="5" t="s">
        <v>12400</v>
      </c>
      <c r="AW93" s="5" t="s">
        <v>12400</v>
      </c>
      <c r="AX93" s="5">
        <v>39.119999999999997</v>
      </c>
      <c r="AZ93" s="49" t="s">
        <v>12408</v>
      </c>
      <c r="BA93" s="50" t="s">
        <v>12408</v>
      </c>
      <c r="BC93" s="51">
        <v>0.31846000000000002</v>
      </c>
      <c r="BR93" s="26">
        <v>0</v>
      </c>
    </row>
    <row r="94" spans="1:70" ht="15" customHeight="1" x14ac:dyDescent="0.4">
      <c r="A94" s="27" t="s">
        <v>11055</v>
      </c>
      <c r="B94" s="44" t="s">
        <v>12000</v>
      </c>
      <c r="C94" s="45" t="s">
        <v>11504</v>
      </c>
      <c r="D94" s="46">
        <v>513.6</v>
      </c>
      <c r="E94" s="45" t="s">
        <v>12359</v>
      </c>
      <c r="F94" s="45"/>
      <c r="G94" s="9">
        <v>6092.0403999999999</v>
      </c>
      <c r="H94" s="9" t="s">
        <v>11415</v>
      </c>
      <c r="I94" s="9" t="s">
        <v>11415</v>
      </c>
      <c r="J94" s="9">
        <v>40887.559759999996</v>
      </c>
      <c r="K94" s="9">
        <v>40887.559759999996</v>
      </c>
      <c r="L94" s="9">
        <v>898.02967999999998</v>
      </c>
      <c r="M94" s="9">
        <v>2812.0951700000001</v>
      </c>
      <c r="N94" s="10" t="s">
        <v>12473</v>
      </c>
      <c r="P94" s="32">
        <v>45455</v>
      </c>
      <c r="R94" s="35">
        <v>2.2966700000000002</v>
      </c>
      <c r="S94" s="34">
        <v>45454</v>
      </c>
      <c r="T94" s="35">
        <v>2.3835999999999999</v>
      </c>
      <c r="U94" s="34">
        <v>45453</v>
      </c>
      <c r="V94" s="35">
        <v>2.3426999999999998</v>
      </c>
      <c r="W94" s="34">
        <v>45452</v>
      </c>
      <c r="X94" s="35">
        <v>2.4293999999999998</v>
      </c>
      <c r="Y94" s="34">
        <v>45451</v>
      </c>
      <c r="Z94" s="35">
        <v>2.4293999999999998</v>
      </c>
      <c r="AA94" s="34">
        <v>45456</v>
      </c>
      <c r="AB94" s="35">
        <v>2.2629899999999998</v>
      </c>
      <c r="AC94" s="34">
        <v>45457</v>
      </c>
      <c r="AD94" s="35">
        <v>2.2751199999999998</v>
      </c>
      <c r="AE94" s="34">
        <v>45458</v>
      </c>
      <c r="AF94" s="35">
        <v>2.2751199999999998</v>
      </c>
      <c r="AG94" s="34">
        <v>45459</v>
      </c>
      <c r="AH94" s="35">
        <v>2.2751199999999998</v>
      </c>
      <c r="AI94" s="36">
        <v>-5.0599932874643483E-2</v>
      </c>
      <c r="AK94" s="34">
        <v>45448</v>
      </c>
      <c r="AL94" s="35">
        <v>2.6816900000000001</v>
      </c>
      <c r="AM94" s="34">
        <v>45462</v>
      </c>
      <c r="AN94" s="5">
        <v>2.34293</v>
      </c>
      <c r="AP94" s="36">
        <v>-0.12632332596235962</v>
      </c>
      <c r="AS94" s="5" t="s">
        <v>12387</v>
      </c>
      <c r="AT94" s="5">
        <v>513.6</v>
      </c>
      <c r="AU94" s="5">
        <v>100</v>
      </c>
      <c r="AV94" s="5" t="s">
        <v>12400</v>
      </c>
      <c r="AW94" s="5" t="s">
        <v>12400</v>
      </c>
      <c r="AX94" s="5" t="s">
        <v>12400</v>
      </c>
      <c r="AZ94" s="49" t="s">
        <v>12426</v>
      </c>
      <c r="BA94" s="50" t="s">
        <v>12415</v>
      </c>
      <c r="BC94" s="51">
        <v>0.30003999999999997</v>
      </c>
      <c r="BR94" s="26">
        <v>0</v>
      </c>
    </row>
    <row r="95" spans="1:70" ht="15" customHeight="1" x14ac:dyDescent="0.4">
      <c r="A95" s="27" t="s">
        <v>11056</v>
      </c>
      <c r="B95" s="44" t="s">
        <v>12001</v>
      </c>
      <c r="C95" s="45" t="s">
        <v>11505</v>
      </c>
      <c r="D95" s="46">
        <v>33.08</v>
      </c>
      <c r="E95" s="45" t="s">
        <v>12357</v>
      </c>
      <c r="F95" s="45"/>
      <c r="G95" s="9">
        <v>79.138199999999998</v>
      </c>
      <c r="H95" s="9">
        <v>88.117769999999993</v>
      </c>
      <c r="I95" s="9">
        <v>8.0298999999999996</v>
      </c>
      <c r="J95" s="9">
        <v>598.08555000000001</v>
      </c>
      <c r="K95" s="9">
        <v>598.08555000000001</v>
      </c>
      <c r="L95" s="9">
        <v>54.13843</v>
      </c>
      <c r="M95" s="9">
        <v>-28.89132</v>
      </c>
      <c r="N95" s="10" t="s">
        <v>12467</v>
      </c>
      <c r="P95" s="32">
        <v>45454</v>
      </c>
      <c r="R95" s="35">
        <v>13.739929999999999</v>
      </c>
      <c r="S95" s="34">
        <v>45453</v>
      </c>
      <c r="T95" s="35">
        <v>13.666729999999999</v>
      </c>
      <c r="U95" s="34">
        <v>45452</v>
      </c>
      <c r="V95" s="35">
        <v>13.562860000000001</v>
      </c>
      <c r="W95" s="34">
        <v>45451</v>
      </c>
      <c r="X95" s="35">
        <v>13.562860000000001</v>
      </c>
      <c r="Y95" s="34">
        <v>45450</v>
      </c>
      <c r="Z95" s="35">
        <v>13.562860000000001</v>
      </c>
      <c r="AA95" s="34">
        <v>45455</v>
      </c>
      <c r="AB95" s="35">
        <v>14.04707</v>
      </c>
      <c r="AC95" s="34">
        <v>45456</v>
      </c>
      <c r="AD95" s="35">
        <v>13.701599999999999</v>
      </c>
      <c r="AE95" s="34">
        <v>45457</v>
      </c>
      <c r="AF95" s="35">
        <v>13.54419</v>
      </c>
      <c r="AG95" s="34">
        <v>45458</v>
      </c>
      <c r="AH95" s="35">
        <v>13.54419</v>
      </c>
      <c r="AI95" s="36">
        <v>2.7829627130996348E-2</v>
      </c>
      <c r="AK95" s="34">
        <v>45447</v>
      </c>
      <c r="AL95" s="35">
        <v>13.577439999999999</v>
      </c>
      <c r="AM95" s="34">
        <v>45461</v>
      </c>
      <c r="AN95" s="5">
        <v>13.65222</v>
      </c>
      <c r="AP95" s="36">
        <v>5.5076656571488858E-3</v>
      </c>
      <c r="AS95" s="5" t="s">
        <v>12387</v>
      </c>
      <c r="AT95" s="5">
        <v>27.99</v>
      </c>
      <c r="AU95" s="5">
        <v>100</v>
      </c>
      <c r="AV95" s="5" t="s">
        <v>12400</v>
      </c>
      <c r="AW95" s="5" t="s">
        <v>12400</v>
      </c>
      <c r="AX95" s="5" t="s">
        <v>12400</v>
      </c>
      <c r="AZ95" s="49" t="s">
        <v>12415</v>
      </c>
      <c r="BA95" s="50" t="s">
        <v>12415</v>
      </c>
      <c r="BC95" s="51">
        <v>0.84431</v>
      </c>
      <c r="BR95" s="26">
        <v>0</v>
      </c>
    </row>
    <row r="96" spans="1:70" ht="15" customHeight="1" x14ac:dyDescent="0.4">
      <c r="A96" s="27" t="s">
        <v>11057</v>
      </c>
      <c r="B96" s="44" t="s">
        <v>12002</v>
      </c>
      <c r="C96" s="45" t="s">
        <v>11506</v>
      </c>
      <c r="D96" s="46">
        <v>26.7</v>
      </c>
      <c r="E96" s="45" t="s">
        <v>12357</v>
      </c>
      <c r="F96" s="45"/>
      <c r="G96" s="9">
        <v>57.919260000000001</v>
      </c>
      <c r="H96" s="9">
        <v>99.671369999999996</v>
      </c>
      <c r="I96" s="9">
        <v>16.931699999999999</v>
      </c>
      <c r="J96" s="9">
        <v>772.27799000000005</v>
      </c>
      <c r="K96" s="9">
        <v>772.27799000000005</v>
      </c>
      <c r="L96" s="9">
        <v>124.57329</v>
      </c>
      <c r="M96" s="9">
        <v>-64.197280000000006</v>
      </c>
      <c r="N96" s="10" t="s">
        <v>12468</v>
      </c>
      <c r="P96" s="32">
        <v>45454</v>
      </c>
      <c r="R96" s="35">
        <v>33.522889999999997</v>
      </c>
      <c r="S96" s="34">
        <v>45453</v>
      </c>
      <c r="T96" s="35">
        <v>31.30368</v>
      </c>
      <c r="U96" s="34">
        <v>45452</v>
      </c>
      <c r="V96" s="35">
        <v>31.680599999999998</v>
      </c>
      <c r="W96" s="34">
        <v>45451</v>
      </c>
      <c r="X96" s="35">
        <v>31.680599999999998</v>
      </c>
      <c r="Y96" s="34">
        <v>45450</v>
      </c>
      <c r="Z96" s="35">
        <v>31.680599999999998</v>
      </c>
      <c r="AA96" s="34">
        <v>45455</v>
      </c>
      <c r="AB96" s="35">
        <v>34.154670000000003</v>
      </c>
      <c r="AC96" s="34">
        <v>45456</v>
      </c>
      <c r="AD96" s="35">
        <v>33.233400000000003</v>
      </c>
      <c r="AE96" s="34">
        <v>45457</v>
      </c>
      <c r="AF96" s="35">
        <v>32.972749999999998</v>
      </c>
      <c r="AG96" s="34">
        <v>45458</v>
      </c>
      <c r="AH96" s="35">
        <v>32.972749999999998</v>
      </c>
      <c r="AI96" s="36">
        <v>9.1075234605004995E-2</v>
      </c>
      <c r="AK96" s="34">
        <v>45447</v>
      </c>
      <c r="AL96" s="35">
        <v>30.491700000000002</v>
      </c>
      <c r="AM96" s="34">
        <v>45461</v>
      </c>
      <c r="AN96" s="5">
        <v>33.369280000000003</v>
      </c>
      <c r="AP96" s="36">
        <v>9.4372566960845061E-2</v>
      </c>
      <c r="AS96" s="5" t="s">
        <v>12387</v>
      </c>
      <c r="AT96" s="5">
        <v>18.91</v>
      </c>
      <c r="AU96" s="5">
        <v>100</v>
      </c>
      <c r="AV96" s="5" t="s">
        <v>12400</v>
      </c>
      <c r="AW96" s="5" t="s">
        <v>12400</v>
      </c>
      <c r="AX96" s="5" t="s">
        <v>12400</v>
      </c>
      <c r="AZ96" s="49" t="s">
        <v>12415</v>
      </c>
      <c r="BA96" s="50" t="s">
        <v>12412</v>
      </c>
      <c r="BC96" s="51">
        <v>0.93425999999999998</v>
      </c>
      <c r="BR96" s="26">
        <v>0</v>
      </c>
    </row>
    <row r="97" spans="1:70" ht="15" customHeight="1" x14ac:dyDescent="0.4">
      <c r="A97" s="27" t="s">
        <v>11058</v>
      </c>
      <c r="B97" s="44" t="s">
        <v>12003</v>
      </c>
      <c r="C97" s="45" t="s">
        <v>11507</v>
      </c>
      <c r="D97" s="46">
        <v>190.2</v>
      </c>
      <c r="E97" s="45" t="s">
        <v>12357</v>
      </c>
      <c r="F97" s="45"/>
      <c r="G97" s="9">
        <v>215.77759</v>
      </c>
      <c r="H97" s="9">
        <v>466.55556999999999</v>
      </c>
      <c r="I97" s="9">
        <v>5.7846000000000002</v>
      </c>
      <c r="J97" s="9">
        <v>2984.8817100000001</v>
      </c>
      <c r="K97" s="9">
        <v>2984.8817100000001</v>
      </c>
      <c r="L97" s="9">
        <v>68.412239999999997</v>
      </c>
      <c r="M97" s="9">
        <v>902.48472000000004</v>
      </c>
      <c r="N97" s="10" t="s">
        <v>12471</v>
      </c>
      <c r="P97" s="32">
        <v>45454</v>
      </c>
      <c r="R97" s="35">
        <v>25.97146</v>
      </c>
      <c r="S97" s="34">
        <v>45453</v>
      </c>
      <c r="T97" s="35">
        <v>25.464400000000001</v>
      </c>
      <c r="U97" s="34">
        <v>45452</v>
      </c>
      <c r="V97" s="35">
        <v>25.550450000000001</v>
      </c>
      <c r="W97" s="34">
        <v>45451</v>
      </c>
      <c r="X97" s="35">
        <v>25.550450000000001</v>
      </c>
      <c r="Y97" s="34">
        <v>45450</v>
      </c>
      <c r="Z97" s="35">
        <v>25.550450000000001</v>
      </c>
      <c r="AA97" s="34">
        <v>45455</v>
      </c>
      <c r="AB97" s="35">
        <v>26.504370000000002</v>
      </c>
      <c r="AC97" s="34">
        <v>45456</v>
      </c>
      <c r="AD97" s="35">
        <v>26.026579999999999</v>
      </c>
      <c r="AE97" s="34">
        <v>45457</v>
      </c>
      <c r="AF97" s="35">
        <v>26.13157</v>
      </c>
      <c r="AG97" s="34">
        <v>45458</v>
      </c>
      <c r="AH97" s="35">
        <v>26.13157</v>
      </c>
      <c r="AI97" s="36">
        <v>4.0840153312074801E-2</v>
      </c>
      <c r="AK97" s="34">
        <v>45447</v>
      </c>
      <c r="AL97" s="35">
        <v>25.781680000000001</v>
      </c>
      <c r="AM97" s="34">
        <v>45461</v>
      </c>
      <c r="AN97" s="5">
        <v>26.60201</v>
      </c>
      <c r="AP97" s="36">
        <v>3.1818329914885313E-2</v>
      </c>
      <c r="AS97" s="5" t="s">
        <v>12387</v>
      </c>
      <c r="AT97" s="5">
        <v>190.2</v>
      </c>
      <c r="AU97" s="5">
        <v>100</v>
      </c>
      <c r="AV97" s="5" t="s">
        <v>12400</v>
      </c>
      <c r="AW97" s="5" t="s">
        <v>12400</v>
      </c>
      <c r="AX97" s="5" t="s">
        <v>12400</v>
      </c>
      <c r="AZ97" s="49" t="s">
        <v>12409</v>
      </c>
      <c r="BA97" s="50" t="s">
        <v>12409</v>
      </c>
      <c r="BC97" s="51">
        <v>0.71364000000000005</v>
      </c>
      <c r="BR97" s="26">
        <v>0</v>
      </c>
    </row>
    <row r="98" spans="1:70" ht="15" customHeight="1" x14ac:dyDescent="0.4">
      <c r="A98" s="27" t="s">
        <v>11059</v>
      </c>
      <c r="B98" s="44" t="s">
        <v>12004</v>
      </c>
      <c r="C98" s="45" t="s">
        <v>11508</v>
      </c>
      <c r="D98" s="46">
        <v>13.04</v>
      </c>
      <c r="E98" s="45" t="s">
        <v>12357</v>
      </c>
      <c r="F98" s="45"/>
      <c r="G98" s="9">
        <v>19.668019999999999</v>
      </c>
      <c r="H98" s="9">
        <v>0.29679</v>
      </c>
      <c r="I98" s="9">
        <v>4.1643999999999997</v>
      </c>
      <c r="J98" s="9">
        <v>8.7010199999999998</v>
      </c>
      <c r="K98" s="9">
        <v>8.7010199999999998</v>
      </c>
      <c r="L98" s="9">
        <v>0</v>
      </c>
      <c r="M98" s="9">
        <v>1.4992099999999999</v>
      </c>
      <c r="N98" s="10" t="s">
        <v>12468</v>
      </c>
      <c r="P98" s="32">
        <v>45454</v>
      </c>
      <c r="R98" s="35">
        <v>0.12404</v>
      </c>
      <c r="S98" s="34">
        <v>45453</v>
      </c>
      <c r="T98" s="35">
        <v>0.12407</v>
      </c>
      <c r="U98" s="34">
        <v>45452</v>
      </c>
      <c r="V98" s="35">
        <v>0.12404999999999999</v>
      </c>
      <c r="W98" s="34">
        <v>45451</v>
      </c>
      <c r="X98" s="35">
        <v>0.12404999999999999</v>
      </c>
      <c r="Y98" s="34">
        <v>45450</v>
      </c>
      <c r="Z98" s="35">
        <v>0.12404999999999999</v>
      </c>
      <c r="AA98" s="34">
        <v>45455</v>
      </c>
      <c r="AB98" s="35">
        <v>0.12519</v>
      </c>
      <c r="AC98" s="34">
        <v>45456</v>
      </c>
      <c r="AD98" s="35">
        <v>0.12439</v>
      </c>
      <c r="AE98" s="34">
        <v>45457</v>
      </c>
      <c r="AF98" s="35">
        <v>0.12365</v>
      </c>
      <c r="AG98" s="34">
        <v>45458</v>
      </c>
      <c r="AH98" s="35">
        <v>0.12365</v>
      </c>
      <c r="AI98" s="36">
        <v>9.0271620859192492E-3</v>
      </c>
      <c r="AK98" s="34">
        <v>45447</v>
      </c>
      <c r="AL98" s="35">
        <v>0.12465</v>
      </c>
      <c r="AM98" s="34">
        <v>45461</v>
      </c>
      <c r="AN98" s="5">
        <v>0.12053999999999999</v>
      </c>
      <c r="AP98" s="36">
        <v>-3.2972322503008411E-2</v>
      </c>
      <c r="AS98" s="5" t="s">
        <v>12387</v>
      </c>
      <c r="AT98" s="5">
        <v>13.04</v>
      </c>
      <c r="AU98" s="5">
        <v>100</v>
      </c>
      <c r="AV98" s="5" t="s">
        <v>12400</v>
      </c>
      <c r="AW98" s="5" t="s">
        <v>12400</v>
      </c>
      <c r="AX98" s="5" t="s">
        <v>12400</v>
      </c>
      <c r="AZ98" s="49" t="s">
        <v>12417</v>
      </c>
      <c r="BA98" s="50" t="s">
        <v>12415</v>
      </c>
      <c r="BC98" s="51">
        <v>0.34106999999999998</v>
      </c>
      <c r="BR98" s="26">
        <v>0</v>
      </c>
    </row>
    <row r="99" spans="1:70" ht="15" customHeight="1" x14ac:dyDescent="0.4">
      <c r="A99" s="27" t="s">
        <v>11060</v>
      </c>
      <c r="B99" s="44" t="s">
        <v>12005</v>
      </c>
      <c r="C99" s="45" t="s">
        <v>11509</v>
      </c>
      <c r="D99" s="46">
        <v>3.36</v>
      </c>
      <c r="E99" s="45" t="s">
        <v>12357</v>
      </c>
      <c r="F99" s="45"/>
      <c r="G99" s="9">
        <v>28.288489999999999</v>
      </c>
      <c r="H99" s="9">
        <v>40.5</v>
      </c>
      <c r="I99" s="9">
        <v>2.1074999999999999</v>
      </c>
      <c r="J99" s="9">
        <v>2737</v>
      </c>
      <c r="K99" s="9">
        <v>2737</v>
      </c>
      <c r="L99" s="9">
        <v>407</v>
      </c>
      <c r="M99" s="9">
        <v>101.1</v>
      </c>
      <c r="N99" s="10" t="s">
        <v>12466</v>
      </c>
      <c r="P99" s="32">
        <v>45453</v>
      </c>
      <c r="R99" s="35">
        <v>19.579999999999998</v>
      </c>
      <c r="S99" s="34">
        <v>45452</v>
      </c>
      <c r="T99" s="35">
        <v>18.7</v>
      </c>
      <c r="U99" s="34">
        <v>45451</v>
      </c>
      <c r="V99" s="35">
        <v>18.7</v>
      </c>
      <c r="W99" s="34">
        <v>45450</v>
      </c>
      <c r="X99" s="35">
        <v>18.7</v>
      </c>
      <c r="Y99" s="34">
        <v>45449</v>
      </c>
      <c r="Z99" s="35">
        <v>19.05</v>
      </c>
      <c r="AA99" s="34">
        <v>45454</v>
      </c>
      <c r="AB99" s="35">
        <v>19.39</v>
      </c>
      <c r="AC99" s="34">
        <v>45455</v>
      </c>
      <c r="AD99" s="35">
        <v>19.38</v>
      </c>
      <c r="AE99" s="34">
        <v>45456</v>
      </c>
      <c r="AF99" s="35">
        <v>19.13</v>
      </c>
      <c r="AG99" s="34">
        <v>45457</v>
      </c>
      <c r="AH99" s="35">
        <v>18.7</v>
      </c>
      <c r="AI99" s="36">
        <v>3.6898395721925104E-2</v>
      </c>
      <c r="AK99" s="34">
        <v>45446</v>
      </c>
      <c r="AL99" s="35">
        <v>20.02</v>
      </c>
      <c r="AM99" s="34">
        <v>45460</v>
      </c>
      <c r="AN99" s="5">
        <v>18.07</v>
      </c>
      <c r="AP99" s="36">
        <v>-9.740259740259738E-2</v>
      </c>
      <c r="AS99" s="5" t="s">
        <v>12387</v>
      </c>
      <c r="AT99" s="5">
        <v>2.76</v>
      </c>
      <c r="AU99" s="5">
        <v>100</v>
      </c>
      <c r="AV99" s="5" t="s">
        <v>12400</v>
      </c>
      <c r="AW99" s="5" t="s">
        <v>12400</v>
      </c>
      <c r="AX99" s="5" t="s">
        <v>12400</v>
      </c>
      <c r="AZ99" s="49" t="s">
        <v>12417</v>
      </c>
      <c r="BA99" s="50" t="s">
        <v>12415</v>
      </c>
      <c r="BC99" s="51">
        <v>1.1594</v>
      </c>
      <c r="BR99" s="26">
        <v>0</v>
      </c>
    </row>
    <row r="100" spans="1:70" ht="15" customHeight="1" x14ac:dyDescent="0.4">
      <c r="A100" s="27" t="s">
        <v>11061</v>
      </c>
      <c r="B100" s="44" t="s">
        <v>12006</v>
      </c>
      <c r="C100" s="45" t="s">
        <v>11510</v>
      </c>
      <c r="D100" s="46">
        <v>91.35</v>
      </c>
      <c r="E100" s="45" t="s">
        <v>12357</v>
      </c>
      <c r="F100" s="45"/>
      <c r="G100" s="9">
        <v>81.640129999999999</v>
      </c>
      <c r="H100" s="9">
        <v>-0.40583999999999998</v>
      </c>
      <c r="I100" s="9" t="s">
        <v>11413</v>
      </c>
      <c r="J100" s="9">
        <v>36.174129999999998</v>
      </c>
      <c r="K100" s="9">
        <v>36.174129999999998</v>
      </c>
      <c r="L100" s="9">
        <v>0.20172999999999999</v>
      </c>
      <c r="M100" s="9">
        <v>-0.16236</v>
      </c>
      <c r="N100" s="10" t="s">
        <v>12466</v>
      </c>
      <c r="P100" s="32">
        <v>45453</v>
      </c>
      <c r="R100" s="35">
        <v>10.81</v>
      </c>
      <c r="S100" s="34">
        <v>45452</v>
      </c>
      <c r="T100" s="35">
        <v>10.28</v>
      </c>
      <c r="U100" s="34">
        <v>45451</v>
      </c>
      <c r="V100" s="35">
        <v>10.28</v>
      </c>
      <c r="W100" s="34">
        <v>45450</v>
      </c>
      <c r="X100" s="35">
        <v>10.28</v>
      </c>
      <c r="Y100" s="34">
        <v>45449</v>
      </c>
      <c r="Z100" s="35">
        <v>10.87</v>
      </c>
      <c r="AA100" s="34">
        <v>45454</v>
      </c>
      <c r="AB100" s="35">
        <v>9.9</v>
      </c>
      <c r="AC100" s="34">
        <v>45455</v>
      </c>
      <c r="AD100" s="35">
        <v>10.199999999999999</v>
      </c>
      <c r="AE100" s="34">
        <v>45456</v>
      </c>
      <c r="AF100" s="35">
        <v>11.39</v>
      </c>
      <c r="AG100" s="34">
        <v>45457</v>
      </c>
      <c r="AH100" s="35">
        <v>11.53</v>
      </c>
      <c r="AI100" s="36">
        <v>-3.696498054474695E-2</v>
      </c>
      <c r="AK100" s="34">
        <v>45446</v>
      </c>
      <c r="AL100" s="35">
        <v>11.28</v>
      </c>
      <c r="AM100" s="34">
        <v>45460</v>
      </c>
      <c r="AN100" s="5">
        <v>11.3</v>
      </c>
      <c r="AP100" s="36">
        <v>1.7730496453902678E-3</v>
      </c>
      <c r="AS100" s="5" t="s">
        <v>12389</v>
      </c>
      <c r="AT100" s="5">
        <v>5</v>
      </c>
      <c r="AU100" s="5">
        <v>5.47</v>
      </c>
      <c r="AV100" s="5" t="s">
        <v>12400</v>
      </c>
      <c r="AW100" s="5" t="s">
        <v>12400</v>
      </c>
      <c r="AX100" s="5">
        <v>94.53</v>
      </c>
      <c r="AZ100" s="49" t="s">
        <v>12431</v>
      </c>
      <c r="BA100" s="50" t="s">
        <v>12414</v>
      </c>
      <c r="BC100" s="51">
        <v>1.36368</v>
      </c>
      <c r="BR100" s="26">
        <v>0</v>
      </c>
    </row>
    <row r="101" spans="1:70" ht="15" customHeight="1" x14ac:dyDescent="0.4">
      <c r="A101" s="27" t="s">
        <v>11062</v>
      </c>
      <c r="B101" s="44" t="s">
        <v>12007</v>
      </c>
      <c r="C101" s="45" t="s">
        <v>11511</v>
      </c>
      <c r="D101" s="46">
        <v>2.2599999999999998</v>
      </c>
      <c r="E101" s="45" t="s">
        <v>12357</v>
      </c>
      <c r="F101" s="45"/>
      <c r="G101" s="9">
        <v>6.7960000000000003</v>
      </c>
      <c r="H101" s="9">
        <v>4.8723299999999998</v>
      </c>
      <c r="I101" s="9">
        <v>4.7001999999999997</v>
      </c>
      <c r="J101" s="9">
        <v>54.769539999999999</v>
      </c>
      <c r="K101" s="9">
        <v>54.769539999999999</v>
      </c>
      <c r="L101" s="9">
        <v>0.16691</v>
      </c>
      <c r="M101" s="9">
        <v>12.87388</v>
      </c>
      <c r="N101" s="10" t="s">
        <v>12474</v>
      </c>
      <c r="P101" s="32">
        <v>45453</v>
      </c>
      <c r="R101" s="35">
        <v>2.7395800000000001</v>
      </c>
      <c r="S101" s="34">
        <v>45452</v>
      </c>
      <c r="T101" s="35">
        <v>2.6804999999999999</v>
      </c>
      <c r="U101" s="34">
        <v>45451</v>
      </c>
      <c r="V101" s="35">
        <v>2.6804999999999999</v>
      </c>
      <c r="W101" s="34">
        <v>45450</v>
      </c>
      <c r="X101" s="35">
        <v>2.6804999999999999</v>
      </c>
      <c r="Y101" s="34">
        <v>45449</v>
      </c>
      <c r="Z101" s="35">
        <v>2.6985899999999998</v>
      </c>
      <c r="AA101" s="34">
        <v>45454</v>
      </c>
      <c r="AB101" s="35">
        <v>2.72444</v>
      </c>
      <c r="AC101" s="34">
        <v>45455</v>
      </c>
      <c r="AD101" s="35">
        <v>2.7551800000000002</v>
      </c>
      <c r="AE101" s="34">
        <v>45456</v>
      </c>
      <c r="AF101" s="35">
        <v>2.7664200000000001</v>
      </c>
      <c r="AG101" s="34">
        <v>45457</v>
      </c>
      <c r="AH101" s="35">
        <v>2.7168700000000001</v>
      </c>
      <c r="AI101" s="36">
        <v>1.6392464092520154E-2</v>
      </c>
      <c r="AK101" s="34">
        <v>45446</v>
      </c>
      <c r="AL101" s="35">
        <v>2.6671</v>
      </c>
      <c r="AM101" s="34">
        <v>45460</v>
      </c>
      <c r="AN101" s="5">
        <v>2.71285</v>
      </c>
      <c r="AP101" s="36">
        <v>1.7153462562333521E-2</v>
      </c>
      <c r="AS101" s="5" t="s">
        <v>12387</v>
      </c>
      <c r="AT101" s="5">
        <v>2.2599999999999998</v>
      </c>
      <c r="AU101" s="5">
        <v>100</v>
      </c>
      <c r="AV101" s="5" t="s">
        <v>12400</v>
      </c>
      <c r="AW101" s="5" t="s">
        <v>12400</v>
      </c>
      <c r="AX101" s="5" t="s">
        <v>12400</v>
      </c>
      <c r="AZ101" s="49" t="s">
        <v>12411</v>
      </c>
      <c r="BA101" s="50" t="s">
        <v>12411</v>
      </c>
      <c r="BC101" s="51">
        <v>1.03498</v>
      </c>
      <c r="BR101" s="26">
        <v>0</v>
      </c>
    </row>
    <row r="102" spans="1:70" ht="15" customHeight="1" x14ac:dyDescent="0.4">
      <c r="A102" s="27" t="s">
        <v>11063</v>
      </c>
      <c r="B102" s="44" t="s">
        <v>12008</v>
      </c>
      <c r="C102" s="45" t="s">
        <v>11512</v>
      </c>
      <c r="D102" s="46">
        <v>12.34</v>
      </c>
      <c r="E102" s="45" t="s">
        <v>12357</v>
      </c>
      <c r="F102" s="45"/>
      <c r="G102" s="9">
        <v>89.766689999999997</v>
      </c>
      <c r="H102" s="9" t="s">
        <v>11415</v>
      </c>
      <c r="I102" s="9" t="s">
        <v>11415</v>
      </c>
      <c r="J102" s="9">
        <v>21166.197</v>
      </c>
      <c r="K102" s="9">
        <v>21166.197</v>
      </c>
      <c r="L102" s="9">
        <v>378.13099999999997</v>
      </c>
      <c r="M102" s="9">
        <v>1133.575</v>
      </c>
      <c r="N102" s="10" t="s">
        <v>12473</v>
      </c>
      <c r="P102" s="32">
        <v>45453</v>
      </c>
      <c r="R102" s="35">
        <v>30.73</v>
      </c>
      <c r="S102" s="34">
        <v>45452</v>
      </c>
      <c r="T102" s="35">
        <v>31.6</v>
      </c>
      <c r="U102" s="34">
        <v>45451</v>
      </c>
      <c r="V102" s="35">
        <v>31.6</v>
      </c>
      <c r="W102" s="34">
        <v>45450</v>
      </c>
      <c r="X102" s="35">
        <v>31.6</v>
      </c>
      <c r="Y102" s="34">
        <v>45449</v>
      </c>
      <c r="Z102" s="35">
        <v>31.69</v>
      </c>
      <c r="AA102" s="34">
        <v>45454</v>
      </c>
      <c r="AB102" s="35">
        <v>31.05</v>
      </c>
      <c r="AC102" s="34">
        <v>45455</v>
      </c>
      <c r="AD102" s="35">
        <v>31.81</v>
      </c>
      <c r="AE102" s="34">
        <v>45456</v>
      </c>
      <c r="AF102" s="35">
        <v>31.47</v>
      </c>
      <c r="AG102" s="34">
        <v>45457</v>
      </c>
      <c r="AH102" s="35">
        <v>30.9</v>
      </c>
      <c r="AI102" s="36">
        <v>-1.7405063291139222E-2</v>
      </c>
      <c r="AK102" s="34">
        <v>45446</v>
      </c>
      <c r="AL102" s="35">
        <v>32.04</v>
      </c>
      <c r="AM102" s="34">
        <v>45460</v>
      </c>
      <c r="AN102" s="5">
        <v>31.37</v>
      </c>
      <c r="AP102" s="36">
        <v>-2.0911360799001244E-2</v>
      </c>
      <c r="AS102" s="5" t="s">
        <v>12387</v>
      </c>
      <c r="AT102" s="5">
        <v>12.34</v>
      </c>
      <c r="AU102" s="5">
        <v>100</v>
      </c>
      <c r="AV102" s="5" t="s">
        <v>12400</v>
      </c>
      <c r="AW102" s="5" t="s">
        <v>12400</v>
      </c>
      <c r="AX102" s="5" t="s">
        <v>12400</v>
      </c>
      <c r="AZ102" s="49" t="s">
        <v>12405</v>
      </c>
      <c r="BA102" s="50" t="s">
        <v>12415</v>
      </c>
      <c r="BC102" s="51">
        <v>0.84030000000000005</v>
      </c>
      <c r="BR102" s="26">
        <v>0</v>
      </c>
    </row>
    <row r="103" spans="1:70" ht="15" customHeight="1" x14ac:dyDescent="0.4">
      <c r="A103" s="27" t="s">
        <v>11064</v>
      </c>
      <c r="B103" s="44" t="s">
        <v>12009</v>
      </c>
      <c r="C103" s="45" t="s">
        <v>11513</v>
      </c>
      <c r="D103" s="46">
        <v>28.66</v>
      </c>
      <c r="E103" s="45" t="s">
        <v>12357</v>
      </c>
      <c r="F103" s="45"/>
      <c r="G103" s="9">
        <v>23.676400000000001</v>
      </c>
      <c r="H103" s="9">
        <v>-0.16106000000000001</v>
      </c>
      <c r="I103" s="9">
        <v>-0.1193</v>
      </c>
      <c r="J103" s="9">
        <v>147.68618000000001</v>
      </c>
      <c r="K103" s="9">
        <v>147.68618000000001</v>
      </c>
      <c r="L103" s="9">
        <v>14.341379999999999</v>
      </c>
      <c r="M103" s="9">
        <v>21.4465</v>
      </c>
      <c r="N103" s="10" t="s">
        <v>12467</v>
      </c>
      <c r="P103" s="32">
        <v>45450</v>
      </c>
      <c r="R103" s="35">
        <v>8.0155700000000003</v>
      </c>
      <c r="S103" s="34">
        <v>45449</v>
      </c>
      <c r="T103" s="35">
        <v>8.0231700000000004</v>
      </c>
      <c r="U103" s="34">
        <v>45448</v>
      </c>
      <c r="V103" s="35">
        <v>8.0116999999999994</v>
      </c>
      <c r="W103" s="34">
        <v>45447</v>
      </c>
      <c r="X103" s="35">
        <v>8.0224499999999992</v>
      </c>
      <c r="Y103" s="34">
        <v>45446</v>
      </c>
      <c r="Z103" s="35">
        <v>8.0254300000000001</v>
      </c>
      <c r="AA103" s="34">
        <v>45451</v>
      </c>
      <c r="AB103" s="35">
        <v>8.0155700000000003</v>
      </c>
      <c r="AC103" s="34">
        <v>45452</v>
      </c>
      <c r="AD103" s="35">
        <v>8.0155700000000003</v>
      </c>
      <c r="AE103" s="34">
        <v>45453</v>
      </c>
      <c r="AF103" s="35">
        <v>8.0167999999999999</v>
      </c>
      <c r="AG103" s="34">
        <v>45454</v>
      </c>
      <c r="AH103" s="35">
        <v>8.0149600000000003</v>
      </c>
      <c r="AI103" s="36">
        <v>-9.4725650833771269E-4</v>
      </c>
      <c r="AK103" s="34">
        <v>45443</v>
      </c>
      <c r="AL103" s="35">
        <v>7.9841699999999998</v>
      </c>
      <c r="AM103" s="34">
        <v>45457</v>
      </c>
      <c r="AN103" s="5">
        <v>8.7187599999999996</v>
      </c>
      <c r="AP103" s="36">
        <v>9.2005806489591224E-2</v>
      </c>
      <c r="AS103" s="5" t="s">
        <v>12388</v>
      </c>
      <c r="AT103" s="5">
        <v>19.21</v>
      </c>
      <c r="AU103" s="5">
        <v>93.06</v>
      </c>
      <c r="AV103" s="5" t="s">
        <v>12400</v>
      </c>
      <c r="AW103" s="5" t="s">
        <v>12400</v>
      </c>
      <c r="AX103" s="5">
        <v>6.94</v>
      </c>
      <c r="AZ103" s="49" t="s">
        <v>12403</v>
      </c>
      <c r="BA103" s="50" t="s">
        <v>12415</v>
      </c>
      <c r="BC103" s="51">
        <v>2.7310000000000001E-2</v>
      </c>
      <c r="BR103" s="26">
        <v>0</v>
      </c>
    </row>
    <row r="104" spans="1:70" ht="15" customHeight="1" x14ac:dyDescent="0.4">
      <c r="A104" s="27" t="s">
        <v>11065</v>
      </c>
      <c r="B104" s="44" t="s">
        <v>12010</v>
      </c>
      <c r="C104" s="45" t="s">
        <v>11514</v>
      </c>
      <c r="D104" s="46">
        <v>13.51</v>
      </c>
      <c r="E104" s="45" t="s">
        <v>12359</v>
      </c>
      <c r="F104" s="45"/>
      <c r="G104" s="9">
        <v>128.36591999999999</v>
      </c>
      <c r="H104" s="9">
        <v>19.615210000000001</v>
      </c>
      <c r="I104" s="9">
        <v>9.3896999999999995</v>
      </c>
      <c r="J104" s="9">
        <v>550.26882999999998</v>
      </c>
      <c r="K104" s="9">
        <v>550.26882999999998</v>
      </c>
      <c r="L104" s="9">
        <v>395.79459000000003</v>
      </c>
      <c r="M104" s="9">
        <v>-462.07486</v>
      </c>
      <c r="N104" s="10" t="s">
        <v>12470</v>
      </c>
      <c r="P104" s="32">
        <v>45450</v>
      </c>
      <c r="R104" s="35">
        <v>3.7935599999999998</v>
      </c>
      <c r="S104" s="34">
        <v>45449</v>
      </c>
      <c r="T104" s="35">
        <v>3.7364600000000001</v>
      </c>
      <c r="U104" s="34">
        <v>45448</v>
      </c>
      <c r="V104" s="35">
        <v>3.7135699999999998</v>
      </c>
      <c r="W104" s="34">
        <v>45447</v>
      </c>
      <c r="X104" s="35">
        <v>3.7134399999999999</v>
      </c>
      <c r="Y104" s="34">
        <v>45446</v>
      </c>
      <c r="Z104" s="35">
        <v>3.6385100000000001</v>
      </c>
      <c r="AA104" s="34">
        <v>45451</v>
      </c>
      <c r="AB104" s="35">
        <v>3.7935599999999998</v>
      </c>
      <c r="AC104" s="34">
        <v>45452</v>
      </c>
      <c r="AD104" s="35">
        <v>3.7935599999999998</v>
      </c>
      <c r="AE104" s="34">
        <v>45453</v>
      </c>
      <c r="AF104" s="35">
        <v>3.9375599999999999</v>
      </c>
      <c r="AG104" s="34">
        <v>45454</v>
      </c>
      <c r="AH104" s="35">
        <v>3.8529300000000002</v>
      </c>
      <c r="AI104" s="36">
        <v>1.5281844312531101E-2</v>
      </c>
      <c r="AK104" s="34">
        <v>45443</v>
      </c>
      <c r="AL104" s="35">
        <v>3.63192</v>
      </c>
      <c r="AM104" s="34">
        <v>45457</v>
      </c>
      <c r="AN104" s="5">
        <v>4.0293099999999997</v>
      </c>
      <c r="AP104" s="36">
        <v>0.10941595629859679</v>
      </c>
      <c r="AS104" s="5" t="s">
        <v>12387</v>
      </c>
      <c r="AT104" s="5">
        <v>13.51</v>
      </c>
      <c r="AU104" s="5">
        <v>100</v>
      </c>
      <c r="AV104" s="5" t="s">
        <v>12400</v>
      </c>
      <c r="AW104" s="5" t="s">
        <v>12400</v>
      </c>
      <c r="AX104" s="5" t="s">
        <v>12400</v>
      </c>
      <c r="AZ104" s="49" t="s">
        <v>12423</v>
      </c>
      <c r="BA104" s="50" t="s">
        <v>12410</v>
      </c>
      <c r="BC104" s="51">
        <v>0.22142000000000001</v>
      </c>
      <c r="BR104" s="26">
        <v>0</v>
      </c>
    </row>
    <row r="105" spans="1:70" ht="15" customHeight="1" x14ac:dyDescent="0.4">
      <c r="A105" s="27" t="s">
        <v>11066</v>
      </c>
      <c r="B105" s="44" t="s">
        <v>12011</v>
      </c>
      <c r="C105" s="45" t="s">
        <v>11515</v>
      </c>
      <c r="D105" s="46">
        <v>104.18</v>
      </c>
      <c r="E105" s="45" t="s">
        <v>12357</v>
      </c>
      <c r="F105" s="45"/>
      <c r="G105" s="9">
        <v>0</v>
      </c>
      <c r="H105" s="9">
        <v>0</v>
      </c>
      <c r="I105" s="9">
        <v>0</v>
      </c>
      <c r="J105" s="9">
        <v>243.55477999999999</v>
      </c>
      <c r="K105" s="9">
        <v>243.55477999999999</v>
      </c>
      <c r="L105" s="9">
        <v>18.314039999999999</v>
      </c>
      <c r="M105" s="9">
        <v>103.78637000000001</v>
      </c>
      <c r="N105" s="10" t="s">
        <v>12467</v>
      </c>
      <c r="P105" s="32">
        <v>45450</v>
      </c>
      <c r="R105" s="35">
        <v>0</v>
      </c>
      <c r="S105" s="34">
        <v>45449</v>
      </c>
      <c r="T105" s="35">
        <v>0</v>
      </c>
      <c r="U105" s="34">
        <v>45448</v>
      </c>
      <c r="V105" s="35">
        <v>0</v>
      </c>
      <c r="W105" s="34">
        <v>45447</v>
      </c>
      <c r="X105" s="35">
        <v>0</v>
      </c>
      <c r="Y105" s="34">
        <v>45446</v>
      </c>
      <c r="Z105" s="35">
        <v>0</v>
      </c>
      <c r="AA105" s="34">
        <v>45451</v>
      </c>
      <c r="AB105" s="35">
        <v>0</v>
      </c>
      <c r="AC105" s="34">
        <v>45452</v>
      </c>
      <c r="AD105" s="35">
        <v>0</v>
      </c>
      <c r="AE105" s="34">
        <v>45453</v>
      </c>
      <c r="AF105" s="35">
        <v>0</v>
      </c>
      <c r="AG105" s="34">
        <v>45454</v>
      </c>
      <c r="AH105" s="35">
        <v>0</v>
      </c>
      <c r="AI105" s="36" t="s">
        <v>318</v>
      </c>
      <c r="AK105" s="34">
        <v>45443</v>
      </c>
      <c r="AL105" s="35">
        <v>0</v>
      </c>
      <c r="AM105" s="34">
        <v>45457</v>
      </c>
      <c r="AN105" s="5">
        <v>0</v>
      </c>
      <c r="AP105" s="36" t="s">
        <v>318</v>
      </c>
      <c r="AS105" s="5" t="s">
        <v>12387</v>
      </c>
      <c r="AT105" s="5">
        <v>99.88</v>
      </c>
      <c r="AU105" s="5">
        <v>100</v>
      </c>
      <c r="AV105" s="5" t="s">
        <v>12400</v>
      </c>
      <c r="AW105" s="5" t="s">
        <v>12400</v>
      </c>
      <c r="AX105" s="5" t="s">
        <v>12400</v>
      </c>
      <c r="AZ105" s="49" t="s">
        <v>12408</v>
      </c>
      <c r="BA105" s="50" t="s">
        <v>12408</v>
      </c>
      <c r="BC105" s="51">
        <v>0</v>
      </c>
      <c r="BR105" s="26">
        <v>0</v>
      </c>
    </row>
    <row r="106" spans="1:70" ht="15" customHeight="1" x14ac:dyDescent="0.4">
      <c r="A106" s="27" t="s">
        <v>11067</v>
      </c>
      <c r="B106" s="44" t="s">
        <v>12012</v>
      </c>
      <c r="C106" s="45" t="s">
        <v>11516</v>
      </c>
      <c r="D106" s="46">
        <v>189.15</v>
      </c>
      <c r="E106" s="45" t="s">
        <v>12357</v>
      </c>
      <c r="F106" s="45"/>
      <c r="G106" s="9">
        <v>6856.9513800000004</v>
      </c>
      <c r="H106" s="9">
        <v>6036.3580199999997</v>
      </c>
      <c r="I106" s="9">
        <v>11.505000000000001</v>
      </c>
      <c r="J106" s="9">
        <v>68543.934420000005</v>
      </c>
      <c r="K106" s="9">
        <v>68543.934420000005</v>
      </c>
      <c r="L106" s="9">
        <v>11518.12127</v>
      </c>
      <c r="M106" s="9">
        <v>-9547.2446500000005</v>
      </c>
      <c r="N106" s="10" t="s">
        <v>12474</v>
      </c>
      <c r="P106" s="32">
        <v>45450</v>
      </c>
      <c r="R106" s="35">
        <v>8.9917999999999996</v>
      </c>
      <c r="S106" s="34">
        <v>45449</v>
      </c>
      <c r="T106" s="35">
        <v>9.0767299999999995</v>
      </c>
      <c r="U106" s="34">
        <v>45448</v>
      </c>
      <c r="V106" s="35">
        <v>8.8197100000000006</v>
      </c>
      <c r="W106" s="34">
        <v>45447</v>
      </c>
      <c r="X106" s="35">
        <v>8.9338300000000004</v>
      </c>
      <c r="Y106" s="34">
        <v>45446</v>
      </c>
      <c r="Z106" s="35">
        <v>8.97818</v>
      </c>
      <c r="AA106" s="34">
        <v>45451</v>
      </c>
      <c r="AB106" s="35">
        <v>8.9917999999999996</v>
      </c>
      <c r="AC106" s="34">
        <v>45452</v>
      </c>
      <c r="AD106" s="35">
        <v>8.9917999999999996</v>
      </c>
      <c r="AE106" s="34">
        <v>45453</v>
      </c>
      <c r="AF106" s="35">
        <v>8.9905600000000003</v>
      </c>
      <c r="AG106" s="34">
        <v>45454</v>
      </c>
      <c r="AH106" s="35">
        <v>8.9682399999999998</v>
      </c>
      <c r="AI106" s="36">
        <v>-9.3568939474898416E-3</v>
      </c>
      <c r="AK106" s="34">
        <v>45443</v>
      </c>
      <c r="AL106" s="35">
        <v>8.9421599999999994</v>
      </c>
      <c r="AM106" s="34">
        <v>45457</v>
      </c>
      <c r="AN106" s="5">
        <v>9.0425500000000003</v>
      </c>
      <c r="AP106" s="36">
        <v>1.1226594022026193E-2</v>
      </c>
      <c r="AS106" s="5" t="s">
        <v>12387</v>
      </c>
      <c r="AT106" s="5">
        <v>189.15</v>
      </c>
      <c r="AU106" s="5">
        <v>100</v>
      </c>
      <c r="AV106" s="5" t="s">
        <v>12400</v>
      </c>
      <c r="AW106" s="5" t="s">
        <v>12400</v>
      </c>
      <c r="AX106" s="5" t="s">
        <v>12400</v>
      </c>
      <c r="AZ106" s="49" t="s">
        <v>12433</v>
      </c>
      <c r="BA106" s="50" t="s">
        <v>12413</v>
      </c>
      <c r="BC106" s="51">
        <v>0.77385000000000004</v>
      </c>
      <c r="BR106" s="26">
        <v>0</v>
      </c>
    </row>
    <row r="107" spans="1:70" ht="15" customHeight="1" x14ac:dyDescent="0.4">
      <c r="A107" s="27" t="s">
        <v>11068</v>
      </c>
      <c r="B107" s="44" t="s">
        <v>12013</v>
      </c>
      <c r="C107" s="45" t="s">
        <v>11517</v>
      </c>
      <c r="D107" s="46">
        <v>32.64</v>
      </c>
      <c r="E107" s="45" t="s">
        <v>12357</v>
      </c>
      <c r="F107" s="45"/>
      <c r="G107" s="9">
        <v>228.13878</v>
      </c>
      <c r="H107" s="9">
        <v>343.15629000000001</v>
      </c>
      <c r="I107" s="9">
        <v>18.353000000000002</v>
      </c>
      <c r="J107" s="9">
        <v>2427.3206799999998</v>
      </c>
      <c r="K107" s="9">
        <v>2427.3206799999998</v>
      </c>
      <c r="L107" s="9">
        <v>580.84443999999996</v>
      </c>
      <c r="M107" s="9">
        <v>-512.51397999999995</v>
      </c>
      <c r="N107" s="10" t="s">
        <v>12471</v>
      </c>
      <c r="P107" s="32">
        <v>45449</v>
      </c>
      <c r="R107" s="35">
        <v>19.239889999999999</v>
      </c>
      <c r="S107" s="34">
        <v>45448</v>
      </c>
      <c r="T107" s="35">
        <v>19.083259999999999</v>
      </c>
      <c r="U107" s="34">
        <v>45447</v>
      </c>
      <c r="V107" s="35">
        <v>18.176469999999998</v>
      </c>
      <c r="W107" s="34">
        <v>45446</v>
      </c>
      <c r="X107" s="35">
        <v>17.795369999999998</v>
      </c>
      <c r="Y107" s="34">
        <v>45445</v>
      </c>
      <c r="Z107" s="35">
        <v>17.561710000000001</v>
      </c>
      <c r="AA107" s="34">
        <v>45450</v>
      </c>
      <c r="AB107" s="35">
        <v>19.153030000000001</v>
      </c>
      <c r="AC107" s="34">
        <v>45451</v>
      </c>
      <c r="AD107" s="35">
        <v>19.153030000000001</v>
      </c>
      <c r="AE107" s="34">
        <v>45452</v>
      </c>
      <c r="AF107" s="35">
        <v>19.153030000000001</v>
      </c>
      <c r="AG107" s="34">
        <v>45453</v>
      </c>
      <c r="AH107" s="35">
        <v>18.900919999999999</v>
      </c>
      <c r="AI107" s="36">
        <v>3.6560839185757477E-3</v>
      </c>
      <c r="AK107" s="34">
        <v>45442</v>
      </c>
      <c r="AL107" s="35">
        <v>17.370239999999999</v>
      </c>
      <c r="AM107" s="34">
        <v>45456</v>
      </c>
      <c r="AN107" s="5">
        <v>18.647629999999999</v>
      </c>
      <c r="AP107" s="36">
        <v>7.3538995431266407E-2</v>
      </c>
      <c r="AS107" s="5" t="s">
        <v>12387</v>
      </c>
      <c r="AT107" s="5">
        <v>32.64</v>
      </c>
      <c r="AU107" s="5">
        <v>100</v>
      </c>
      <c r="AV107" s="5" t="s">
        <v>12400</v>
      </c>
      <c r="AW107" s="5" t="s">
        <v>12400</v>
      </c>
      <c r="AX107" s="5" t="s">
        <v>12400</v>
      </c>
      <c r="AZ107" s="49" t="s">
        <v>12423</v>
      </c>
      <c r="BA107" s="50" t="s">
        <v>12404</v>
      </c>
      <c r="BC107" s="51">
        <v>-0.58243</v>
      </c>
    </row>
    <row r="108" spans="1:70" ht="15" customHeight="1" x14ac:dyDescent="0.4">
      <c r="A108" s="27" t="s">
        <v>11069</v>
      </c>
      <c r="B108" s="44" t="s">
        <v>12014</v>
      </c>
      <c r="C108" s="45" t="s">
        <v>11518</v>
      </c>
      <c r="D108" s="47">
        <v>0.54400000000000004</v>
      </c>
      <c r="E108" s="45" t="s">
        <v>12357</v>
      </c>
      <c r="F108" s="45"/>
      <c r="G108" s="9">
        <v>623.82581000000005</v>
      </c>
      <c r="H108" s="9">
        <v>-15.81587</v>
      </c>
      <c r="I108" s="9">
        <v>-21.9907</v>
      </c>
      <c r="J108" s="9">
        <v>163.18317999999999</v>
      </c>
      <c r="K108" s="9">
        <v>163.18317999999999</v>
      </c>
      <c r="L108" s="9">
        <v>34.189430000000002</v>
      </c>
      <c r="M108" s="9">
        <v>-12.6286</v>
      </c>
      <c r="N108" s="10" t="s">
        <v>12465</v>
      </c>
      <c r="P108" s="32">
        <v>45449</v>
      </c>
      <c r="R108" s="35">
        <v>0.10174999999999999</v>
      </c>
      <c r="S108" s="34">
        <v>45448</v>
      </c>
      <c r="T108" s="35">
        <v>9.7129999999999994E-2</v>
      </c>
      <c r="U108" s="34">
        <v>45447</v>
      </c>
      <c r="V108" s="35">
        <v>0.10174</v>
      </c>
      <c r="W108" s="34">
        <v>45446</v>
      </c>
      <c r="X108" s="35">
        <v>9.9479999999999999E-2</v>
      </c>
      <c r="Y108" s="34">
        <v>45445</v>
      </c>
      <c r="Z108" s="35">
        <v>9.912E-2</v>
      </c>
      <c r="AA108" s="34">
        <v>45450</v>
      </c>
      <c r="AB108" s="35">
        <v>0.10209</v>
      </c>
      <c r="AC108" s="34">
        <v>45451</v>
      </c>
      <c r="AD108" s="35">
        <v>0.10209</v>
      </c>
      <c r="AE108" s="34">
        <v>45452</v>
      </c>
      <c r="AF108" s="35">
        <v>0.10209</v>
      </c>
      <c r="AG108" s="34">
        <v>45453</v>
      </c>
      <c r="AH108" s="35">
        <v>0.10417999999999999</v>
      </c>
      <c r="AI108" s="36">
        <v>5.1065582209410154E-2</v>
      </c>
      <c r="AK108" s="34">
        <v>45442</v>
      </c>
      <c r="AL108" s="35">
        <v>0.10524</v>
      </c>
      <c r="AM108" s="34">
        <v>45456</v>
      </c>
      <c r="AN108" s="5">
        <v>0.10595</v>
      </c>
      <c r="AP108" s="36">
        <v>6.746484226529903E-3</v>
      </c>
      <c r="AS108" s="5" t="s">
        <v>12387</v>
      </c>
      <c r="AT108" s="5">
        <v>0.54400000000000004</v>
      </c>
      <c r="AU108" s="5">
        <v>100</v>
      </c>
      <c r="AV108" s="5" t="s">
        <v>12400</v>
      </c>
      <c r="AW108" s="5" t="s">
        <v>12400</v>
      </c>
      <c r="AX108" s="5" t="s">
        <v>12400</v>
      </c>
      <c r="AZ108" s="49" t="s">
        <v>12450</v>
      </c>
      <c r="BA108" s="50" t="s">
        <v>12413</v>
      </c>
      <c r="BC108" s="51">
        <v>0.75505</v>
      </c>
    </row>
    <row r="109" spans="1:70" ht="15" customHeight="1" x14ac:dyDescent="0.4">
      <c r="A109" s="27" t="s">
        <v>11070</v>
      </c>
      <c r="B109" s="44" t="s">
        <v>12015</v>
      </c>
      <c r="C109" s="45" t="s">
        <v>11519</v>
      </c>
      <c r="D109" s="46">
        <v>200</v>
      </c>
      <c r="E109" s="45" t="s">
        <v>12357</v>
      </c>
      <c r="F109" s="45"/>
      <c r="G109" s="9">
        <v>878.83596</v>
      </c>
      <c r="H109" s="9" t="s">
        <v>11415</v>
      </c>
      <c r="I109" s="9" t="s">
        <v>11415</v>
      </c>
      <c r="J109" s="9">
        <v>17624</v>
      </c>
      <c r="K109" s="9">
        <v>17624</v>
      </c>
      <c r="L109" s="9">
        <v>4835</v>
      </c>
      <c r="M109" s="9">
        <v>-7229</v>
      </c>
      <c r="N109" s="10" t="s">
        <v>12473</v>
      </c>
      <c r="P109" s="32">
        <v>45449</v>
      </c>
      <c r="R109" s="35">
        <v>22.97</v>
      </c>
      <c r="S109" s="34">
        <v>45448</v>
      </c>
      <c r="T109" s="35">
        <v>21.57</v>
      </c>
      <c r="U109" s="34">
        <v>45447</v>
      </c>
      <c r="V109" s="35">
        <v>20.78</v>
      </c>
      <c r="W109" s="34">
        <v>45446</v>
      </c>
      <c r="X109" s="35">
        <v>21.28</v>
      </c>
      <c r="Y109" s="34">
        <v>45445</v>
      </c>
      <c r="Z109" s="35">
        <v>20.9</v>
      </c>
      <c r="AA109" s="34">
        <v>45450</v>
      </c>
      <c r="AB109" s="35">
        <v>22.18</v>
      </c>
      <c r="AC109" s="34">
        <v>45451</v>
      </c>
      <c r="AD109" s="35">
        <v>22.18</v>
      </c>
      <c r="AE109" s="34">
        <v>45452</v>
      </c>
      <c r="AF109" s="35">
        <v>22.18</v>
      </c>
      <c r="AG109" s="34">
        <v>45453</v>
      </c>
      <c r="AH109" s="35">
        <v>23.42</v>
      </c>
      <c r="AI109" s="36">
        <v>2.8280018544274421E-2</v>
      </c>
      <c r="AK109" s="34">
        <v>45442</v>
      </c>
      <c r="AL109" s="35">
        <v>21.84</v>
      </c>
      <c r="AM109" s="34">
        <v>45456</v>
      </c>
      <c r="AN109" s="5">
        <v>23.31</v>
      </c>
      <c r="AP109" s="36">
        <v>6.7307692307692291E-2</v>
      </c>
      <c r="AS109" s="5" t="s">
        <v>12387</v>
      </c>
      <c r="AT109" s="5">
        <v>200</v>
      </c>
      <c r="AU109" s="5">
        <v>100</v>
      </c>
      <c r="AV109" s="5" t="s">
        <v>12400</v>
      </c>
      <c r="AW109" s="5" t="s">
        <v>12400</v>
      </c>
      <c r="AX109" s="5" t="s">
        <v>12400</v>
      </c>
      <c r="AZ109" s="49" t="s">
        <v>12403</v>
      </c>
      <c r="BA109" s="50" t="s">
        <v>12415</v>
      </c>
      <c r="BC109" s="51">
        <v>2.4331200000000002</v>
      </c>
    </row>
    <row r="110" spans="1:70" ht="15" customHeight="1" x14ac:dyDescent="0.4">
      <c r="A110" s="27" t="s">
        <v>11071</v>
      </c>
      <c r="B110" s="44" t="s">
        <v>12016</v>
      </c>
      <c r="C110" s="45" t="s">
        <v>11520</v>
      </c>
      <c r="D110" s="46">
        <v>326.44</v>
      </c>
      <c r="E110" s="45" t="s">
        <v>12358</v>
      </c>
      <c r="F110" s="45"/>
      <c r="G110" s="9">
        <v>95.991299999999995</v>
      </c>
      <c r="H110" s="9">
        <v>406.61876999999998</v>
      </c>
      <c r="I110" s="9">
        <v>15.597099999999999</v>
      </c>
      <c r="J110" s="9">
        <v>3531.9321300000001</v>
      </c>
      <c r="K110" s="9">
        <v>3531.9321300000001</v>
      </c>
      <c r="L110" s="9">
        <v>1136.8332</v>
      </c>
      <c r="M110" s="9">
        <v>-1713.4840300000001</v>
      </c>
      <c r="N110" s="10" t="s">
        <v>12470</v>
      </c>
      <c r="P110" s="32">
        <v>45449</v>
      </c>
      <c r="R110" s="35">
        <v>87.540809999999993</v>
      </c>
      <c r="S110" s="34">
        <v>45448</v>
      </c>
      <c r="T110" s="35">
        <v>86.113219999999998</v>
      </c>
      <c r="U110" s="34">
        <v>45447</v>
      </c>
      <c r="V110" s="35">
        <v>84.766050000000007</v>
      </c>
      <c r="W110" s="34">
        <v>45446</v>
      </c>
      <c r="X110" s="35">
        <v>85.456130000000002</v>
      </c>
      <c r="Y110" s="34">
        <v>45445</v>
      </c>
      <c r="Z110" s="35">
        <v>86.107799999999997</v>
      </c>
      <c r="AA110" s="34">
        <v>45450</v>
      </c>
      <c r="AB110" s="35">
        <v>89.494159999999994</v>
      </c>
      <c r="AC110" s="34">
        <v>45451</v>
      </c>
      <c r="AD110" s="35">
        <v>89.494159999999994</v>
      </c>
      <c r="AE110" s="34">
        <v>45452</v>
      </c>
      <c r="AF110" s="35">
        <v>89.494159999999994</v>
      </c>
      <c r="AG110" s="34">
        <v>45453</v>
      </c>
      <c r="AH110" s="35">
        <v>85.356679999999997</v>
      </c>
      <c r="AI110" s="36">
        <v>3.9261567503804828E-2</v>
      </c>
      <c r="AK110" s="34">
        <v>45442</v>
      </c>
      <c r="AL110" s="35">
        <v>88.267189999999999</v>
      </c>
      <c r="AM110" s="34">
        <v>45456</v>
      </c>
      <c r="AN110" s="5">
        <v>85.629710000000003</v>
      </c>
      <c r="AP110" s="36">
        <v>-2.9880638547573501E-2</v>
      </c>
      <c r="AS110" s="5" t="s">
        <v>12394</v>
      </c>
      <c r="AT110" s="5" t="s">
        <v>12400</v>
      </c>
      <c r="AU110" s="5" t="s">
        <v>12400</v>
      </c>
      <c r="AV110" s="5" t="s">
        <v>12400</v>
      </c>
      <c r="AW110" s="5" t="s">
        <v>12400</v>
      </c>
      <c r="AX110" s="5" t="s">
        <v>12400</v>
      </c>
      <c r="AZ110" s="49" t="s">
        <v>12406</v>
      </c>
      <c r="BA110" s="50" t="s">
        <v>12410</v>
      </c>
      <c r="BC110" s="51">
        <v>1.0833600000000001</v>
      </c>
    </row>
    <row r="111" spans="1:70" ht="15" customHeight="1" x14ac:dyDescent="0.4">
      <c r="A111" s="27" t="s">
        <v>11072</v>
      </c>
      <c r="B111" s="44" t="s">
        <v>12017</v>
      </c>
      <c r="C111" s="45" t="s">
        <v>11521</v>
      </c>
      <c r="D111" s="46">
        <v>574.54</v>
      </c>
      <c r="E111" s="45" t="s">
        <v>12357</v>
      </c>
      <c r="F111" s="45"/>
      <c r="G111" s="9">
        <v>2317.2233200000001</v>
      </c>
      <c r="H111" s="9">
        <v>45081</v>
      </c>
      <c r="I111" s="9">
        <v>20.5901</v>
      </c>
      <c r="J111" s="9">
        <v>283654</v>
      </c>
      <c r="K111" s="9">
        <v>283654</v>
      </c>
      <c r="L111" s="9">
        <v>27263</v>
      </c>
      <c r="M111" s="9">
        <v>17086</v>
      </c>
      <c r="N111" s="10" t="s">
        <v>12469</v>
      </c>
      <c r="P111" s="32">
        <v>45448</v>
      </c>
      <c r="R111" s="35">
        <v>70.324889999999996</v>
      </c>
      <c r="S111" s="34">
        <v>45447</v>
      </c>
      <c r="T111" s="35">
        <v>70</v>
      </c>
      <c r="U111" s="34">
        <v>45446</v>
      </c>
      <c r="V111" s="35">
        <v>71.761380000000003</v>
      </c>
      <c r="W111" s="34">
        <v>45445</v>
      </c>
      <c r="X111" s="35">
        <v>72.671080000000003</v>
      </c>
      <c r="Y111" s="34">
        <v>45444</v>
      </c>
      <c r="Z111" s="35">
        <v>72.671080000000003</v>
      </c>
      <c r="AA111" s="34">
        <v>45449</v>
      </c>
      <c r="AB111" s="35">
        <v>70.69641</v>
      </c>
      <c r="AC111" s="34">
        <v>45450</v>
      </c>
      <c r="AD111" s="35">
        <v>70.19023</v>
      </c>
      <c r="AE111" s="34">
        <v>45451</v>
      </c>
      <c r="AF111" s="35">
        <v>70.19023</v>
      </c>
      <c r="AG111" s="34">
        <v>45452</v>
      </c>
      <c r="AH111" s="35">
        <v>70.19023</v>
      </c>
      <c r="AI111" s="36">
        <v>9.9487142857141997E-3</v>
      </c>
      <c r="AK111" s="34">
        <v>45441</v>
      </c>
      <c r="AL111" s="35">
        <v>70.982050000000001</v>
      </c>
      <c r="AM111" s="34">
        <v>45455</v>
      </c>
      <c r="AN111" s="5">
        <v>69.356759999999994</v>
      </c>
      <c r="AP111" s="36">
        <v>-2.2897197249163836E-2</v>
      </c>
      <c r="AS111" s="5" t="s">
        <v>12394</v>
      </c>
      <c r="AT111" s="5" t="s">
        <v>12400</v>
      </c>
      <c r="AU111" s="5" t="s">
        <v>12400</v>
      </c>
      <c r="AV111" s="5" t="s">
        <v>12400</v>
      </c>
      <c r="AW111" s="5" t="s">
        <v>12400</v>
      </c>
      <c r="AX111" s="5" t="s">
        <v>12400</v>
      </c>
      <c r="AZ111" s="49" t="s">
        <v>12410</v>
      </c>
      <c r="BA111" s="50" t="s">
        <v>12415</v>
      </c>
      <c r="BC111" s="51">
        <v>0.22844999999999999</v>
      </c>
    </row>
    <row r="112" spans="1:70" ht="15" customHeight="1" x14ac:dyDescent="0.4">
      <c r="A112" s="27" t="s">
        <v>11073</v>
      </c>
      <c r="B112" s="44" t="s">
        <v>12018</v>
      </c>
      <c r="C112" s="45" t="s">
        <v>11522</v>
      </c>
      <c r="D112" s="46">
        <v>281.49</v>
      </c>
      <c r="E112" s="45" t="s">
        <v>12360</v>
      </c>
      <c r="F112" s="45"/>
      <c r="G112" s="9">
        <v>45.224969999999999</v>
      </c>
      <c r="H112" s="9">
        <v>-18.423999999999999</v>
      </c>
      <c r="I112" s="9">
        <v>-14.597799999999999</v>
      </c>
      <c r="J112" s="9">
        <v>8428.32</v>
      </c>
      <c r="K112" s="9">
        <v>8428.32</v>
      </c>
      <c r="L112" s="9">
        <v>7.3419999999999996</v>
      </c>
      <c r="M112" s="9">
        <v>14.699</v>
      </c>
      <c r="N112" s="10" t="s">
        <v>12473</v>
      </c>
      <c r="P112" s="32">
        <v>45448</v>
      </c>
      <c r="R112" s="35">
        <v>13.81</v>
      </c>
      <c r="S112" s="34">
        <v>45447</v>
      </c>
      <c r="T112" s="35">
        <v>17.23</v>
      </c>
      <c r="U112" s="34">
        <v>45446</v>
      </c>
      <c r="V112" s="35">
        <v>17.420000000000002</v>
      </c>
      <c r="W112" s="34">
        <v>45445</v>
      </c>
      <c r="X112" s="35">
        <v>17.72</v>
      </c>
      <c r="Y112" s="34">
        <v>45444</v>
      </c>
      <c r="Z112" s="35">
        <v>17.72</v>
      </c>
      <c r="AA112" s="34">
        <v>45449</v>
      </c>
      <c r="AB112" s="35">
        <v>13.31</v>
      </c>
      <c r="AC112" s="34">
        <v>45450</v>
      </c>
      <c r="AD112" s="35">
        <v>12.97</v>
      </c>
      <c r="AE112" s="34">
        <v>45451</v>
      </c>
      <c r="AF112" s="35">
        <v>12.97</v>
      </c>
      <c r="AG112" s="34">
        <v>45452</v>
      </c>
      <c r="AH112" s="35">
        <v>12.97</v>
      </c>
      <c r="AI112" s="36">
        <v>-0.22751015670342423</v>
      </c>
      <c r="AK112" s="34">
        <v>45441</v>
      </c>
      <c r="AL112" s="35">
        <v>17.21</v>
      </c>
      <c r="AM112" s="34">
        <v>45455</v>
      </c>
      <c r="AN112" s="5">
        <v>13.04</v>
      </c>
      <c r="AP112" s="36">
        <v>-0.24230098779779208</v>
      </c>
      <c r="AS112" s="5" t="s">
        <v>12389</v>
      </c>
      <c r="AT112" s="5">
        <v>252.26</v>
      </c>
      <c r="AU112" s="5">
        <v>89.62</v>
      </c>
      <c r="AV112" s="5" t="s">
        <v>12400</v>
      </c>
      <c r="AW112" s="5" t="s">
        <v>12400</v>
      </c>
      <c r="AX112" s="5">
        <v>10.38</v>
      </c>
      <c r="AZ112" s="49" t="s">
        <v>12403</v>
      </c>
      <c r="BA112" s="50" t="s">
        <v>12415</v>
      </c>
      <c r="BC112" s="51">
        <v>0.86209000000000002</v>
      </c>
    </row>
    <row r="113" spans="1:55" ht="15" customHeight="1" x14ac:dyDescent="0.4">
      <c r="A113" s="27" t="s">
        <v>11074</v>
      </c>
      <c r="B113" s="44" t="s">
        <v>12019</v>
      </c>
      <c r="C113" s="45" t="s">
        <v>11523</v>
      </c>
      <c r="D113" s="46">
        <v>2.2999999999999998</v>
      </c>
      <c r="E113" s="45" t="s">
        <v>12358</v>
      </c>
      <c r="F113" s="45"/>
      <c r="G113" s="9">
        <v>37.278460000000003</v>
      </c>
      <c r="H113" s="9">
        <v>-0.76922999999999997</v>
      </c>
      <c r="I113" s="9">
        <v>-21.6632</v>
      </c>
      <c r="J113" s="9">
        <v>10.06602</v>
      </c>
      <c r="K113" s="9">
        <v>10.06602</v>
      </c>
      <c r="L113" s="9">
        <v>0.16789999999999999</v>
      </c>
      <c r="M113" s="9">
        <v>0.46789999999999998</v>
      </c>
      <c r="N113" s="10" t="s">
        <v>12470</v>
      </c>
      <c r="P113" s="32">
        <v>45448</v>
      </c>
      <c r="R113" s="35">
        <v>5.7570000000000003E-2</v>
      </c>
      <c r="S113" s="34">
        <v>45447</v>
      </c>
      <c r="T113" s="35">
        <v>5.7419999999999999E-2</v>
      </c>
      <c r="U113" s="34">
        <v>45446</v>
      </c>
      <c r="V113" s="35">
        <v>6.2300000000000001E-2</v>
      </c>
      <c r="W113" s="34">
        <v>45445</v>
      </c>
      <c r="X113" s="35">
        <v>5.876E-2</v>
      </c>
      <c r="Y113" s="34">
        <v>45444</v>
      </c>
      <c r="Z113" s="35">
        <v>5.876E-2</v>
      </c>
      <c r="AA113" s="34">
        <v>45449</v>
      </c>
      <c r="AB113" s="35">
        <v>5.7660000000000003E-2</v>
      </c>
      <c r="AC113" s="34">
        <v>45450</v>
      </c>
      <c r="AD113" s="35">
        <v>5.4170000000000003E-2</v>
      </c>
      <c r="AE113" s="34">
        <v>45451</v>
      </c>
      <c r="AF113" s="35">
        <v>5.4170000000000003E-2</v>
      </c>
      <c r="AG113" s="34">
        <v>45452</v>
      </c>
      <c r="AH113" s="35">
        <v>5.4170000000000003E-2</v>
      </c>
      <c r="AI113" s="36">
        <v>4.179728317659448E-3</v>
      </c>
      <c r="AK113" s="34">
        <v>45441</v>
      </c>
      <c r="AL113" s="35">
        <v>4.9939999999999998E-2</v>
      </c>
      <c r="AM113" s="34">
        <v>45455</v>
      </c>
      <c r="AN113" s="5">
        <v>5.0099999999999999E-2</v>
      </c>
      <c r="AP113" s="36">
        <v>3.2038446135362886E-3</v>
      </c>
      <c r="AS113" s="5" t="s">
        <v>12395</v>
      </c>
      <c r="AT113" s="5" t="s">
        <v>12400</v>
      </c>
      <c r="AU113" s="5" t="s">
        <v>12400</v>
      </c>
      <c r="AV113" s="5">
        <v>0.76800000000000002</v>
      </c>
      <c r="AW113" s="5">
        <v>50</v>
      </c>
      <c r="AX113" s="5">
        <v>50</v>
      </c>
      <c r="AZ113" s="49" t="s">
        <v>12409</v>
      </c>
      <c r="BA113" s="50" t="s">
        <v>12409</v>
      </c>
      <c r="BC113" s="51">
        <v>1.00068</v>
      </c>
    </row>
    <row r="114" spans="1:55" ht="15" customHeight="1" x14ac:dyDescent="0.4">
      <c r="A114" s="27" t="s">
        <v>11075</v>
      </c>
      <c r="B114" s="44" t="s">
        <v>12020</v>
      </c>
      <c r="C114" s="45" t="s">
        <v>11524</v>
      </c>
      <c r="D114" s="46">
        <v>130.38999999999999</v>
      </c>
      <c r="E114" s="45" t="s">
        <v>12357</v>
      </c>
      <c r="F114" s="45"/>
      <c r="G114" s="9">
        <v>3926.5661700000001</v>
      </c>
      <c r="H114" s="9">
        <v>2442.7987199999998</v>
      </c>
      <c r="I114" s="9">
        <v>40.632399999999997</v>
      </c>
      <c r="J114" s="9">
        <v>13543.71615</v>
      </c>
      <c r="K114" s="9">
        <v>13543.71615</v>
      </c>
      <c r="L114" s="9">
        <v>673.15132000000006</v>
      </c>
      <c r="M114" s="9">
        <v>6877.4179299999996</v>
      </c>
      <c r="N114" s="10" t="s">
        <v>12470</v>
      </c>
      <c r="P114" s="32">
        <v>45448</v>
      </c>
      <c r="R114" s="35">
        <v>3.78464</v>
      </c>
      <c r="S114" s="34">
        <v>45447</v>
      </c>
      <c r="T114" s="35">
        <v>3.7801999999999998</v>
      </c>
      <c r="U114" s="34">
        <v>45446</v>
      </c>
      <c r="V114" s="35">
        <v>3.7655099999999999</v>
      </c>
      <c r="W114" s="34">
        <v>45445</v>
      </c>
      <c r="X114" s="35">
        <v>3.73495</v>
      </c>
      <c r="Y114" s="34">
        <v>45444</v>
      </c>
      <c r="Z114" s="35">
        <v>3.73495</v>
      </c>
      <c r="AA114" s="34">
        <v>45449</v>
      </c>
      <c r="AB114" s="35">
        <v>3.8171900000000001</v>
      </c>
      <c r="AC114" s="34">
        <v>45450</v>
      </c>
      <c r="AD114" s="35">
        <v>3.7937699999999999</v>
      </c>
      <c r="AE114" s="34">
        <v>45451</v>
      </c>
      <c r="AF114" s="35">
        <v>3.7937699999999999</v>
      </c>
      <c r="AG114" s="34">
        <v>45452</v>
      </c>
      <c r="AH114" s="35">
        <v>3.7937699999999999</v>
      </c>
      <c r="AI114" s="36">
        <v>9.7851965504471838E-3</v>
      </c>
      <c r="AK114" s="34">
        <v>45441</v>
      </c>
      <c r="AL114" s="35">
        <v>3.72702</v>
      </c>
      <c r="AM114" s="34">
        <v>45455</v>
      </c>
      <c r="AN114" s="5">
        <v>3.73359</v>
      </c>
      <c r="AP114" s="36">
        <v>1.7628024534346309E-3</v>
      </c>
      <c r="AS114" s="5" t="s">
        <v>12387</v>
      </c>
      <c r="AT114" s="5">
        <v>130.38999999999999</v>
      </c>
      <c r="AU114" s="5">
        <v>100</v>
      </c>
      <c r="AV114" s="5" t="s">
        <v>12400</v>
      </c>
      <c r="AW114" s="5" t="s">
        <v>12400</v>
      </c>
      <c r="AX114" s="5" t="s">
        <v>12400</v>
      </c>
      <c r="AZ114" s="49" t="s">
        <v>12419</v>
      </c>
      <c r="BA114" s="50" t="s">
        <v>12419</v>
      </c>
      <c r="BC114" s="51">
        <v>0.24879999999999999</v>
      </c>
    </row>
    <row r="115" spans="1:55" ht="15" customHeight="1" x14ac:dyDescent="0.4">
      <c r="A115" s="27" t="s">
        <v>11076</v>
      </c>
      <c r="B115" s="44" t="s">
        <v>12021</v>
      </c>
      <c r="C115" s="45" t="s">
        <v>11525</v>
      </c>
      <c r="D115" s="47">
        <v>0.89800000000000002</v>
      </c>
      <c r="E115" s="45" t="s">
        <v>12357</v>
      </c>
      <c r="F115" s="45"/>
      <c r="G115" s="9">
        <v>19.859909999999999</v>
      </c>
      <c r="H115" s="9">
        <v>8.7969000000000008</v>
      </c>
      <c r="I115" s="9">
        <v>7.1756000000000002</v>
      </c>
      <c r="J115" s="9">
        <v>76.683350000000004</v>
      </c>
      <c r="K115" s="9">
        <v>76.683350000000004</v>
      </c>
      <c r="L115" s="9">
        <v>12.629379999999999</v>
      </c>
      <c r="M115" s="9">
        <v>10.27971</v>
      </c>
      <c r="N115" s="10" t="s">
        <v>12470</v>
      </c>
      <c r="P115" s="32">
        <v>45448</v>
      </c>
      <c r="R115" s="35">
        <v>1.6298999999999999</v>
      </c>
      <c r="S115" s="34">
        <v>45447</v>
      </c>
      <c r="T115" s="35">
        <v>1.6430899999999999</v>
      </c>
      <c r="U115" s="34">
        <v>45446</v>
      </c>
      <c r="V115" s="35">
        <v>1.68953</v>
      </c>
      <c r="W115" s="34">
        <v>45445</v>
      </c>
      <c r="X115" s="35">
        <v>1.7134799999999999</v>
      </c>
      <c r="Y115" s="34">
        <v>45444</v>
      </c>
      <c r="Z115" s="35">
        <v>1.7134799999999999</v>
      </c>
      <c r="AA115" s="34">
        <v>45449</v>
      </c>
      <c r="AB115" s="35">
        <v>1.6626799999999999</v>
      </c>
      <c r="AC115" s="34">
        <v>45450</v>
      </c>
      <c r="AD115" s="35">
        <v>1.64073</v>
      </c>
      <c r="AE115" s="34">
        <v>45451</v>
      </c>
      <c r="AF115" s="35">
        <v>1.64073</v>
      </c>
      <c r="AG115" s="34">
        <v>45452</v>
      </c>
      <c r="AH115" s="35">
        <v>1.64073</v>
      </c>
      <c r="AI115" s="36">
        <v>1.1922657918921109E-2</v>
      </c>
      <c r="AK115" s="34">
        <v>45441</v>
      </c>
      <c r="AL115" s="35">
        <v>1.7607600000000001</v>
      </c>
      <c r="AM115" s="34">
        <v>45455</v>
      </c>
      <c r="AN115" s="5">
        <v>1.63792</v>
      </c>
      <c r="AP115" s="36">
        <v>-6.9765328608101029E-2</v>
      </c>
      <c r="AS115" s="5" t="s">
        <v>12387</v>
      </c>
      <c r="AT115" s="5">
        <v>0.89800000000000002</v>
      </c>
      <c r="AU115" s="5">
        <v>100</v>
      </c>
      <c r="AV115" s="5" t="s">
        <v>12400</v>
      </c>
      <c r="AW115" s="5" t="s">
        <v>12400</v>
      </c>
      <c r="AX115" s="5" t="s">
        <v>12400</v>
      </c>
      <c r="AZ115" s="49" t="s">
        <v>12416</v>
      </c>
      <c r="BA115" s="50" t="s">
        <v>12416</v>
      </c>
      <c r="BC115" s="51">
        <v>-0.15590999999999999</v>
      </c>
    </row>
    <row r="116" spans="1:55" ht="15" customHeight="1" x14ac:dyDescent="0.4">
      <c r="A116" s="27" t="s">
        <v>11077</v>
      </c>
      <c r="B116" s="44" t="s">
        <v>12022</v>
      </c>
      <c r="C116" s="45" t="s">
        <v>11526</v>
      </c>
      <c r="D116" s="46">
        <v>3.57</v>
      </c>
      <c r="E116" s="45" t="s">
        <v>12357</v>
      </c>
      <c r="F116" s="45"/>
      <c r="G116" s="9">
        <v>95.854150000000004</v>
      </c>
      <c r="H116" s="9">
        <v>78.90916</v>
      </c>
      <c r="I116" s="9">
        <v>13.995200000000001</v>
      </c>
      <c r="J116" s="9">
        <v>851.76032999999995</v>
      </c>
      <c r="K116" s="9">
        <v>851.76032999999995</v>
      </c>
      <c r="L116" s="9">
        <v>141.13211000000001</v>
      </c>
      <c r="M116" s="9">
        <v>158.07306</v>
      </c>
      <c r="N116" s="10" t="s">
        <v>12467</v>
      </c>
      <c r="P116" s="32">
        <v>45448</v>
      </c>
      <c r="R116" s="35">
        <v>9.20547</v>
      </c>
      <c r="S116" s="34">
        <v>45447</v>
      </c>
      <c r="T116" s="35">
        <v>9.4863099999999996</v>
      </c>
      <c r="U116" s="34">
        <v>45446</v>
      </c>
      <c r="V116" s="35">
        <v>9.6433</v>
      </c>
      <c r="W116" s="34">
        <v>45445</v>
      </c>
      <c r="X116" s="35">
        <v>9.2629099999999998</v>
      </c>
      <c r="Y116" s="34">
        <v>45444</v>
      </c>
      <c r="Z116" s="35">
        <v>9.2629099999999998</v>
      </c>
      <c r="AA116" s="34">
        <v>45449</v>
      </c>
      <c r="AB116" s="35">
        <v>9.4360099999999996</v>
      </c>
      <c r="AC116" s="34">
        <v>45450</v>
      </c>
      <c r="AD116" s="35">
        <v>9.2497199999999999</v>
      </c>
      <c r="AE116" s="34">
        <v>45451</v>
      </c>
      <c r="AF116" s="35">
        <v>9.2497199999999999</v>
      </c>
      <c r="AG116" s="34">
        <v>45452</v>
      </c>
      <c r="AH116" s="35">
        <v>9.2497199999999999</v>
      </c>
      <c r="AI116" s="36">
        <v>-5.3023778476563033E-3</v>
      </c>
      <c r="AK116" s="34">
        <v>45441</v>
      </c>
      <c r="AL116" s="35">
        <v>9.1795600000000004</v>
      </c>
      <c r="AM116" s="34">
        <v>45455</v>
      </c>
      <c r="AN116" s="5">
        <v>9.2063500000000005</v>
      </c>
      <c r="AP116" s="36">
        <v>2.9184405352762344E-3</v>
      </c>
      <c r="AS116" s="5" t="s">
        <v>12387</v>
      </c>
      <c r="AT116" s="5">
        <v>3.19</v>
      </c>
      <c r="AU116" s="5">
        <v>100</v>
      </c>
      <c r="AV116" s="5" t="s">
        <v>12400</v>
      </c>
      <c r="AW116" s="5" t="s">
        <v>12400</v>
      </c>
      <c r="AX116" s="5" t="s">
        <v>12400</v>
      </c>
      <c r="AZ116" s="49" t="s">
        <v>12415</v>
      </c>
      <c r="BA116" s="50" t="s">
        <v>12408</v>
      </c>
      <c r="BC116" s="51">
        <v>1.0895999999999999</v>
      </c>
    </row>
    <row r="117" spans="1:55" ht="15" customHeight="1" x14ac:dyDescent="0.4">
      <c r="A117" s="27" t="s">
        <v>11078</v>
      </c>
      <c r="B117" s="44" t="s">
        <v>12023</v>
      </c>
      <c r="C117" s="45" t="s">
        <v>11527</v>
      </c>
      <c r="D117" s="46">
        <v>108.81</v>
      </c>
      <c r="E117" s="45" t="s">
        <v>12358</v>
      </c>
      <c r="F117" s="45"/>
      <c r="G117" s="9">
        <v>1114.8545300000001</v>
      </c>
      <c r="H117" s="9">
        <v>88.757829999999998</v>
      </c>
      <c r="I117" s="9">
        <v>12.864699999999999</v>
      </c>
      <c r="J117" s="9">
        <v>1293.1943200000001</v>
      </c>
      <c r="K117" s="9">
        <v>1293.1943200000001</v>
      </c>
      <c r="L117" s="9">
        <v>71.167270000000002</v>
      </c>
      <c r="M117" s="9">
        <v>232.36358000000001</v>
      </c>
      <c r="N117" s="10" t="s">
        <v>12466</v>
      </c>
      <c r="P117" s="32">
        <v>45447</v>
      </c>
      <c r="R117" s="35">
        <v>0.86936999999999998</v>
      </c>
      <c r="S117" s="34">
        <v>45446</v>
      </c>
      <c r="T117" s="35">
        <v>0.89781999999999995</v>
      </c>
      <c r="U117" s="34">
        <v>45445</v>
      </c>
      <c r="V117" s="35">
        <v>0.84740000000000004</v>
      </c>
      <c r="W117" s="34">
        <v>45444</v>
      </c>
      <c r="X117" s="35">
        <v>0.84740000000000004</v>
      </c>
      <c r="Y117" s="34">
        <v>45443</v>
      </c>
      <c r="Z117" s="35">
        <v>0.84740000000000004</v>
      </c>
      <c r="AA117" s="34">
        <v>45448</v>
      </c>
      <c r="AB117" s="35">
        <v>0.85031999999999996</v>
      </c>
      <c r="AC117" s="34">
        <v>45449</v>
      </c>
      <c r="AD117" s="35">
        <v>0.86689000000000005</v>
      </c>
      <c r="AE117" s="34">
        <v>45450</v>
      </c>
      <c r="AF117" s="35">
        <v>0.85118000000000005</v>
      </c>
      <c r="AG117" s="34">
        <v>45451</v>
      </c>
      <c r="AH117" s="35">
        <v>0.85118000000000005</v>
      </c>
      <c r="AI117" s="36">
        <v>-5.2905927691519472E-2</v>
      </c>
      <c r="AK117" s="34">
        <v>45440</v>
      </c>
      <c r="AL117" s="35">
        <v>0.88551999999999997</v>
      </c>
      <c r="AM117" s="34">
        <v>45454</v>
      </c>
      <c r="AN117" s="5">
        <v>0.84601999999999999</v>
      </c>
      <c r="AP117" s="36">
        <v>-4.4606558858072076E-2</v>
      </c>
      <c r="AS117" s="5" t="s">
        <v>12387</v>
      </c>
      <c r="AT117" s="5">
        <v>108.81</v>
      </c>
      <c r="AU117" s="5">
        <v>100</v>
      </c>
      <c r="AV117" s="5" t="s">
        <v>12400</v>
      </c>
      <c r="AW117" s="5" t="s">
        <v>12400</v>
      </c>
      <c r="AX117" s="5" t="s">
        <v>12400</v>
      </c>
      <c r="AZ117" s="49" t="s">
        <v>12415</v>
      </c>
      <c r="BA117" s="50" t="s">
        <v>12425</v>
      </c>
      <c r="BC117" s="51">
        <v>1.20184</v>
      </c>
    </row>
    <row r="118" spans="1:55" ht="15" customHeight="1" x14ac:dyDescent="0.4">
      <c r="A118" s="27" t="s">
        <v>11079</v>
      </c>
      <c r="B118" s="44" t="s">
        <v>12024</v>
      </c>
      <c r="C118" s="45" t="s">
        <v>11528</v>
      </c>
      <c r="D118" s="46">
        <v>2.0699999999999998</v>
      </c>
      <c r="E118" s="45" t="s">
        <v>12357</v>
      </c>
      <c r="F118" s="45"/>
      <c r="G118" s="9">
        <v>27.663219999999999</v>
      </c>
      <c r="H118" s="9">
        <v>48.326329999999999</v>
      </c>
      <c r="I118" s="9">
        <v>10.203900000000001</v>
      </c>
      <c r="J118" s="9">
        <v>382.62844000000001</v>
      </c>
      <c r="K118" s="9">
        <v>382.62844000000001</v>
      </c>
      <c r="L118" s="9">
        <v>27.424009999999999</v>
      </c>
      <c r="M118" s="9">
        <v>95.817480000000003</v>
      </c>
      <c r="N118" s="10" t="s">
        <v>12467</v>
      </c>
      <c r="P118" s="32">
        <v>45447</v>
      </c>
      <c r="R118" s="35">
        <v>14.37191</v>
      </c>
      <c r="S118" s="34">
        <v>45446</v>
      </c>
      <c r="T118" s="35">
        <v>14.426349999999999</v>
      </c>
      <c r="U118" s="34">
        <v>45445</v>
      </c>
      <c r="V118" s="35">
        <v>14.219720000000001</v>
      </c>
      <c r="W118" s="34">
        <v>45444</v>
      </c>
      <c r="X118" s="35">
        <v>14.219720000000001</v>
      </c>
      <c r="Y118" s="34">
        <v>45443</v>
      </c>
      <c r="Z118" s="35">
        <v>14.219720000000001</v>
      </c>
      <c r="AA118" s="34">
        <v>45448</v>
      </c>
      <c r="AB118" s="35">
        <v>14.34732</v>
      </c>
      <c r="AC118" s="34">
        <v>45449</v>
      </c>
      <c r="AD118" s="35">
        <v>14.33206</v>
      </c>
      <c r="AE118" s="34">
        <v>45450</v>
      </c>
      <c r="AF118" s="35">
        <v>14.20181</v>
      </c>
      <c r="AG118" s="34">
        <v>45451</v>
      </c>
      <c r="AH118" s="35">
        <v>14.20181</v>
      </c>
      <c r="AI118" s="36">
        <v>-5.4781701539197147E-3</v>
      </c>
      <c r="AK118" s="34">
        <v>45440</v>
      </c>
      <c r="AL118" s="35">
        <v>14.69464</v>
      </c>
      <c r="AM118" s="34">
        <v>45454</v>
      </c>
      <c r="AN118" s="5">
        <v>14.20552</v>
      </c>
      <c r="AP118" s="36">
        <v>-3.328560618021259E-2</v>
      </c>
      <c r="AS118" s="5" t="s">
        <v>12387</v>
      </c>
      <c r="AT118" s="5">
        <v>1.53</v>
      </c>
      <c r="AU118" s="5">
        <v>100</v>
      </c>
      <c r="AV118" s="5" t="s">
        <v>12400</v>
      </c>
      <c r="AW118" s="5" t="s">
        <v>12400</v>
      </c>
      <c r="AX118" s="5" t="s">
        <v>12400</v>
      </c>
      <c r="AZ118" s="49" t="s">
        <v>12408</v>
      </c>
      <c r="BA118" s="50" t="s">
        <v>12408</v>
      </c>
      <c r="BC118" s="51">
        <v>0.23430000000000001</v>
      </c>
    </row>
    <row r="119" spans="1:55" ht="15" customHeight="1" x14ac:dyDescent="0.4">
      <c r="A119" s="27" t="s">
        <v>11080</v>
      </c>
      <c r="B119" s="44" t="s">
        <v>12025</v>
      </c>
      <c r="C119" s="45" t="s">
        <v>11529</v>
      </c>
      <c r="D119" s="46">
        <v>359.24</v>
      </c>
      <c r="E119" s="45" t="s">
        <v>12358</v>
      </c>
      <c r="F119" s="45"/>
      <c r="G119" s="9">
        <v>20.973050000000001</v>
      </c>
      <c r="H119" s="9">
        <v>65.535539999999997</v>
      </c>
      <c r="I119" s="9">
        <v>18.587599999999998</v>
      </c>
      <c r="J119" s="9">
        <v>657.22671000000003</v>
      </c>
      <c r="K119" s="9">
        <v>657.22671000000003</v>
      </c>
      <c r="L119" s="9">
        <v>18.439260000000001</v>
      </c>
      <c r="M119" s="9">
        <v>109.77893</v>
      </c>
      <c r="N119" s="10" t="s">
        <v>12468</v>
      </c>
      <c r="P119" s="32">
        <v>45446</v>
      </c>
      <c r="R119" s="35">
        <v>26.344439999999999</v>
      </c>
      <c r="S119" s="34">
        <v>45445</v>
      </c>
      <c r="T119" s="35">
        <v>26.569790000000001</v>
      </c>
      <c r="U119" s="34">
        <v>45444</v>
      </c>
      <c r="V119" s="35">
        <v>26.569790000000001</v>
      </c>
      <c r="W119" s="34">
        <v>45443</v>
      </c>
      <c r="X119" s="35">
        <v>26.569790000000001</v>
      </c>
      <c r="Y119" s="34">
        <v>45442</v>
      </c>
      <c r="Z119" s="35">
        <v>26.458469999999998</v>
      </c>
      <c r="AA119" s="34">
        <v>45447</v>
      </c>
      <c r="AB119" s="35">
        <v>26.224160000000001</v>
      </c>
      <c r="AC119" s="34">
        <v>45448</v>
      </c>
      <c r="AD119" s="35">
        <v>26.621749999999999</v>
      </c>
      <c r="AE119" s="34">
        <v>45449</v>
      </c>
      <c r="AF119" s="35">
        <v>26.768229999999999</v>
      </c>
      <c r="AG119" s="34">
        <v>45450</v>
      </c>
      <c r="AH119" s="35">
        <v>27.021180000000001</v>
      </c>
      <c r="AI119" s="36">
        <v>-1.3008382828769038E-2</v>
      </c>
      <c r="AK119" s="34">
        <v>45439</v>
      </c>
      <c r="AL119" s="35">
        <v>25.518509999999999</v>
      </c>
      <c r="AM119" s="34">
        <v>45453</v>
      </c>
      <c r="AN119" s="5">
        <v>26.858619999999998</v>
      </c>
      <c r="AP119" s="36">
        <v>5.2515213466616917E-2</v>
      </c>
      <c r="AS119" s="5" t="s">
        <v>12394</v>
      </c>
      <c r="AT119" s="5" t="s">
        <v>12400</v>
      </c>
      <c r="AU119" s="5" t="s">
        <v>12400</v>
      </c>
      <c r="AV119" s="5" t="s">
        <v>12400</v>
      </c>
      <c r="AW119" s="5" t="s">
        <v>12400</v>
      </c>
      <c r="AX119" s="5" t="s">
        <v>12400</v>
      </c>
      <c r="AZ119" s="49" t="s">
        <v>12403</v>
      </c>
      <c r="BA119" s="50" t="s">
        <v>12410</v>
      </c>
      <c r="BC119" s="51">
        <v>0.73316000000000003</v>
      </c>
    </row>
    <row r="120" spans="1:55" ht="15" customHeight="1" x14ac:dyDescent="0.4">
      <c r="A120" s="27" t="s">
        <v>11039</v>
      </c>
      <c r="B120" s="44" t="s">
        <v>11984</v>
      </c>
      <c r="C120" s="45" t="s">
        <v>11530</v>
      </c>
      <c r="D120" s="46">
        <v>3.27</v>
      </c>
      <c r="E120" s="45" t="s">
        <v>12357</v>
      </c>
      <c r="F120" s="45"/>
      <c r="G120" s="9">
        <v>134.40652</v>
      </c>
      <c r="H120" s="9">
        <v>42.531230000000001</v>
      </c>
      <c r="I120" s="9">
        <v>43.418599999999998</v>
      </c>
      <c r="J120" s="9">
        <v>301.35514999999998</v>
      </c>
      <c r="K120" s="9">
        <v>301.35514999999998</v>
      </c>
      <c r="L120" s="9">
        <v>17.118379999999998</v>
      </c>
      <c r="M120" s="9">
        <v>72.5047</v>
      </c>
      <c r="N120" s="10" t="s">
        <v>12474</v>
      </c>
      <c r="P120" s="32">
        <v>45446</v>
      </c>
      <c r="R120" s="35">
        <v>3.0240300000000002</v>
      </c>
      <c r="S120" s="34">
        <v>45445</v>
      </c>
      <c r="T120" s="35">
        <v>2.9570400000000001</v>
      </c>
      <c r="U120" s="34">
        <v>45444</v>
      </c>
      <c r="V120" s="35">
        <v>2.9570400000000001</v>
      </c>
      <c r="W120" s="34">
        <v>45443</v>
      </c>
      <c r="X120" s="35">
        <v>2.9570400000000001</v>
      </c>
      <c r="Y120" s="34">
        <v>45442</v>
      </c>
      <c r="Z120" s="35">
        <v>2.92266</v>
      </c>
      <c r="AA120" s="34">
        <v>45447</v>
      </c>
      <c r="AB120" s="35">
        <v>3.0049899999999998</v>
      </c>
      <c r="AC120" s="34">
        <v>45448</v>
      </c>
      <c r="AD120" s="35">
        <v>3.04162</v>
      </c>
      <c r="AE120" s="34">
        <v>45449</v>
      </c>
      <c r="AF120" s="35">
        <v>3.0463800000000001</v>
      </c>
      <c r="AG120" s="34">
        <v>45450</v>
      </c>
      <c r="AH120" s="35">
        <v>3.0076100000000001</v>
      </c>
      <c r="AI120" s="36">
        <v>1.6215539864188333E-2</v>
      </c>
      <c r="AK120" s="34">
        <v>45439</v>
      </c>
      <c r="AL120" s="35">
        <v>2.9403600000000001</v>
      </c>
      <c r="AM120" s="34">
        <v>45453</v>
      </c>
      <c r="AN120" s="5">
        <v>3.0176500000000002</v>
      </c>
      <c r="AP120" s="36">
        <v>2.6285896964997502E-2</v>
      </c>
      <c r="AS120" s="5" t="s">
        <v>12387</v>
      </c>
      <c r="AT120" s="5">
        <v>3.27</v>
      </c>
      <c r="AU120" s="5">
        <v>100</v>
      </c>
      <c r="AV120" s="5" t="s">
        <v>12400</v>
      </c>
      <c r="AW120" s="5" t="s">
        <v>12400</v>
      </c>
      <c r="AX120" s="5" t="s">
        <v>12400</v>
      </c>
      <c r="AZ120" s="49" t="s">
        <v>12421</v>
      </c>
      <c r="BA120" s="50" t="s">
        <v>12406</v>
      </c>
      <c r="BC120" s="51">
        <v>0.28532999999999997</v>
      </c>
    </row>
    <row r="121" spans="1:55" ht="15" customHeight="1" x14ac:dyDescent="0.4">
      <c r="A121" s="27" t="s">
        <v>11081</v>
      </c>
      <c r="B121" s="44" t="s">
        <v>12026</v>
      </c>
      <c r="C121" s="45" t="s">
        <v>11531</v>
      </c>
      <c r="D121" s="46">
        <v>192</v>
      </c>
      <c r="E121" s="45" t="s">
        <v>12358</v>
      </c>
      <c r="F121" s="45"/>
      <c r="G121" s="9">
        <v>38.298789999999997</v>
      </c>
      <c r="H121" s="9">
        <v>629.66899999999998</v>
      </c>
      <c r="I121" s="9">
        <v>22.1295</v>
      </c>
      <c r="J121" s="9">
        <v>4620.9690000000001</v>
      </c>
      <c r="K121" s="9">
        <v>4620.9690000000001</v>
      </c>
      <c r="L121" s="9">
        <v>406.86700000000002</v>
      </c>
      <c r="M121" s="9">
        <v>800.65800000000002</v>
      </c>
      <c r="N121" s="10" t="s">
        <v>12467</v>
      </c>
      <c r="P121" s="32">
        <v>45446</v>
      </c>
      <c r="R121" s="35">
        <v>281.61</v>
      </c>
      <c r="S121" s="34">
        <v>45445</v>
      </c>
      <c r="T121" s="35">
        <v>282.82</v>
      </c>
      <c r="U121" s="34">
        <v>45444</v>
      </c>
      <c r="V121" s="35">
        <v>282.82</v>
      </c>
      <c r="W121" s="34">
        <v>45443</v>
      </c>
      <c r="X121" s="35">
        <v>282.82</v>
      </c>
      <c r="Y121" s="34">
        <v>45442</v>
      </c>
      <c r="Z121" s="35">
        <v>279.11</v>
      </c>
      <c r="AA121" s="34">
        <v>45447</v>
      </c>
      <c r="AB121" s="35">
        <v>277.10000000000002</v>
      </c>
      <c r="AC121" s="34">
        <v>45448</v>
      </c>
      <c r="AD121" s="35">
        <v>277.86</v>
      </c>
      <c r="AE121" s="34">
        <v>45449</v>
      </c>
      <c r="AF121" s="35">
        <v>274.08999999999997</v>
      </c>
      <c r="AG121" s="34">
        <v>45450</v>
      </c>
      <c r="AH121" s="35">
        <v>271.55</v>
      </c>
      <c r="AI121" s="36">
        <v>-2.0224878014284631E-2</v>
      </c>
      <c r="AK121" s="34">
        <v>45439</v>
      </c>
      <c r="AL121" s="35">
        <v>280.70999999999998</v>
      </c>
      <c r="AM121" s="34">
        <v>45453</v>
      </c>
      <c r="AN121" s="5">
        <v>272.61</v>
      </c>
      <c r="AP121" s="36">
        <v>-2.8855402372555239E-2</v>
      </c>
      <c r="AS121" s="5" t="s">
        <v>12387</v>
      </c>
      <c r="AT121" s="5" t="s">
        <v>12400</v>
      </c>
      <c r="AU121" s="5" t="s">
        <v>12400</v>
      </c>
      <c r="AV121" s="5" t="s">
        <v>12400</v>
      </c>
      <c r="AW121" s="5" t="s">
        <v>12400</v>
      </c>
      <c r="AX121" s="5" t="s">
        <v>12400</v>
      </c>
      <c r="AZ121" s="49" t="s">
        <v>12403</v>
      </c>
      <c r="BA121" s="50" t="s">
        <v>12415</v>
      </c>
      <c r="BC121" s="51">
        <v>0.93357000000000001</v>
      </c>
    </row>
    <row r="122" spans="1:55" ht="15" customHeight="1" x14ac:dyDescent="0.4">
      <c r="A122" s="27" t="s">
        <v>11082</v>
      </c>
      <c r="B122" s="44" t="s">
        <v>12027</v>
      </c>
      <c r="C122" s="45" t="s">
        <v>11532</v>
      </c>
      <c r="D122" s="46">
        <v>25.58</v>
      </c>
      <c r="E122" s="45" t="s">
        <v>12361</v>
      </c>
      <c r="F122" s="45"/>
      <c r="G122" s="9">
        <v>62.328510000000001</v>
      </c>
      <c r="H122" s="9">
        <v>13.8712</v>
      </c>
      <c r="I122" s="9">
        <v>39.922199999999997</v>
      </c>
      <c r="J122" s="9">
        <v>73.468950000000007</v>
      </c>
      <c r="K122" s="9">
        <v>73.468950000000007</v>
      </c>
      <c r="L122" s="9">
        <v>9.7340400000000002</v>
      </c>
      <c r="M122" s="9">
        <v>-3.9486400000000001</v>
      </c>
      <c r="N122" s="10" t="s">
        <v>12475</v>
      </c>
      <c r="P122" s="32">
        <v>45446</v>
      </c>
      <c r="R122" s="35">
        <v>5.5314699999999997</v>
      </c>
      <c r="S122" s="34">
        <v>45445</v>
      </c>
      <c r="T122" s="35">
        <v>5.15313</v>
      </c>
      <c r="U122" s="34">
        <v>45444</v>
      </c>
      <c r="V122" s="35">
        <v>5.15313</v>
      </c>
      <c r="W122" s="34">
        <v>45443</v>
      </c>
      <c r="X122" s="35">
        <v>5.15313</v>
      </c>
      <c r="Y122" s="34">
        <v>45442</v>
      </c>
      <c r="Z122" s="35">
        <v>5.1607500000000002</v>
      </c>
      <c r="AA122" s="34">
        <v>45447</v>
      </c>
      <c r="AB122" s="35">
        <v>5.52942</v>
      </c>
      <c r="AC122" s="34">
        <v>45448</v>
      </c>
      <c r="AD122" s="35">
        <v>5.64968</v>
      </c>
      <c r="AE122" s="34">
        <v>45449</v>
      </c>
      <c r="AF122" s="35">
        <v>5.6577700000000002</v>
      </c>
      <c r="AG122" s="34">
        <v>45450</v>
      </c>
      <c r="AH122" s="35">
        <v>5.6109</v>
      </c>
      <c r="AI122" s="36">
        <v>7.3021639275547168E-2</v>
      </c>
      <c r="AK122" s="34">
        <v>45439</v>
      </c>
      <c r="AL122" s="35">
        <v>5.0457999999999998</v>
      </c>
      <c r="AM122" s="34">
        <v>45453</v>
      </c>
      <c r="AN122" s="5">
        <v>5.72628</v>
      </c>
      <c r="AP122" s="36">
        <v>0.13486067620595343</v>
      </c>
      <c r="AS122" s="5" t="s">
        <v>12387</v>
      </c>
      <c r="AT122" s="5">
        <v>19.18</v>
      </c>
      <c r="AU122" s="5">
        <v>100</v>
      </c>
      <c r="AV122" s="5" t="s">
        <v>12400</v>
      </c>
      <c r="AW122" s="5" t="s">
        <v>12400</v>
      </c>
      <c r="AX122" s="5" t="s">
        <v>12400</v>
      </c>
      <c r="AZ122" s="49" t="s">
        <v>12415</v>
      </c>
      <c r="BA122" s="50" t="s">
        <v>12415</v>
      </c>
      <c r="BC122" s="51">
        <v>0.27206999999999998</v>
      </c>
    </row>
    <row r="123" spans="1:55" ht="15" customHeight="1" x14ac:dyDescent="0.4">
      <c r="A123" s="27" t="s">
        <v>11083</v>
      </c>
      <c r="B123" s="44" t="s">
        <v>12028</v>
      </c>
      <c r="C123" s="45" t="s">
        <v>11533</v>
      </c>
      <c r="D123" s="46">
        <v>60.09</v>
      </c>
      <c r="E123" s="45" t="s">
        <v>12357</v>
      </c>
      <c r="F123" s="45"/>
      <c r="G123" s="9">
        <v>347.32208000000003</v>
      </c>
      <c r="H123" s="9">
        <v>2180</v>
      </c>
      <c r="I123" s="9">
        <v>11.5246</v>
      </c>
      <c r="J123" s="9">
        <v>23261</v>
      </c>
      <c r="K123" s="9">
        <v>23261</v>
      </c>
      <c r="L123" s="9">
        <v>1113</v>
      </c>
      <c r="M123" s="9">
        <v>4945</v>
      </c>
      <c r="N123" s="10" t="s">
        <v>12466</v>
      </c>
      <c r="P123" s="32">
        <v>45446</v>
      </c>
      <c r="R123" s="35">
        <v>45.55</v>
      </c>
      <c r="S123" s="34">
        <v>45445</v>
      </c>
      <c r="T123" s="35">
        <v>45.09</v>
      </c>
      <c r="U123" s="34">
        <v>45444</v>
      </c>
      <c r="V123" s="35">
        <v>45.09</v>
      </c>
      <c r="W123" s="34">
        <v>45443</v>
      </c>
      <c r="X123" s="35">
        <v>45.09</v>
      </c>
      <c r="Y123" s="34">
        <v>45442</v>
      </c>
      <c r="Z123" s="35">
        <v>44.58</v>
      </c>
      <c r="AA123" s="34">
        <v>45447</v>
      </c>
      <c r="AB123" s="35">
        <v>44.22</v>
      </c>
      <c r="AC123" s="34">
        <v>45448</v>
      </c>
      <c r="AD123" s="35">
        <v>44.4</v>
      </c>
      <c r="AE123" s="34">
        <v>45449</v>
      </c>
      <c r="AF123" s="35">
        <v>44.43</v>
      </c>
      <c r="AG123" s="34">
        <v>45450</v>
      </c>
      <c r="AH123" s="35">
        <v>45.21</v>
      </c>
      <c r="AI123" s="36">
        <v>-1.9294743845642115E-2</v>
      </c>
      <c r="AK123" s="34">
        <v>45439</v>
      </c>
      <c r="AL123" s="35">
        <v>45.46</v>
      </c>
      <c r="AM123" s="34">
        <v>45453</v>
      </c>
      <c r="AN123" s="5">
        <v>44.79</v>
      </c>
      <c r="AP123" s="36">
        <v>-1.4738231412230518E-2</v>
      </c>
      <c r="AS123" s="5" t="s">
        <v>12387</v>
      </c>
      <c r="AT123" s="5">
        <v>60.09</v>
      </c>
      <c r="AU123" s="5">
        <v>100</v>
      </c>
      <c r="AV123" s="5" t="s">
        <v>12400</v>
      </c>
      <c r="AW123" s="5" t="s">
        <v>12400</v>
      </c>
      <c r="AX123" s="5" t="s">
        <v>12400</v>
      </c>
      <c r="AZ123" s="49" t="s">
        <v>12416</v>
      </c>
      <c r="BA123" s="50" t="s">
        <v>12416</v>
      </c>
      <c r="BC123" s="51">
        <v>1.0554699999999999</v>
      </c>
    </row>
    <row r="124" spans="1:55" ht="15" customHeight="1" x14ac:dyDescent="0.4">
      <c r="A124" s="27" t="s">
        <v>11084</v>
      </c>
      <c r="B124" s="44" t="s">
        <v>12029</v>
      </c>
      <c r="C124" s="45" t="s">
        <v>11534</v>
      </c>
      <c r="D124" s="47">
        <v>6.0000000000000001E-3</v>
      </c>
      <c r="E124" s="45" t="s">
        <v>12357</v>
      </c>
      <c r="F124" s="45"/>
      <c r="G124" s="9">
        <v>56.908329999999999</v>
      </c>
      <c r="H124" s="9">
        <v>789.48299999999995</v>
      </c>
      <c r="I124" s="9">
        <v>18.834700000000002</v>
      </c>
      <c r="J124" s="9">
        <v>3377.297</v>
      </c>
      <c r="K124" s="9">
        <v>3377.297</v>
      </c>
      <c r="L124" s="9">
        <v>393.78699999999998</v>
      </c>
      <c r="M124" s="9">
        <v>766.10299999999995</v>
      </c>
      <c r="N124" s="10" t="s">
        <v>12467</v>
      </c>
      <c r="P124" s="32">
        <v>45446</v>
      </c>
      <c r="R124" s="35">
        <v>192.15</v>
      </c>
      <c r="S124" s="34">
        <v>45445</v>
      </c>
      <c r="T124" s="35">
        <v>196.36</v>
      </c>
      <c r="U124" s="34">
        <v>45444</v>
      </c>
      <c r="V124" s="35">
        <v>196.36</v>
      </c>
      <c r="W124" s="34">
        <v>45443</v>
      </c>
      <c r="X124" s="35">
        <v>196.36</v>
      </c>
      <c r="Y124" s="34">
        <v>45442</v>
      </c>
      <c r="Z124" s="35">
        <v>196.95</v>
      </c>
      <c r="AA124" s="34">
        <v>45447</v>
      </c>
      <c r="AB124" s="35">
        <v>189.98</v>
      </c>
      <c r="AC124" s="34">
        <v>45448</v>
      </c>
      <c r="AD124" s="35">
        <v>190.13</v>
      </c>
      <c r="AE124" s="34">
        <v>45449</v>
      </c>
      <c r="AF124" s="35">
        <v>189.3</v>
      </c>
      <c r="AG124" s="34">
        <v>45450</v>
      </c>
      <c r="AH124" s="35">
        <v>187.39</v>
      </c>
      <c r="AI124" s="36">
        <v>-3.2491342432267367E-2</v>
      </c>
      <c r="AK124" s="34">
        <v>45439</v>
      </c>
      <c r="AL124" s="35">
        <v>202.47</v>
      </c>
      <c r="AM124" s="34">
        <v>45453</v>
      </c>
      <c r="AN124" s="5">
        <v>188.89</v>
      </c>
      <c r="AP124" s="36">
        <v>-6.7071664938015529E-2</v>
      </c>
      <c r="AS124" s="5" t="s">
        <v>12387</v>
      </c>
      <c r="AT124" s="5" t="s">
        <v>12400</v>
      </c>
      <c r="AU124" s="5" t="s">
        <v>12400</v>
      </c>
      <c r="AV124" s="5" t="s">
        <v>12400</v>
      </c>
      <c r="AW124" s="5" t="s">
        <v>12400</v>
      </c>
      <c r="AX124" s="5" t="s">
        <v>12400</v>
      </c>
      <c r="AZ124" s="49" t="s">
        <v>12403</v>
      </c>
      <c r="BA124" s="50" t="s">
        <v>12414</v>
      </c>
      <c r="BC124" s="51">
        <v>1.25695</v>
      </c>
    </row>
    <row r="125" spans="1:55" ht="15" customHeight="1" x14ac:dyDescent="0.4">
      <c r="A125" s="27" t="s">
        <v>11085</v>
      </c>
      <c r="B125" s="44" t="s">
        <v>12030</v>
      </c>
      <c r="C125" s="45" t="s">
        <v>11535</v>
      </c>
      <c r="D125" s="46">
        <v>1.78</v>
      </c>
      <c r="E125" s="45" t="s">
        <v>12357</v>
      </c>
      <c r="F125" s="45"/>
      <c r="G125" s="9">
        <v>11.867599999999999</v>
      </c>
      <c r="H125" s="9">
        <v>14.24689</v>
      </c>
      <c r="I125" s="9">
        <v>20.050999999999998</v>
      </c>
      <c r="J125" s="9">
        <v>103.35001</v>
      </c>
      <c r="K125" s="9">
        <v>103.35001</v>
      </c>
      <c r="L125" s="9">
        <v>16.224260000000001</v>
      </c>
      <c r="M125" s="9">
        <v>17.110910000000001</v>
      </c>
      <c r="N125" s="10" t="s">
        <v>12467</v>
      </c>
      <c r="P125" s="32">
        <v>45446</v>
      </c>
      <c r="R125" s="35">
        <v>6.0418000000000003</v>
      </c>
      <c r="S125" s="34">
        <v>45445</v>
      </c>
      <c r="T125" s="35">
        <v>6.1273200000000001</v>
      </c>
      <c r="U125" s="34">
        <v>45444</v>
      </c>
      <c r="V125" s="35">
        <v>6.1273200000000001</v>
      </c>
      <c r="W125" s="34">
        <v>45443</v>
      </c>
      <c r="X125" s="35">
        <v>6.1273200000000001</v>
      </c>
      <c r="Y125" s="34">
        <v>45442</v>
      </c>
      <c r="Z125" s="35">
        <v>5.8013399999999997</v>
      </c>
      <c r="AA125" s="34">
        <v>45447</v>
      </c>
      <c r="AB125" s="35">
        <v>5.9847700000000001</v>
      </c>
      <c r="AC125" s="34">
        <v>45448</v>
      </c>
      <c r="AD125" s="35">
        <v>5.9763099999999998</v>
      </c>
      <c r="AE125" s="34">
        <v>45449</v>
      </c>
      <c r="AF125" s="35">
        <v>6.0935800000000002</v>
      </c>
      <c r="AG125" s="34">
        <v>45450</v>
      </c>
      <c r="AH125" s="35">
        <v>5.9987000000000004</v>
      </c>
      <c r="AI125" s="36">
        <v>-2.3264657305314573E-2</v>
      </c>
      <c r="AK125" s="34">
        <v>45439</v>
      </c>
      <c r="AL125" s="35">
        <v>5.3860400000000004</v>
      </c>
      <c r="AM125" s="34">
        <v>45453</v>
      </c>
      <c r="AN125" s="5">
        <v>6.0700500000000002</v>
      </c>
      <c r="AP125" s="36">
        <v>0.12699682883899865</v>
      </c>
      <c r="AS125" s="5" t="s">
        <v>12387</v>
      </c>
      <c r="AT125" s="5">
        <v>1.78</v>
      </c>
      <c r="AU125" s="5">
        <v>100</v>
      </c>
      <c r="AV125" s="5" t="s">
        <v>12400</v>
      </c>
      <c r="AW125" s="5" t="s">
        <v>12400</v>
      </c>
      <c r="AX125" s="5" t="s">
        <v>12400</v>
      </c>
      <c r="AZ125" s="49" t="s">
        <v>12416</v>
      </c>
      <c r="BA125" s="50" t="s">
        <v>12415</v>
      </c>
      <c r="BC125" s="51">
        <v>0.85760999999999998</v>
      </c>
    </row>
    <row r="126" spans="1:55" ht="15" customHeight="1" x14ac:dyDescent="0.4">
      <c r="A126" s="27" t="s">
        <v>11086</v>
      </c>
      <c r="B126" s="44" t="s">
        <v>12031</v>
      </c>
      <c r="C126" s="45" t="s">
        <v>11536</v>
      </c>
      <c r="D126" s="46">
        <v>44.59</v>
      </c>
      <c r="E126" s="45" t="s">
        <v>12359</v>
      </c>
      <c r="F126" s="45"/>
      <c r="G126" s="9">
        <v>63.713279999999997</v>
      </c>
      <c r="H126" s="9">
        <v>375.8</v>
      </c>
      <c r="I126" s="9">
        <v>14.652200000000001</v>
      </c>
      <c r="J126" s="9">
        <v>3387.8</v>
      </c>
      <c r="K126" s="9">
        <v>3387.8</v>
      </c>
      <c r="L126" s="9">
        <v>455</v>
      </c>
      <c r="M126" s="9">
        <v>1321.8</v>
      </c>
      <c r="N126" s="10" t="s">
        <v>12473</v>
      </c>
      <c r="P126" s="32">
        <v>45444</v>
      </c>
      <c r="R126" s="35">
        <v>67.28</v>
      </c>
      <c r="S126" s="34">
        <v>45443</v>
      </c>
      <c r="T126" s="35">
        <v>67.28</v>
      </c>
      <c r="U126" s="34">
        <v>45442</v>
      </c>
      <c r="V126" s="35">
        <v>65.62</v>
      </c>
      <c r="W126" s="34">
        <v>45441</v>
      </c>
      <c r="X126" s="35">
        <v>66.41</v>
      </c>
      <c r="Y126" s="34">
        <v>45440</v>
      </c>
      <c r="Z126" s="35">
        <v>67.010000000000005</v>
      </c>
      <c r="AA126" s="34">
        <v>45445</v>
      </c>
      <c r="AB126" s="35">
        <v>67.28</v>
      </c>
      <c r="AC126" s="34">
        <v>45446</v>
      </c>
      <c r="AD126" s="35">
        <v>70.150000000000006</v>
      </c>
      <c r="AE126" s="34">
        <v>45447</v>
      </c>
      <c r="AF126" s="35">
        <v>70.540000000000006</v>
      </c>
      <c r="AG126" s="34">
        <v>45448</v>
      </c>
      <c r="AH126" s="35">
        <v>70.8</v>
      </c>
      <c r="AI126" s="36">
        <v>0</v>
      </c>
      <c r="AK126" s="34">
        <v>45437</v>
      </c>
      <c r="AL126" s="35">
        <v>68.290000000000006</v>
      </c>
      <c r="AM126" s="34">
        <v>45451</v>
      </c>
      <c r="AN126" s="5">
        <v>72.53</v>
      </c>
      <c r="AP126" s="36">
        <v>6.2088153463171647E-2</v>
      </c>
      <c r="AS126" s="5" t="s">
        <v>12387</v>
      </c>
      <c r="AT126" s="5">
        <v>44.59</v>
      </c>
      <c r="AU126" s="5">
        <v>100</v>
      </c>
      <c r="AV126" s="5" t="s">
        <v>12400</v>
      </c>
      <c r="AW126" s="5" t="s">
        <v>12400</v>
      </c>
      <c r="AX126" s="5" t="s">
        <v>12400</v>
      </c>
      <c r="AZ126" s="49" t="s">
        <v>12403</v>
      </c>
      <c r="BA126" s="50" t="s">
        <v>12406</v>
      </c>
      <c r="BC126" s="51">
        <v>1.67652</v>
      </c>
    </row>
    <row r="127" spans="1:55" ht="15" customHeight="1" x14ac:dyDescent="0.4">
      <c r="A127" s="27" t="s">
        <v>11086</v>
      </c>
      <c r="B127" s="44" t="s">
        <v>12031</v>
      </c>
      <c r="C127" s="45" t="s">
        <v>11537</v>
      </c>
      <c r="D127" s="46">
        <v>43.43</v>
      </c>
      <c r="E127" s="45" t="s">
        <v>12359</v>
      </c>
      <c r="F127" s="45"/>
      <c r="G127" s="9">
        <v>63.713279999999997</v>
      </c>
      <c r="H127" s="9">
        <v>375.8</v>
      </c>
      <c r="I127" s="9">
        <v>14.652200000000001</v>
      </c>
      <c r="J127" s="9">
        <v>3387.8</v>
      </c>
      <c r="K127" s="9">
        <v>3387.8</v>
      </c>
      <c r="L127" s="9">
        <v>455</v>
      </c>
      <c r="M127" s="9">
        <v>1321.8</v>
      </c>
      <c r="N127" s="10" t="s">
        <v>12473</v>
      </c>
      <c r="P127" s="32">
        <v>45444</v>
      </c>
      <c r="R127" s="35">
        <v>67.28</v>
      </c>
      <c r="S127" s="34">
        <v>45443</v>
      </c>
      <c r="T127" s="35">
        <v>67.28</v>
      </c>
      <c r="U127" s="34">
        <v>45442</v>
      </c>
      <c r="V127" s="35">
        <v>65.62</v>
      </c>
      <c r="W127" s="34">
        <v>45441</v>
      </c>
      <c r="X127" s="35">
        <v>66.41</v>
      </c>
      <c r="Y127" s="34">
        <v>45440</v>
      </c>
      <c r="Z127" s="35">
        <v>67.010000000000005</v>
      </c>
      <c r="AA127" s="34">
        <v>45445</v>
      </c>
      <c r="AB127" s="35">
        <v>67.28</v>
      </c>
      <c r="AC127" s="34">
        <v>45446</v>
      </c>
      <c r="AD127" s="35">
        <v>70.150000000000006</v>
      </c>
      <c r="AE127" s="34">
        <v>45447</v>
      </c>
      <c r="AF127" s="35">
        <v>70.540000000000006</v>
      </c>
      <c r="AG127" s="34">
        <v>45448</v>
      </c>
      <c r="AH127" s="35">
        <v>70.8</v>
      </c>
      <c r="AI127" s="36">
        <v>0</v>
      </c>
      <c r="AK127" s="34">
        <v>45437</v>
      </c>
      <c r="AL127" s="35">
        <v>68.290000000000006</v>
      </c>
      <c r="AM127" s="34">
        <v>45451</v>
      </c>
      <c r="AN127" s="5">
        <v>72.53</v>
      </c>
      <c r="AP127" s="36">
        <v>6.2088153463171647E-2</v>
      </c>
      <c r="AS127" s="5" t="s">
        <v>12387</v>
      </c>
      <c r="AT127" s="5">
        <v>38.01</v>
      </c>
      <c r="AU127" s="5">
        <v>100</v>
      </c>
      <c r="AV127" s="5" t="s">
        <v>12400</v>
      </c>
      <c r="AW127" s="5" t="s">
        <v>12400</v>
      </c>
      <c r="AX127" s="5" t="s">
        <v>12400</v>
      </c>
      <c r="AZ127" s="49" t="s">
        <v>12403</v>
      </c>
      <c r="BA127" s="50" t="s">
        <v>12406</v>
      </c>
      <c r="BC127" s="51">
        <v>1.67652</v>
      </c>
    </row>
    <row r="128" spans="1:55" ht="15" customHeight="1" x14ac:dyDescent="0.4">
      <c r="A128" s="27" t="s">
        <v>11087</v>
      </c>
      <c r="B128" s="44" t="s">
        <v>12032</v>
      </c>
      <c r="C128" s="45" t="s">
        <v>11538</v>
      </c>
      <c r="D128" s="46">
        <v>38.17</v>
      </c>
      <c r="E128" s="45" t="s">
        <v>12357</v>
      </c>
      <c r="F128" s="45"/>
      <c r="G128" s="9">
        <v>753.14364999999998</v>
      </c>
      <c r="H128" s="9">
        <v>847.68430999999998</v>
      </c>
      <c r="I128" s="9">
        <v>7.8658999999999999</v>
      </c>
      <c r="J128" s="9">
        <v>13892.85169</v>
      </c>
      <c r="K128" s="9">
        <v>13892.85169</v>
      </c>
      <c r="L128" s="9">
        <v>2911.8051700000001</v>
      </c>
      <c r="M128" s="9">
        <v>-185.96831</v>
      </c>
      <c r="N128" s="10" t="s">
        <v>12467</v>
      </c>
      <c r="P128" s="32">
        <v>45443</v>
      </c>
      <c r="R128" s="35">
        <v>5.8529400000000003</v>
      </c>
      <c r="S128" s="34">
        <v>45442</v>
      </c>
      <c r="T128" s="35">
        <v>5.8666900000000002</v>
      </c>
      <c r="U128" s="34">
        <v>45441</v>
      </c>
      <c r="V128" s="35">
        <v>5.80525</v>
      </c>
      <c r="W128" s="34">
        <v>45440</v>
      </c>
      <c r="X128" s="35">
        <v>5.9277499999999996</v>
      </c>
      <c r="Y128" s="34">
        <v>45439</v>
      </c>
      <c r="Z128" s="35">
        <v>5.8441799999999997</v>
      </c>
      <c r="AA128" s="34">
        <v>45444</v>
      </c>
      <c r="AB128" s="35">
        <v>5.8529400000000003</v>
      </c>
      <c r="AC128" s="34">
        <v>45445</v>
      </c>
      <c r="AD128" s="35">
        <v>5.8529400000000003</v>
      </c>
      <c r="AE128" s="34">
        <v>45446</v>
      </c>
      <c r="AF128" s="35">
        <v>6.0801400000000001</v>
      </c>
      <c r="AG128" s="34">
        <v>45447</v>
      </c>
      <c r="AH128" s="35">
        <v>6.2070100000000004</v>
      </c>
      <c r="AI128" s="36">
        <v>-2.3437406783041181E-3</v>
      </c>
      <c r="AK128" s="34">
        <v>45436</v>
      </c>
      <c r="AL128" s="35">
        <v>5.8313699999999997</v>
      </c>
      <c r="AM128" s="34">
        <v>45450</v>
      </c>
      <c r="AN128" s="5">
        <v>5.89208</v>
      </c>
      <c r="AP128" s="36">
        <v>1.0410932593884592E-2</v>
      </c>
      <c r="AS128" s="5" t="s">
        <v>12387</v>
      </c>
      <c r="AT128" s="5">
        <v>33.08</v>
      </c>
      <c r="AU128" s="5">
        <v>100</v>
      </c>
      <c r="AV128" s="5" t="s">
        <v>12400</v>
      </c>
      <c r="AW128" s="5" t="s">
        <v>12400</v>
      </c>
      <c r="AX128" s="5" t="s">
        <v>12400</v>
      </c>
      <c r="AZ128" s="49" t="s">
        <v>12415</v>
      </c>
      <c r="BA128" s="50" t="s">
        <v>12421</v>
      </c>
      <c r="BC128" s="51">
        <v>1.8574200000000001</v>
      </c>
    </row>
    <row r="129" spans="1:55" ht="15" customHeight="1" x14ac:dyDescent="0.4">
      <c r="A129" s="27" t="s">
        <v>11088</v>
      </c>
      <c r="B129" s="44" t="s">
        <v>12033</v>
      </c>
      <c r="C129" s="45" t="s">
        <v>11539</v>
      </c>
      <c r="D129" s="46">
        <v>1.03</v>
      </c>
      <c r="E129" s="45" t="s">
        <v>12357</v>
      </c>
      <c r="F129" s="45"/>
      <c r="G129" s="9">
        <v>5.47905</v>
      </c>
      <c r="H129" s="9">
        <v>1.35388</v>
      </c>
      <c r="I129" s="9">
        <v>4.1721000000000004</v>
      </c>
      <c r="J129" s="9">
        <v>35.304310000000001</v>
      </c>
      <c r="K129" s="9">
        <v>35.304310000000001</v>
      </c>
      <c r="L129" s="9">
        <v>2.4711400000000001</v>
      </c>
      <c r="M129" s="9">
        <v>5.9049199999999997</v>
      </c>
      <c r="N129" s="10" t="s">
        <v>12468</v>
      </c>
      <c r="P129" s="32">
        <v>45443</v>
      </c>
      <c r="R129" s="35">
        <v>8.9361200000000007</v>
      </c>
      <c r="S129" s="34">
        <v>45442</v>
      </c>
      <c r="T129" s="35">
        <v>8.8484099999999994</v>
      </c>
      <c r="U129" s="34">
        <v>45441</v>
      </c>
      <c r="V129" s="35">
        <v>8.8038100000000004</v>
      </c>
      <c r="W129" s="34">
        <v>45440</v>
      </c>
      <c r="X129" s="35">
        <v>8.8318499999999993</v>
      </c>
      <c r="Y129" s="34">
        <v>45439</v>
      </c>
      <c r="Z129" s="35">
        <v>8.8609000000000009</v>
      </c>
      <c r="AA129" s="34">
        <v>45444</v>
      </c>
      <c r="AB129" s="35">
        <v>8.9361200000000007</v>
      </c>
      <c r="AC129" s="34">
        <v>45445</v>
      </c>
      <c r="AD129" s="35">
        <v>8.9361200000000007</v>
      </c>
      <c r="AE129" s="34">
        <v>45446</v>
      </c>
      <c r="AF129" s="35">
        <v>8.9701699999999995</v>
      </c>
      <c r="AG129" s="34">
        <v>45447</v>
      </c>
      <c r="AH129" s="35">
        <v>8.8792200000000001</v>
      </c>
      <c r="AI129" s="36">
        <v>9.912515355866347E-3</v>
      </c>
      <c r="AK129" s="34">
        <v>45436</v>
      </c>
      <c r="AL129" s="35">
        <v>8.7268000000000008</v>
      </c>
      <c r="AM129" s="34">
        <v>45450</v>
      </c>
      <c r="AN129" s="5">
        <v>8.7548600000000008</v>
      </c>
      <c r="AP129" s="36">
        <v>3.2153824998855107E-3</v>
      </c>
      <c r="AS129" s="5" t="s">
        <v>12387</v>
      </c>
      <c r="AT129" s="5">
        <v>0.83699999999999997</v>
      </c>
      <c r="AU129" s="5">
        <v>100</v>
      </c>
      <c r="AV129" s="5" t="s">
        <v>12400</v>
      </c>
      <c r="AW129" s="5" t="s">
        <v>12400</v>
      </c>
      <c r="AX129" s="5" t="s">
        <v>12400</v>
      </c>
      <c r="AZ129" s="49" t="s">
        <v>12411</v>
      </c>
      <c r="BA129" s="50" t="s">
        <v>12408</v>
      </c>
      <c r="BC129" s="51">
        <v>1.34555</v>
      </c>
    </row>
    <row r="130" spans="1:55" ht="15" customHeight="1" x14ac:dyDescent="0.4">
      <c r="A130" s="27" t="s">
        <v>11089</v>
      </c>
      <c r="B130" s="44" t="s">
        <v>12034</v>
      </c>
      <c r="C130" s="45" t="s">
        <v>11540</v>
      </c>
      <c r="D130" s="47">
        <v>0.32500000000000001</v>
      </c>
      <c r="E130" s="45" t="s">
        <v>12357</v>
      </c>
      <c r="F130" s="45"/>
      <c r="G130" s="9">
        <v>510.54642999999999</v>
      </c>
      <c r="H130" s="9">
        <v>72.266530000000003</v>
      </c>
      <c r="I130" s="9">
        <v>23.667300000000001</v>
      </c>
      <c r="J130" s="9">
        <v>533.83435999999995</v>
      </c>
      <c r="K130" s="9">
        <v>533.83435999999995</v>
      </c>
      <c r="L130" s="9">
        <v>34.368780000000001</v>
      </c>
      <c r="M130" s="9">
        <v>62.655760000000001</v>
      </c>
      <c r="N130" s="10" t="s">
        <v>12466</v>
      </c>
      <c r="P130" s="32">
        <v>45443</v>
      </c>
      <c r="R130" s="35">
        <v>1.47401</v>
      </c>
      <c r="S130" s="34">
        <v>45442</v>
      </c>
      <c r="T130" s="35">
        <v>1.4686300000000001</v>
      </c>
      <c r="U130" s="34">
        <v>45441</v>
      </c>
      <c r="V130" s="35">
        <v>1.4499500000000001</v>
      </c>
      <c r="W130" s="34">
        <v>45440</v>
      </c>
      <c r="X130" s="35">
        <v>1.47862</v>
      </c>
      <c r="Y130" s="34">
        <v>45439</v>
      </c>
      <c r="Z130" s="35">
        <v>1.4711799999999999</v>
      </c>
      <c r="AA130" s="34">
        <v>45444</v>
      </c>
      <c r="AB130" s="35">
        <v>1.47401</v>
      </c>
      <c r="AC130" s="34">
        <v>45445</v>
      </c>
      <c r="AD130" s="35">
        <v>1.47401</v>
      </c>
      <c r="AE130" s="34">
        <v>45446</v>
      </c>
      <c r="AF130" s="35">
        <v>1.4701</v>
      </c>
      <c r="AG130" s="34">
        <v>45447</v>
      </c>
      <c r="AH130" s="35">
        <v>1.4956100000000001</v>
      </c>
      <c r="AI130" s="36">
        <v>3.6632780210128502E-3</v>
      </c>
      <c r="AK130" s="34">
        <v>45436</v>
      </c>
      <c r="AL130" s="35">
        <v>1.44553</v>
      </c>
      <c r="AM130" s="34">
        <v>45450</v>
      </c>
      <c r="AN130" s="5">
        <v>1.57999</v>
      </c>
      <c r="AP130" s="36">
        <v>9.301778586400844E-2</v>
      </c>
      <c r="AS130" s="5" t="s">
        <v>12387</v>
      </c>
      <c r="AT130" s="5">
        <v>0.32500000000000001</v>
      </c>
      <c r="AU130" s="5">
        <v>100</v>
      </c>
      <c r="AV130" s="5" t="s">
        <v>12400</v>
      </c>
      <c r="AW130" s="5" t="s">
        <v>12400</v>
      </c>
      <c r="AX130" s="5" t="s">
        <v>12400</v>
      </c>
      <c r="AZ130" s="49" t="s">
        <v>12416</v>
      </c>
      <c r="BA130" s="50" t="s">
        <v>12415</v>
      </c>
      <c r="BC130" s="51">
        <v>1.3635699999999999</v>
      </c>
    </row>
    <row r="131" spans="1:55" ht="15" customHeight="1" x14ac:dyDescent="0.4">
      <c r="A131" s="27" t="s">
        <v>11090</v>
      </c>
      <c r="B131" s="44" t="s">
        <v>12035</v>
      </c>
      <c r="C131" s="45" t="s">
        <v>11541</v>
      </c>
      <c r="D131" s="46">
        <v>1.66</v>
      </c>
      <c r="E131" s="45" t="s">
        <v>12357</v>
      </c>
      <c r="F131" s="45"/>
      <c r="G131" s="9">
        <v>188.2808</v>
      </c>
      <c r="H131" s="9">
        <v>-2.9966699999999999</v>
      </c>
      <c r="I131" s="9">
        <v>0</v>
      </c>
      <c r="J131" s="9">
        <v>6.91059</v>
      </c>
      <c r="K131" s="9">
        <v>6.91059</v>
      </c>
      <c r="L131" s="9">
        <v>3.8246899999999999</v>
      </c>
      <c r="M131" s="9">
        <v>-5.7196499999999997</v>
      </c>
      <c r="N131" s="10" t="s">
        <v>12466</v>
      </c>
      <c r="P131" s="32">
        <v>45443</v>
      </c>
      <c r="R131" s="35">
        <v>3.2980000000000002E-2</v>
      </c>
      <c r="S131" s="34">
        <v>45442</v>
      </c>
      <c r="T131" s="35">
        <v>3.2939999999999997E-2</v>
      </c>
      <c r="U131" s="34">
        <v>45441</v>
      </c>
      <c r="V131" s="35">
        <v>3.2840000000000001E-2</v>
      </c>
      <c r="W131" s="34">
        <v>45440</v>
      </c>
      <c r="X131" s="35">
        <v>3.3000000000000002E-2</v>
      </c>
      <c r="Y131" s="34">
        <v>45439</v>
      </c>
      <c r="Z131" s="35">
        <v>3.3000000000000002E-2</v>
      </c>
      <c r="AA131" s="34">
        <v>45444</v>
      </c>
      <c r="AB131" s="35">
        <v>3.2980000000000002E-2</v>
      </c>
      <c r="AC131" s="34">
        <v>45445</v>
      </c>
      <c r="AD131" s="35">
        <v>3.2980000000000002E-2</v>
      </c>
      <c r="AE131" s="34">
        <v>45446</v>
      </c>
      <c r="AF131" s="35">
        <v>3.6700000000000003E-2</v>
      </c>
      <c r="AG131" s="34">
        <v>45447</v>
      </c>
      <c r="AH131" s="35">
        <v>3.2890000000000003E-2</v>
      </c>
      <c r="AI131" s="36">
        <v>1.2143290831816422E-3</v>
      </c>
      <c r="AK131" s="34">
        <v>45436</v>
      </c>
      <c r="AL131" s="35">
        <v>3.6600000000000001E-2</v>
      </c>
      <c r="AM131" s="34">
        <v>45450</v>
      </c>
      <c r="AN131" s="5">
        <v>2.9080000000000002E-2</v>
      </c>
      <c r="AP131" s="36">
        <v>-0.2054644808743169</v>
      </c>
      <c r="AS131" s="5" t="s">
        <v>12389</v>
      </c>
      <c r="AT131" s="5">
        <v>0.68799999999999994</v>
      </c>
      <c r="AU131" s="5">
        <v>41.54</v>
      </c>
      <c r="AV131" s="5" t="s">
        <v>12400</v>
      </c>
      <c r="AW131" s="5" t="s">
        <v>12400</v>
      </c>
      <c r="AX131" s="5">
        <v>58.46</v>
      </c>
      <c r="AZ131" s="49" t="s">
        <v>12416</v>
      </c>
      <c r="BA131" s="50" t="s">
        <v>12412</v>
      </c>
      <c r="BC131" s="51">
        <v>1.5520700000000001</v>
      </c>
    </row>
    <row r="132" spans="1:55" ht="15" customHeight="1" x14ac:dyDescent="0.4">
      <c r="A132" s="27" t="s">
        <v>11091</v>
      </c>
      <c r="B132" s="44" t="s">
        <v>12036</v>
      </c>
      <c r="C132" s="45" t="s">
        <v>11542</v>
      </c>
      <c r="D132" s="46">
        <v>4.46</v>
      </c>
      <c r="E132" s="45" t="s">
        <v>12357</v>
      </c>
      <c r="F132" s="45"/>
      <c r="G132" s="9">
        <v>390.08330999999998</v>
      </c>
      <c r="H132" s="9">
        <v>1.3839399999999999</v>
      </c>
      <c r="I132" s="9">
        <v>6.9825999999999997</v>
      </c>
      <c r="J132" s="9">
        <v>43.79936</v>
      </c>
      <c r="K132" s="9">
        <v>43.79936</v>
      </c>
      <c r="L132" s="9">
        <v>19.604369999999999</v>
      </c>
      <c r="M132" s="9">
        <v>-7.9788100000000002</v>
      </c>
      <c r="N132" s="10" t="s">
        <v>12467</v>
      </c>
      <c r="P132" s="32">
        <v>45442</v>
      </c>
      <c r="R132" s="35">
        <v>0.22936999999999999</v>
      </c>
      <c r="S132" s="34">
        <v>45441</v>
      </c>
      <c r="T132" s="35">
        <v>0.22885</v>
      </c>
      <c r="U132" s="34">
        <v>45440</v>
      </c>
      <c r="V132" s="35">
        <v>0.23000999999999999</v>
      </c>
      <c r="W132" s="34">
        <v>45439</v>
      </c>
      <c r="X132" s="35">
        <v>0.22993</v>
      </c>
      <c r="Y132" s="34">
        <v>45438</v>
      </c>
      <c r="Z132" s="35">
        <v>0.22943</v>
      </c>
      <c r="AA132" s="34">
        <v>45443</v>
      </c>
      <c r="AB132" s="35">
        <v>0.22585</v>
      </c>
      <c r="AC132" s="34">
        <v>45444</v>
      </c>
      <c r="AD132" s="35">
        <v>0.22585</v>
      </c>
      <c r="AE132" s="34">
        <v>45445</v>
      </c>
      <c r="AF132" s="35">
        <v>0.22585</v>
      </c>
      <c r="AG132" s="34">
        <v>45446</v>
      </c>
      <c r="AH132" s="35">
        <v>0.22700999999999999</v>
      </c>
      <c r="AI132" s="36">
        <v>-1.3109023377758322E-2</v>
      </c>
      <c r="AK132" s="34">
        <v>45435</v>
      </c>
      <c r="AL132" s="35">
        <v>0.2288</v>
      </c>
      <c r="AM132" s="34">
        <v>45449</v>
      </c>
      <c r="AN132" s="5">
        <v>0.22695000000000001</v>
      </c>
      <c r="AP132" s="36">
        <v>-8.0856643356642666E-3</v>
      </c>
      <c r="AS132" s="5" t="s">
        <v>12387</v>
      </c>
      <c r="AT132" s="5">
        <v>3.57</v>
      </c>
      <c r="AU132" s="5">
        <v>100</v>
      </c>
      <c r="AV132" s="5" t="s">
        <v>12400</v>
      </c>
      <c r="AW132" s="5" t="s">
        <v>12400</v>
      </c>
      <c r="AX132" s="5" t="s">
        <v>12400</v>
      </c>
      <c r="AZ132" s="49" t="s">
        <v>12415</v>
      </c>
      <c r="BA132" s="50" t="s">
        <v>12415</v>
      </c>
      <c r="BC132" s="51">
        <v>-0.42315000000000003</v>
      </c>
    </row>
    <row r="133" spans="1:55" ht="15" customHeight="1" x14ac:dyDescent="0.4">
      <c r="A133" s="27" t="s">
        <v>11092</v>
      </c>
      <c r="B133" s="44" t="s">
        <v>12037</v>
      </c>
      <c r="C133" s="45" t="s">
        <v>11543</v>
      </c>
      <c r="D133" s="46">
        <v>1.41</v>
      </c>
      <c r="E133" s="45" t="s">
        <v>12357</v>
      </c>
      <c r="F133" s="45"/>
      <c r="G133" s="9">
        <v>54.07658</v>
      </c>
      <c r="H133" s="9">
        <v>11.183020000000001</v>
      </c>
      <c r="I133" s="9">
        <v>15.3529</v>
      </c>
      <c r="J133" s="9">
        <v>111.21208</v>
      </c>
      <c r="K133" s="9">
        <v>111.21208</v>
      </c>
      <c r="L133" s="9">
        <v>20.81831</v>
      </c>
      <c r="M133" s="9">
        <v>5.3405300000000002</v>
      </c>
      <c r="N133" s="10" t="s">
        <v>12467</v>
      </c>
      <c r="P133" s="32">
        <v>45442</v>
      </c>
      <c r="R133" s="35">
        <v>1.73498</v>
      </c>
      <c r="S133" s="34">
        <v>45441</v>
      </c>
      <c r="T133" s="35">
        <v>1.74129</v>
      </c>
      <c r="U133" s="34">
        <v>45440</v>
      </c>
      <c r="V133" s="35">
        <v>1.7620199999999999</v>
      </c>
      <c r="W133" s="34">
        <v>45439</v>
      </c>
      <c r="X133" s="35">
        <v>1.79173</v>
      </c>
      <c r="Y133" s="34">
        <v>45438</v>
      </c>
      <c r="Z133" s="35">
        <v>1.7583800000000001</v>
      </c>
      <c r="AA133" s="34">
        <v>45443</v>
      </c>
      <c r="AB133" s="35">
        <v>1.7622800000000001</v>
      </c>
      <c r="AC133" s="34">
        <v>45444</v>
      </c>
      <c r="AD133" s="35">
        <v>1.7622800000000001</v>
      </c>
      <c r="AE133" s="34">
        <v>45445</v>
      </c>
      <c r="AF133" s="35">
        <v>1.7622800000000001</v>
      </c>
      <c r="AG133" s="34">
        <v>45446</v>
      </c>
      <c r="AH133" s="35">
        <v>1.7798799999999999</v>
      </c>
      <c r="AI133" s="36">
        <v>1.2054281595828442E-2</v>
      </c>
      <c r="AK133" s="34">
        <v>45435</v>
      </c>
      <c r="AL133" s="35">
        <v>1.7209700000000001</v>
      </c>
      <c r="AM133" s="34">
        <v>45449</v>
      </c>
      <c r="AN133" s="5">
        <v>1.7845500000000001</v>
      </c>
      <c r="AP133" s="36">
        <v>3.6944281422686132E-2</v>
      </c>
      <c r="AS133" s="5" t="s">
        <v>12387</v>
      </c>
      <c r="AT133" s="5">
        <v>1.41</v>
      </c>
      <c r="AU133" s="5">
        <v>100</v>
      </c>
      <c r="AV133" s="5" t="s">
        <v>12400</v>
      </c>
      <c r="AW133" s="5" t="s">
        <v>12400</v>
      </c>
      <c r="AX133" s="5" t="s">
        <v>12400</v>
      </c>
      <c r="AZ133" s="49" t="s">
        <v>12416</v>
      </c>
      <c r="BA133" s="50" t="s">
        <v>12416</v>
      </c>
      <c r="BC133" s="51">
        <v>1.18204</v>
      </c>
    </row>
    <row r="134" spans="1:55" ht="15" customHeight="1" x14ac:dyDescent="0.4">
      <c r="A134" s="27" t="s">
        <v>11093</v>
      </c>
      <c r="B134" s="44" t="s">
        <v>12038</v>
      </c>
      <c r="C134" s="45" t="s">
        <v>11544</v>
      </c>
      <c r="D134" s="46">
        <v>134.46</v>
      </c>
      <c r="E134" s="45" t="s">
        <v>12357</v>
      </c>
      <c r="F134" s="45"/>
      <c r="G134" s="9">
        <v>87.200980000000001</v>
      </c>
      <c r="H134" s="9" t="s">
        <v>11415</v>
      </c>
      <c r="I134" s="9" t="s">
        <v>11415</v>
      </c>
      <c r="J134" s="9">
        <v>3383.1244700000002</v>
      </c>
      <c r="K134" s="9">
        <v>3383.1244700000002</v>
      </c>
      <c r="L134" s="9">
        <v>0</v>
      </c>
      <c r="M134" s="9">
        <v>526.81402000000003</v>
      </c>
      <c r="N134" s="10" t="s">
        <v>12473</v>
      </c>
      <c r="P134" s="32">
        <v>45442</v>
      </c>
      <c r="R134" s="35">
        <v>5.4487100000000002</v>
      </c>
      <c r="S134" s="34">
        <v>45441</v>
      </c>
      <c r="T134" s="35">
        <v>5.2657499999999997</v>
      </c>
      <c r="U134" s="34">
        <v>45440</v>
      </c>
      <c r="V134" s="35">
        <v>5.4147600000000002</v>
      </c>
      <c r="W134" s="34">
        <v>45439</v>
      </c>
      <c r="X134" s="35">
        <v>5.38124</v>
      </c>
      <c r="Y134" s="34">
        <v>45438</v>
      </c>
      <c r="Z134" s="35">
        <v>5.3441599999999996</v>
      </c>
      <c r="AA134" s="34">
        <v>45443</v>
      </c>
      <c r="AB134" s="35">
        <v>5.5818199999999996</v>
      </c>
      <c r="AC134" s="34">
        <v>45444</v>
      </c>
      <c r="AD134" s="35">
        <v>5.5818199999999996</v>
      </c>
      <c r="AE134" s="34">
        <v>45445</v>
      </c>
      <c r="AF134" s="35">
        <v>5.5818199999999996</v>
      </c>
      <c r="AG134" s="34">
        <v>45446</v>
      </c>
      <c r="AH134" s="35">
        <v>5.52006</v>
      </c>
      <c r="AI134" s="36">
        <v>6.0023738308882857E-2</v>
      </c>
      <c r="AK134" s="34">
        <v>45435</v>
      </c>
      <c r="AL134" s="35">
        <v>5.2802800000000003</v>
      </c>
      <c r="AM134" s="34">
        <v>45449</v>
      </c>
      <c r="AN134" s="5">
        <v>5.3431800000000003</v>
      </c>
      <c r="AP134" s="36">
        <v>1.1912247077806581E-2</v>
      </c>
      <c r="AS134" s="5" t="s">
        <v>12387</v>
      </c>
      <c r="AT134" s="5">
        <v>134.46</v>
      </c>
      <c r="AU134" s="5">
        <v>100</v>
      </c>
      <c r="AV134" s="5" t="s">
        <v>12400</v>
      </c>
      <c r="AW134" s="5" t="s">
        <v>12400</v>
      </c>
      <c r="AX134" s="5" t="s">
        <v>12400</v>
      </c>
      <c r="AZ134" s="49" t="s">
        <v>12419</v>
      </c>
      <c r="BA134" s="50" t="s">
        <v>12406</v>
      </c>
      <c r="BC134" s="51">
        <v>1.1991499999999999</v>
      </c>
    </row>
    <row r="135" spans="1:55" ht="15" customHeight="1" x14ac:dyDescent="0.4">
      <c r="A135" s="27" t="s">
        <v>11094</v>
      </c>
      <c r="B135" s="44" t="s">
        <v>12039</v>
      </c>
      <c r="C135" s="45" t="s">
        <v>11545</v>
      </c>
      <c r="D135" s="47">
        <v>0.123</v>
      </c>
      <c r="E135" s="45" t="s">
        <v>12357</v>
      </c>
      <c r="F135" s="45"/>
      <c r="G135" s="9">
        <v>11.882949999999999</v>
      </c>
      <c r="H135" s="9">
        <v>-30.033000000000001</v>
      </c>
      <c r="I135" s="9">
        <v>-17.952999999999999</v>
      </c>
      <c r="J135" s="9">
        <v>121.797</v>
      </c>
      <c r="K135" s="9">
        <v>121.797</v>
      </c>
      <c r="L135" s="9">
        <v>2.4089999999999998</v>
      </c>
      <c r="M135" s="9">
        <v>166.79499999999999</v>
      </c>
      <c r="N135" s="10" t="s">
        <v>12468</v>
      </c>
      <c r="P135" s="32">
        <v>45442</v>
      </c>
      <c r="R135" s="35">
        <v>9.81</v>
      </c>
      <c r="S135" s="34">
        <v>45441</v>
      </c>
      <c r="T135" s="35">
        <v>8.5500000000000007</v>
      </c>
      <c r="U135" s="34">
        <v>45440</v>
      </c>
      <c r="V135" s="35">
        <v>8.7799999999999994</v>
      </c>
      <c r="W135" s="34">
        <v>45439</v>
      </c>
      <c r="X135" s="35">
        <v>7.5</v>
      </c>
      <c r="Y135" s="34">
        <v>45438</v>
      </c>
      <c r="Z135" s="35">
        <v>7.5</v>
      </c>
      <c r="AA135" s="34">
        <v>45443</v>
      </c>
      <c r="AB135" s="35">
        <v>9.66</v>
      </c>
      <c r="AC135" s="34">
        <v>45444</v>
      </c>
      <c r="AD135" s="35">
        <v>9.66</v>
      </c>
      <c r="AE135" s="34">
        <v>45445</v>
      </c>
      <c r="AF135" s="35">
        <v>9.66</v>
      </c>
      <c r="AG135" s="34">
        <v>45446</v>
      </c>
      <c r="AH135" s="35">
        <v>8.49</v>
      </c>
      <c r="AI135" s="36">
        <v>0.12982456140350873</v>
      </c>
      <c r="AK135" s="34">
        <v>45435</v>
      </c>
      <c r="AL135" s="35">
        <v>6.59</v>
      </c>
      <c r="AM135" s="34">
        <v>45449</v>
      </c>
      <c r="AN135" s="5">
        <v>8.5399999999999991</v>
      </c>
      <c r="AP135" s="36">
        <v>0.29590288315629731</v>
      </c>
      <c r="AS135" s="5" t="s">
        <v>721</v>
      </c>
      <c r="AT135" s="5" t="s">
        <v>12400</v>
      </c>
      <c r="AU135" s="5" t="s">
        <v>12400</v>
      </c>
      <c r="AV135" s="5" t="s">
        <v>12400</v>
      </c>
      <c r="AW135" s="5" t="s">
        <v>12400</v>
      </c>
      <c r="AX135" s="5">
        <v>100</v>
      </c>
      <c r="AZ135" s="49" t="s">
        <v>12415</v>
      </c>
      <c r="BA135" s="50" t="s">
        <v>12422</v>
      </c>
      <c r="BC135" s="51">
        <v>1.25787</v>
      </c>
    </row>
    <row r="136" spans="1:55" ht="15" customHeight="1" x14ac:dyDescent="0.4">
      <c r="A136" s="27" t="s">
        <v>11095</v>
      </c>
      <c r="B136" s="44" t="s">
        <v>12040</v>
      </c>
      <c r="C136" s="45" t="s">
        <v>11546</v>
      </c>
      <c r="D136" s="46">
        <v>3.31</v>
      </c>
      <c r="E136" s="45" t="s">
        <v>12357</v>
      </c>
      <c r="F136" s="45"/>
      <c r="G136" s="9">
        <v>725</v>
      </c>
      <c r="H136" s="9">
        <v>8.5186499999999992</v>
      </c>
      <c r="I136" s="9">
        <v>14.6373</v>
      </c>
      <c r="J136" s="9">
        <v>88.086730000000003</v>
      </c>
      <c r="K136" s="9">
        <v>88.086730000000003</v>
      </c>
      <c r="L136" s="9">
        <v>1.3970499999999999</v>
      </c>
      <c r="M136" s="9">
        <v>31.155460000000001</v>
      </c>
      <c r="N136" s="10" t="s">
        <v>12466</v>
      </c>
      <c r="P136" s="32">
        <v>45442</v>
      </c>
      <c r="R136" s="35">
        <v>3.8699999999999998E-2</v>
      </c>
      <c r="S136" s="34">
        <v>45441</v>
      </c>
      <c r="T136" s="35">
        <v>3.8300000000000001E-2</v>
      </c>
      <c r="U136" s="34">
        <v>45440</v>
      </c>
      <c r="V136" s="35">
        <v>4.0210000000000003E-2</v>
      </c>
      <c r="W136" s="34">
        <v>45439</v>
      </c>
      <c r="X136" s="35">
        <v>3.9370000000000002E-2</v>
      </c>
      <c r="Y136" s="34">
        <v>45438</v>
      </c>
      <c r="Z136" s="35">
        <v>4.0660000000000002E-2</v>
      </c>
      <c r="AA136" s="34">
        <v>45443</v>
      </c>
      <c r="AB136" s="35">
        <v>3.7749999999999999E-2</v>
      </c>
      <c r="AC136" s="34">
        <v>45444</v>
      </c>
      <c r="AD136" s="35">
        <v>3.7749999999999999E-2</v>
      </c>
      <c r="AE136" s="34">
        <v>45445</v>
      </c>
      <c r="AF136" s="35">
        <v>3.7749999999999999E-2</v>
      </c>
      <c r="AG136" s="34">
        <v>45446</v>
      </c>
      <c r="AH136" s="35">
        <v>3.7909999999999999E-2</v>
      </c>
      <c r="AI136" s="36">
        <v>-1.4360313315926909E-2</v>
      </c>
      <c r="AK136" s="34">
        <v>45435</v>
      </c>
      <c r="AL136" s="35">
        <v>3.959E-2</v>
      </c>
      <c r="AM136" s="34">
        <v>45449</v>
      </c>
      <c r="AN136" s="5">
        <v>3.7039999999999997E-2</v>
      </c>
      <c r="AP136" s="36">
        <v>-6.4410204597120546E-2</v>
      </c>
      <c r="AS136" s="5" t="s">
        <v>721</v>
      </c>
      <c r="AT136" s="5" t="s">
        <v>12400</v>
      </c>
      <c r="AU136" s="5" t="s">
        <v>12400</v>
      </c>
      <c r="AV136" s="5" t="s">
        <v>12400</v>
      </c>
      <c r="AW136" s="5" t="s">
        <v>12400</v>
      </c>
      <c r="AX136" s="5">
        <v>100</v>
      </c>
      <c r="AZ136" s="49" t="s">
        <v>12408</v>
      </c>
      <c r="BA136" s="50" t="s">
        <v>12408</v>
      </c>
      <c r="BC136" s="51">
        <v>0.17854999999999999</v>
      </c>
    </row>
    <row r="137" spans="1:55" ht="15" customHeight="1" x14ac:dyDescent="0.4">
      <c r="A137" s="27" t="e">
        <v>#VALUE!</v>
      </c>
      <c r="B137" s="44" t="s">
        <v>12041</v>
      </c>
      <c r="C137" s="45" t="s">
        <v>11547</v>
      </c>
      <c r="D137" s="46">
        <v>8186.18</v>
      </c>
      <c r="E137" s="45" t="s">
        <v>12357</v>
      </c>
      <c r="F137" s="45"/>
      <c r="G137" s="9" t="s">
        <v>11416</v>
      </c>
      <c r="H137" s="9" t="s">
        <v>11416</v>
      </c>
      <c r="I137" s="9" t="s">
        <v>11416</v>
      </c>
      <c r="J137" s="9" t="s">
        <v>11416</v>
      </c>
      <c r="K137" s="9" t="s">
        <v>11416</v>
      </c>
      <c r="L137" s="9" t="s">
        <v>11416</v>
      </c>
      <c r="M137" s="9" t="s">
        <v>11416</v>
      </c>
      <c r="N137" s="10" t="s">
        <v>11416</v>
      </c>
      <c r="P137" s="32">
        <v>45442</v>
      </c>
      <c r="R137" s="35" t="s">
        <v>11416</v>
      </c>
      <c r="S137" s="34">
        <v>45441</v>
      </c>
      <c r="T137" s="35" t="s">
        <v>11416</v>
      </c>
      <c r="U137" s="34">
        <v>45440</v>
      </c>
      <c r="V137" s="35" t="s">
        <v>11416</v>
      </c>
      <c r="W137" s="34">
        <v>45439</v>
      </c>
      <c r="X137" s="35" t="s">
        <v>11416</v>
      </c>
      <c r="Y137" s="34">
        <v>45438</v>
      </c>
      <c r="Z137" s="35" t="s">
        <v>11416</v>
      </c>
      <c r="AA137" s="34">
        <v>45443</v>
      </c>
      <c r="AB137" s="35" t="s">
        <v>11416</v>
      </c>
      <c r="AC137" s="34">
        <v>45444</v>
      </c>
      <c r="AD137" s="35" t="s">
        <v>11416</v>
      </c>
      <c r="AE137" s="34">
        <v>45445</v>
      </c>
      <c r="AF137" s="35" t="s">
        <v>11416</v>
      </c>
      <c r="AG137" s="34">
        <v>45446</v>
      </c>
      <c r="AH137" s="35" t="s">
        <v>11416</v>
      </c>
      <c r="AI137" s="36" t="s">
        <v>318</v>
      </c>
      <c r="AK137" s="34">
        <v>45435</v>
      </c>
      <c r="AL137" s="35" t="s">
        <v>11416</v>
      </c>
      <c r="AM137" s="34">
        <v>45449</v>
      </c>
      <c r="AN137" s="5" t="s">
        <v>11416</v>
      </c>
      <c r="AP137" s="36" t="s">
        <v>318</v>
      </c>
      <c r="AS137" s="5" t="s">
        <v>12387</v>
      </c>
      <c r="AT137" s="5">
        <v>3506.94</v>
      </c>
      <c r="AU137" s="5">
        <v>100</v>
      </c>
      <c r="AV137" s="5" t="s">
        <v>12400</v>
      </c>
      <c r="AW137" s="5" t="s">
        <v>12400</v>
      </c>
      <c r="AX137" s="5" t="s">
        <v>12400</v>
      </c>
      <c r="AZ137" s="49" t="s">
        <v>12427</v>
      </c>
      <c r="BA137" s="50" t="s">
        <v>12410</v>
      </c>
      <c r="BC137" s="51" t="s">
        <v>11416</v>
      </c>
    </row>
    <row r="138" spans="1:55" ht="15" customHeight="1" x14ac:dyDescent="0.4">
      <c r="A138" s="27" t="s">
        <v>11044</v>
      </c>
      <c r="B138" s="44" t="s">
        <v>11989</v>
      </c>
      <c r="C138" s="45" t="s">
        <v>11548</v>
      </c>
      <c r="D138" s="46">
        <v>1.23</v>
      </c>
      <c r="E138" s="45" t="s">
        <v>12357</v>
      </c>
      <c r="F138" s="45"/>
      <c r="G138" s="9">
        <v>10.8</v>
      </c>
      <c r="H138" s="9">
        <v>2.8072900000000001</v>
      </c>
      <c r="I138" s="9">
        <v>16.4621</v>
      </c>
      <c r="J138" s="9">
        <v>27.143149999999999</v>
      </c>
      <c r="K138" s="9">
        <v>27.143149999999999</v>
      </c>
      <c r="L138" s="9">
        <v>0.70391000000000004</v>
      </c>
      <c r="M138" s="9">
        <v>5.2923</v>
      </c>
      <c r="N138" s="10" t="s">
        <v>12465</v>
      </c>
      <c r="P138" s="32">
        <v>45442</v>
      </c>
      <c r="R138" s="35">
        <v>3.05959</v>
      </c>
      <c r="S138" s="34">
        <v>45441</v>
      </c>
      <c r="T138" s="35">
        <v>3.0411800000000002</v>
      </c>
      <c r="U138" s="34">
        <v>45440</v>
      </c>
      <c r="V138" s="35">
        <v>3.1673</v>
      </c>
      <c r="W138" s="34">
        <v>45439</v>
      </c>
      <c r="X138" s="35">
        <v>3.1288499999999999</v>
      </c>
      <c r="Y138" s="34">
        <v>45438</v>
      </c>
      <c r="Z138" s="35">
        <v>3.1369899999999999</v>
      </c>
      <c r="AA138" s="34">
        <v>45443</v>
      </c>
      <c r="AB138" s="35">
        <v>3.2086000000000001</v>
      </c>
      <c r="AC138" s="34">
        <v>45444</v>
      </c>
      <c r="AD138" s="35">
        <v>3.2086000000000001</v>
      </c>
      <c r="AE138" s="34">
        <v>45445</v>
      </c>
      <c r="AF138" s="35">
        <v>3.2086000000000001</v>
      </c>
      <c r="AG138" s="34">
        <v>45446</v>
      </c>
      <c r="AH138" s="35">
        <v>3.2448299999999999</v>
      </c>
      <c r="AI138" s="36">
        <v>5.5050999940812417E-2</v>
      </c>
      <c r="AK138" s="34">
        <v>45435</v>
      </c>
      <c r="AL138" s="35">
        <v>3.0918000000000001</v>
      </c>
      <c r="AM138" s="34">
        <v>45449</v>
      </c>
      <c r="AN138" s="5">
        <v>3.2866300000000002</v>
      </c>
      <c r="AP138" s="36">
        <v>6.3015072126269445E-2</v>
      </c>
      <c r="AS138" s="5" t="s">
        <v>721</v>
      </c>
      <c r="AT138" s="5" t="s">
        <v>12400</v>
      </c>
      <c r="AU138" s="5" t="s">
        <v>12400</v>
      </c>
      <c r="AV138" s="5" t="s">
        <v>12400</v>
      </c>
      <c r="AW138" s="5" t="s">
        <v>12400</v>
      </c>
      <c r="AX138" s="5">
        <v>100</v>
      </c>
      <c r="AZ138" s="49" t="s">
        <v>12409</v>
      </c>
      <c r="BA138" s="50" t="s">
        <v>12409</v>
      </c>
      <c r="BC138" s="51">
        <v>0.50907999999999998</v>
      </c>
    </row>
    <row r="139" spans="1:55" ht="15" customHeight="1" x14ac:dyDescent="0.4">
      <c r="A139" s="27" t="e">
        <v>#VALUE!</v>
      </c>
      <c r="B139" s="44" t="s">
        <v>12042</v>
      </c>
      <c r="C139" s="45" t="s">
        <v>11549</v>
      </c>
      <c r="D139" s="46">
        <v>12.41</v>
      </c>
      <c r="E139" s="45" t="s">
        <v>12357</v>
      </c>
      <c r="F139" s="45"/>
      <c r="G139" s="9" t="s">
        <v>11416</v>
      </c>
      <c r="H139" s="9" t="s">
        <v>11416</v>
      </c>
      <c r="I139" s="9" t="s">
        <v>11416</v>
      </c>
      <c r="J139" s="9" t="s">
        <v>11416</v>
      </c>
      <c r="K139" s="9" t="s">
        <v>11416</v>
      </c>
      <c r="L139" s="9" t="s">
        <v>11416</v>
      </c>
      <c r="M139" s="9" t="s">
        <v>11416</v>
      </c>
      <c r="N139" s="10" t="s">
        <v>11416</v>
      </c>
      <c r="P139" s="32">
        <v>45441</v>
      </c>
      <c r="R139" s="35" t="s">
        <v>11416</v>
      </c>
      <c r="S139" s="34">
        <v>45440</v>
      </c>
      <c r="T139" s="35" t="s">
        <v>11416</v>
      </c>
      <c r="U139" s="34">
        <v>45439</v>
      </c>
      <c r="V139" s="35" t="s">
        <v>11416</v>
      </c>
      <c r="W139" s="34">
        <v>45438</v>
      </c>
      <c r="X139" s="35" t="s">
        <v>11416</v>
      </c>
      <c r="Y139" s="34">
        <v>45437</v>
      </c>
      <c r="Z139" s="35" t="s">
        <v>11416</v>
      </c>
      <c r="AA139" s="34">
        <v>45442</v>
      </c>
      <c r="AB139" s="35" t="s">
        <v>11416</v>
      </c>
      <c r="AC139" s="34">
        <v>45443</v>
      </c>
      <c r="AD139" s="35" t="s">
        <v>11416</v>
      </c>
      <c r="AE139" s="34">
        <v>45444</v>
      </c>
      <c r="AF139" s="35" t="s">
        <v>11416</v>
      </c>
      <c r="AG139" s="34">
        <v>45445</v>
      </c>
      <c r="AH139" s="35" t="s">
        <v>11416</v>
      </c>
      <c r="AI139" s="36" t="s">
        <v>318</v>
      </c>
      <c r="AK139" s="34">
        <v>45434</v>
      </c>
      <c r="AL139" s="35" t="s">
        <v>11416</v>
      </c>
      <c r="AM139" s="34">
        <v>45448</v>
      </c>
      <c r="AN139" s="5" t="s">
        <v>11416</v>
      </c>
      <c r="AP139" s="36" t="s">
        <v>318</v>
      </c>
      <c r="AS139" s="5" t="s">
        <v>12389</v>
      </c>
      <c r="AT139" s="5">
        <v>2.98</v>
      </c>
      <c r="AU139" s="5">
        <v>23.98</v>
      </c>
      <c r="AV139" s="5" t="s">
        <v>12400</v>
      </c>
      <c r="AW139" s="5" t="s">
        <v>12400</v>
      </c>
      <c r="AX139" s="5">
        <v>76.02</v>
      </c>
      <c r="AZ139" s="49" t="s">
        <v>12415</v>
      </c>
      <c r="BA139" s="50" t="s">
        <v>12415</v>
      </c>
      <c r="BC139" s="51" t="s">
        <v>11416</v>
      </c>
    </row>
    <row r="140" spans="1:55" ht="15" customHeight="1" x14ac:dyDescent="0.4">
      <c r="A140" s="27" t="s">
        <v>11096</v>
      </c>
      <c r="B140" s="44" t="s">
        <v>12043</v>
      </c>
      <c r="C140" s="45" t="s">
        <v>11550</v>
      </c>
      <c r="D140" s="46">
        <v>3000</v>
      </c>
      <c r="E140" s="45" t="s">
        <v>12357</v>
      </c>
      <c r="F140" s="45"/>
      <c r="G140" s="9">
        <v>2532.8063099999999</v>
      </c>
      <c r="H140" s="9">
        <v>19706</v>
      </c>
      <c r="I140" s="9">
        <v>32.780500000000004</v>
      </c>
      <c r="J140" s="9">
        <v>106675</v>
      </c>
      <c r="K140" s="9">
        <v>106675</v>
      </c>
      <c r="L140" s="9">
        <v>6841</v>
      </c>
      <c r="M140" s="9">
        <v>29175</v>
      </c>
      <c r="N140" s="10" t="s">
        <v>12465</v>
      </c>
      <c r="P140" s="32">
        <v>45441</v>
      </c>
      <c r="R140" s="35">
        <v>125.9</v>
      </c>
      <c r="S140" s="34">
        <v>45440</v>
      </c>
      <c r="T140" s="35">
        <v>126.09</v>
      </c>
      <c r="U140" s="34">
        <v>45439</v>
      </c>
      <c r="V140" s="35">
        <v>129.49</v>
      </c>
      <c r="W140" s="34">
        <v>45438</v>
      </c>
      <c r="X140" s="35">
        <v>129.49</v>
      </c>
      <c r="Y140" s="34">
        <v>45437</v>
      </c>
      <c r="Z140" s="35">
        <v>129.49</v>
      </c>
      <c r="AA140" s="34">
        <v>45442</v>
      </c>
      <c r="AB140" s="35">
        <v>124.53</v>
      </c>
      <c r="AC140" s="34">
        <v>45443</v>
      </c>
      <c r="AD140" s="35">
        <v>125.54</v>
      </c>
      <c r="AE140" s="34">
        <v>45444</v>
      </c>
      <c r="AF140" s="35">
        <v>125.54</v>
      </c>
      <c r="AG140" s="34">
        <v>45445</v>
      </c>
      <c r="AH140" s="35">
        <v>125.54</v>
      </c>
      <c r="AI140" s="36">
        <v>-1.2372115155841135E-2</v>
      </c>
      <c r="AK140" s="34">
        <v>45434</v>
      </c>
      <c r="AL140" s="35">
        <v>131.1</v>
      </c>
      <c r="AM140" s="34">
        <v>45448</v>
      </c>
      <c r="AN140" s="5">
        <v>129.44999999999999</v>
      </c>
      <c r="AP140" s="36">
        <v>-1.258581235697942E-2</v>
      </c>
      <c r="AS140" s="5" t="s">
        <v>12387</v>
      </c>
      <c r="AT140" s="5">
        <v>1300</v>
      </c>
      <c r="AU140" s="5">
        <v>100</v>
      </c>
      <c r="AV140" s="5" t="s">
        <v>12400</v>
      </c>
      <c r="AW140" s="5" t="s">
        <v>12400</v>
      </c>
      <c r="AX140" s="5" t="s">
        <v>12400</v>
      </c>
      <c r="AZ140" s="49" t="s">
        <v>12403</v>
      </c>
      <c r="BA140" s="50" t="s">
        <v>12415</v>
      </c>
      <c r="BC140" s="51">
        <v>0.29907</v>
      </c>
    </row>
    <row r="141" spans="1:55" ht="15" customHeight="1" x14ac:dyDescent="0.4">
      <c r="A141" s="27" t="s">
        <v>11079</v>
      </c>
      <c r="B141" s="44" t="s">
        <v>12024</v>
      </c>
      <c r="C141" s="45" t="s">
        <v>11551</v>
      </c>
      <c r="D141" s="46">
        <v>2.2999999999999998</v>
      </c>
      <c r="E141" s="45" t="s">
        <v>12357</v>
      </c>
      <c r="F141" s="45"/>
      <c r="G141" s="9">
        <v>27.663219999999999</v>
      </c>
      <c r="H141" s="9">
        <v>48.326329999999999</v>
      </c>
      <c r="I141" s="9">
        <v>10.203900000000001</v>
      </c>
      <c r="J141" s="9">
        <v>382.62844000000001</v>
      </c>
      <c r="K141" s="9">
        <v>382.62844000000001</v>
      </c>
      <c r="L141" s="9">
        <v>27.424009999999999</v>
      </c>
      <c r="M141" s="9">
        <v>95.817480000000003</v>
      </c>
      <c r="N141" s="10" t="s">
        <v>12467</v>
      </c>
      <c r="P141" s="32">
        <v>45441</v>
      </c>
      <c r="R141" s="35">
        <v>14.283469999999999</v>
      </c>
      <c r="S141" s="34">
        <v>45440</v>
      </c>
      <c r="T141" s="35">
        <v>14.69464</v>
      </c>
      <c r="U141" s="34">
        <v>45439</v>
      </c>
      <c r="V141" s="35">
        <v>14.435359999999999</v>
      </c>
      <c r="W141" s="34">
        <v>45438</v>
      </c>
      <c r="X141" s="35">
        <v>14.568720000000001</v>
      </c>
      <c r="Y141" s="34">
        <v>45437</v>
      </c>
      <c r="Z141" s="35">
        <v>14.568720000000001</v>
      </c>
      <c r="AA141" s="34">
        <v>45442</v>
      </c>
      <c r="AB141" s="35">
        <v>14.545</v>
      </c>
      <c r="AC141" s="34">
        <v>45443</v>
      </c>
      <c r="AD141" s="35">
        <v>14.219720000000001</v>
      </c>
      <c r="AE141" s="34">
        <v>45444</v>
      </c>
      <c r="AF141" s="35">
        <v>14.219720000000001</v>
      </c>
      <c r="AG141" s="34">
        <v>45445</v>
      </c>
      <c r="AH141" s="35">
        <v>14.219720000000001</v>
      </c>
      <c r="AI141" s="36">
        <v>-1.0183304932955162E-2</v>
      </c>
      <c r="AK141" s="34">
        <v>45434</v>
      </c>
      <c r="AL141" s="35">
        <v>14.26993</v>
      </c>
      <c r="AM141" s="34">
        <v>45448</v>
      </c>
      <c r="AN141" s="5">
        <v>14.34732</v>
      </c>
      <c r="AP141" s="36">
        <v>5.423292195546825E-3</v>
      </c>
      <c r="AS141" s="5" t="s">
        <v>12387</v>
      </c>
      <c r="AT141" s="5">
        <v>1.94</v>
      </c>
      <c r="AU141" s="5">
        <v>100</v>
      </c>
      <c r="AV141" s="5" t="s">
        <v>12400</v>
      </c>
      <c r="AW141" s="5" t="s">
        <v>12400</v>
      </c>
      <c r="AX141" s="5" t="s">
        <v>12400</v>
      </c>
      <c r="AZ141" s="49" t="s">
        <v>12408</v>
      </c>
      <c r="BA141" s="50" t="s">
        <v>12408</v>
      </c>
      <c r="BC141" s="51">
        <v>0.23430000000000001</v>
      </c>
    </row>
    <row r="142" spans="1:55" ht="15" customHeight="1" x14ac:dyDescent="0.4">
      <c r="A142" s="27" t="s">
        <v>11097</v>
      </c>
      <c r="B142" s="44" t="s">
        <v>12044</v>
      </c>
      <c r="C142" s="45" t="s">
        <v>11552</v>
      </c>
      <c r="D142" s="46">
        <v>99.32</v>
      </c>
      <c r="E142" s="45" t="s">
        <v>12357</v>
      </c>
      <c r="F142" s="45"/>
      <c r="G142" s="9">
        <v>50.146360000000001</v>
      </c>
      <c r="H142" s="9">
        <v>126.419</v>
      </c>
      <c r="I142" s="9">
        <v>9.5390999999999995</v>
      </c>
      <c r="J142" s="9">
        <v>3584.1370000000002</v>
      </c>
      <c r="K142" s="9">
        <v>3584.1370000000002</v>
      </c>
      <c r="L142" s="9">
        <v>430.90600000000001</v>
      </c>
      <c r="M142" s="9">
        <v>290.68799999999999</v>
      </c>
      <c r="N142" s="10" t="s">
        <v>12467</v>
      </c>
      <c r="P142" s="32">
        <v>45441</v>
      </c>
      <c r="R142" s="35">
        <v>56</v>
      </c>
      <c r="S142" s="34">
        <v>45440</v>
      </c>
      <c r="T142" s="35">
        <v>57.15</v>
      </c>
      <c r="U142" s="34">
        <v>45439</v>
      </c>
      <c r="V142" s="35">
        <v>56.99</v>
      </c>
      <c r="W142" s="34">
        <v>45438</v>
      </c>
      <c r="X142" s="35">
        <v>56.99</v>
      </c>
      <c r="Y142" s="34">
        <v>45437</v>
      </c>
      <c r="Z142" s="35">
        <v>56.99</v>
      </c>
      <c r="AA142" s="34">
        <v>45442</v>
      </c>
      <c r="AB142" s="35">
        <v>56.57</v>
      </c>
      <c r="AC142" s="34">
        <v>45443</v>
      </c>
      <c r="AD142" s="35">
        <v>57.03</v>
      </c>
      <c r="AE142" s="34">
        <v>45444</v>
      </c>
      <c r="AF142" s="35">
        <v>57.03</v>
      </c>
      <c r="AG142" s="34">
        <v>45445</v>
      </c>
      <c r="AH142" s="35">
        <v>57.03</v>
      </c>
      <c r="AI142" s="36">
        <v>-1.0148731408573863E-2</v>
      </c>
      <c r="AK142" s="34">
        <v>45434</v>
      </c>
      <c r="AL142" s="35">
        <v>56.3</v>
      </c>
      <c r="AM142" s="34">
        <v>45448</v>
      </c>
      <c r="AN142" s="5">
        <v>54.26</v>
      </c>
      <c r="AP142" s="36">
        <v>-3.6234458259325031E-2</v>
      </c>
      <c r="AS142" s="5" t="s">
        <v>12396</v>
      </c>
      <c r="AT142" s="5" t="s">
        <v>12400</v>
      </c>
      <c r="AU142" s="5" t="s">
        <v>12400</v>
      </c>
      <c r="AV142" s="5" t="s">
        <v>12400</v>
      </c>
      <c r="AW142" s="5" t="s">
        <v>12400</v>
      </c>
      <c r="AX142" s="5" t="s">
        <v>12400</v>
      </c>
      <c r="AZ142" s="49" t="s">
        <v>12403</v>
      </c>
      <c r="BA142" s="50" t="s">
        <v>12408</v>
      </c>
      <c r="BC142" s="51">
        <v>1.2216100000000001</v>
      </c>
    </row>
    <row r="143" spans="1:55" ht="15" customHeight="1" x14ac:dyDescent="0.4">
      <c r="A143" s="27" t="s">
        <v>11098</v>
      </c>
      <c r="B143" s="44" t="s">
        <v>12045</v>
      </c>
      <c r="C143" s="45" t="s">
        <v>11553</v>
      </c>
      <c r="D143" s="46">
        <v>10</v>
      </c>
      <c r="E143" s="45" t="s">
        <v>12358</v>
      </c>
      <c r="F143" s="45"/>
      <c r="G143" s="9">
        <v>122.24</v>
      </c>
      <c r="H143" s="9">
        <v>0</v>
      </c>
      <c r="I143" s="9">
        <v>0</v>
      </c>
      <c r="J143" s="9">
        <v>0</v>
      </c>
      <c r="K143" s="9">
        <v>0</v>
      </c>
      <c r="L143" s="9">
        <v>0</v>
      </c>
      <c r="M143" s="9">
        <v>0</v>
      </c>
      <c r="N143" s="10" t="s">
        <v>12466</v>
      </c>
      <c r="P143" s="32">
        <v>45441</v>
      </c>
      <c r="R143" s="35">
        <v>0.24792</v>
      </c>
      <c r="S143" s="34">
        <v>45440</v>
      </c>
      <c r="T143" s="35">
        <v>0.24917</v>
      </c>
      <c r="U143" s="34">
        <v>45439</v>
      </c>
      <c r="V143" s="35">
        <v>0.22674</v>
      </c>
      <c r="W143" s="34">
        <v>45438</v>
      </c>
      <c r="X143" s="35">
        <v>0.22624</v>
      </c>
      <c r="Y143" s="34">
        <v>45437</v>
      </c>
      <c r="Z143" s="35">
        <v>0.22624</v>
      </c>
      <c r="AA143" s="34">
        <v>45442</v>
      </c>
      <c r="AB143" s="35">
        <v>0.24210999999999999</v>
      </c>
      <c r="AC143" s="34">
        <v>45443</v>
      </c>
      <c r="AD143" s="35">
        <v>0.24493000000000001</v>
      </c>
      <c r="AE143" s="34">
        <v>45444</v>
      </c>
      <c r="AF143" s="35">
        <v>0.24493000000000001</v>
      </c>
      <c r="AG143" s="34">
        <v>45445</v>
      </c>
      <c r="AH143" s="35">
        <v>0.24493000000000001</v>
      </c>
      <c r="AI143" s="36">
        <v>-2.8334069109443361E-2</v>
      </c>
      <c r="AK143" s="34">
        <v>45434</v>
      </c>
      <c r="AL143" s="35">
        <v>0.22589999999999999</v>
      </c>
      <c r="AM143" s="34">
        <v>45448</v>
      </c>
      <c r="AN143" s="5">
        <v>0.29365999999999998</v>
      </c>
      <c r="AP143" s="36">
        <v>0.29995573262505526</v>
      </c>
      <c r="AS143" s="5" t="s">
        <v>12387</v>
      </c>
      <c r="AT143" s="5">
        <v>10</v>
      </c>
      <c r="AU143" s="5">
        <v>100</v>
      </c>
      <c r="AV143" s="5" t="s">
        <v>12400</v>
      </c>
      <c r="AW143" s="5" t="s">
        <v>12400</v>
      </c>
      <c r="AX143" s="5" t="s">
        <v>12400</v>
      </c>
      <c r="AZ143" s="49" t="s">
        <v>12408</v>
      </c>
      <c r="BA143" s="50" t="s">
        <v>12406</v>
      </c>
      <c r="BC143" s="51">
        <v>0</v>
      </c>
    </row>
    <row r="144" spans="1:55" ht="15" customHeight="1" x14ac:dyDescent="0.4">
      <c r="A144" s="27" t="s">
        <v>11099</v>
      </c>
      <c r="B144" s="44" t="s">
        <v>12046</v>
      </c>
      <c r="C144" s="45" t="s">
        <v>11554</v>
      </c>
      <c r="D144" s="46">
        <v>50.58</v>
      </c>
      <c r="E144" s="45" t="s">
        <v>12358</v>
      </c>
      <c r="F144" s="45"/>
      <c r="G144" s="9">
        <v>168.88369</v>
      </c>
      <c r="H144" s="9">
        <v>-7.7619999999999996</v>
      </c>
      <c r="I144" s="9">
        <v>-254.65870000000001</v>
      </c>
      <c r="J144" s="9">
        <v>690.99400000000003</v>
      </c>
      <c r="K144" s="9">
        <v>690.99400000000003</v>
      </c>
      <c r="L144" s="9">
        <v>1.4430000000000001</v>
      </c>
      <c r="M144" s="9">
        <v>31.273</v>
      </c>
      <c r="N144" s="10" t="s">
        <v>12466</v>
      </c>
      <c r="P144" s="32">
        <v>45440</v>
      </c>
      <c r="R144" s="35">
        <v>1.59</v>
      </c>
      <c r="S144" s="34">
        <v>45439</v>
      </c>
      <c r="T144" s="35">
        <v>1.92</v>
      </c>
      <c r="U144" s="34">
        <v>45438</v>
      </c>
      <c r="V144" s="35">
        <v>1.92</v>
      </c>
      <c r="W144" s="34">
        <v>45437</v>
      </c>
      <c r="X144" s="35">
        <v>1.92</v>
      </c>
      <c r="Y144" s="34">
        <v>45436</v>
      </c>
      <c r="Z144" s="35">
        <v>1.92</v>
      </c>
      <c r="AA144" s="34">
        <v>45441</v>
      </c>
      <c r="AB144" s="35">
        <v>1.51</v>
      </c>
      <c r="AC144" s="34">
        <v>45442</v>
      </c>
      <c r="AD144" s="35">
        <v>1.48</v>
      </c>
      <c r="AE144" s="34">
        <v>45443</v>
      </c>
      <c r="AF144" s="35">
        <v>1.63</v>
      </c>
      <c r="AG144" s="34">
        <v>45444</v>
      </c>
      <c r="AH144" s="35">
        <v>1.63</v>
      </c>
      <c r="AI144" s="36">
        <v>-0.21354166666666663</v>
      </c>
      <c r="AK144" s="34">
        <v>45433</v>
      </c>
      <c r="AL144" s="35">
        <v>1.98</v>
      </c>
      <c r="AM144" s="34">
        <v>45447</v>
      </c>
      <c r="AN144" s="5">
        <v>1.55</v>
      </c>
      <c r="AP144" s="36">
        <v>-0.21717171717171713</v>
      </c>
      <c r="AS144" s="5" t="s">
        <v>12389</v>
      </c>
      <c r="AT144" s="5">
        <v>45</v>
      </c>
      <c r="AU144" s="5">
        <v>88.97</v>
      </c>
      <c r="AV144" s="5" t="s">
        <v>12400</v>
      </c>
      <c r="AW144" s="5" t="s">
        <v>12400</v>
      </c>
      <c r="AX144" s="5">
        <v>11.03</v>
      </c>
      <c r="AZ144" s="49" t="s">
        <v>12417</v>
      </c>
      <c r="BA144" s="50" t="s">
        <v>12428</v>
      </c>
      <c r="BC144" s="51">
        <v>0.97697000000000001</v>
      </c>
    </row>
    <row r="145" spans="1:55" ht="15" customHeight="1" x14ac:dyDescent="0.4">
      <c r="A145" s="27" t="s">
        <v>11100</v>
      </c>
      <c r="B145" s="44" t="s">
        <v>12047</v>
      </c>
      <c r="C145" s="45" t="s">
        <v>11555</v>
      </c>
      <c r="D145" s="46">
        <v>1161.74</v>
      </c>
      <c r="E145" s="45" t="s">
        <v>12357</v>
      </c>
      <c r="F145" s="45"/>
      <c r="G145" s="9">
        <v>1386.1701399999999</v>
      </c>
      <c r="H145" s="9">
        <v>2067.9756299999999</v>
      </c>
      <c r="I145" s="9">
        <v>10.599299999999999</v>
      </c>
      <c r="J145" s="9">
        <v>25898.162329999999</v>
      </c>
      <c r="K145" s="9">
        <v>25898.162329999999</v>
      </c>
      <c r="L145" s="9">
        <v>2540.66327</v>
      </c>
      <c r="M145" s="9">
        <v>5102.7791399999996</v>
      </c>
      <c r="N145" s="10" t="s">
        <v>12466</v>
      </c>
      <c r="P145" s="32">
        <v>45440</v>
      </c>
      <c r="R145" s="35">
        <v>6.6906299999999996</v>
      </c>
      <c r="S145" s="34">
        <v>45439</v>
      </c>
      <c r="T145" s="35">
        <v>6.6513999999999998</v>
      </c>
      <c r="U145" s="34">
        <v>45438</v>
      </c>
      <c r="V145" s="35">
        <v>6.6557899999999997</v>
      </c>
      <c r="W145" s="34">
        <v>45437</v>
      </c>
      <c r="X145" s="35">
        <v>6.6557899999999997</v>
      </c>
      <c r="Y145" s="34">
        <v>45436</v>
      </c>
      <c r="Z145" s="35">
        <v>6.6557899999999997</v>
      </c>
      <c r="AA145" s="34">
        <v>45441</v>
      </c>
      <c r="AB145" s="35">
        <v>6.5249499999999996</v>
      </c>
      <c r="AC145" s="34">
        <v>45442</v>
      </c>
      <c r="AD145" s="35">
        <v>6.4336599999999997</v>
      </c>
      <c r="AE145" s="34">
        <v>45443</v>
      </c>
      <c r="AF145" s="35">
        <v>6.5196500000000004</v>
      </c>
      <c r="AG145" s="34">
        <v>45444</v>
      </c>
      <c r="AH145" s="35">
        <v>6.5196500000000004</v>
      </c>
      <c r="AI145" s="36">
        <v>-1.9011035270770082E-2</v>
      </c>
      <c r="AK145" s="34">
        <v>45433</v>
      </c>
      <c r="AL145" s="35">
        <v>6.8982299999999999</v>
      </c>
      <c r="AM145" s="34">
        <v>45447</v>
      </c>
      <c r="AN145" s="5">
        <v>6.6745000000000001</v>
      </c>
      <c r="AP145" s="36">
        <v>-3.2432957439807009E-2</v>
      </c>
      <c r="AS145" s="5" t="s">
        <v>12387</v>
      </c>
      <c r="AT145" s="5">
        <v>1065.33</v>
      </c>
      <c r="AU145" s="5">
        <v>100</v>
      </c>
      <c r="AV145" s="5" t="s">
        <v>12400</v>
      </c>
      <c r="AW145" s="5" t="s">
        <v>12400</v>
      </c>
      <c r="AX145" s="5" t="s">
        <v>12400</v>
      </c>
      <c r="AZ145" s="49" t="s">
        <v>12423</v>
      </c>
      <c r="BA145" s="50" t="s">
        <v>12409</v>
      </c>
      <c r="BC145" s="51">
        <v>0.40455999999999998</v>
      </c>
    </row>
    <row r="146" spans="1:55" ht="15" customHeight="1" x14ac:dyDescent="0.4">
      <c r="A146" s="27" t="s">
        <v>11101</v>
      </c>
      <c r="B146" s="44" t="s">
        <v>12048</v>
      </c>
      <c r="C146" s="45" t="s">
        <v>11556</v>
      </c>
      <c r="D146" s="46">
        <v>3.81</v>
      </c>
      <c r="E146" s="45" t="s">
        <v>12357</v>
      </c>
      <c r="F146" s="45"/>
      <c r="G146" s="9">
        <v>14.79055</v>
      </c>
      <c r="H146" s="9">
        <v>0.42399999999999999</v>
      </c>
      <c r="I146" s="9">
        <v>3.0415999999999999</v>
      </c>
      <c r="J146" s="9">
        <v>15.061999999999999</v>
      </c>
      <c r="K146" s="9">
        <v>15.061999999999999</v>
      </c>
      <c r="L146" s="9">
        <v>4.3040000000000003</v>
      </c>
      <c r="M146" s="9">
        <v>-4.1449999999999996</v>
      </c>
      <c r="N146" s="10" t="s">
        <v>12468</v>
      </c>
      <c r="P146" s="32">
        <v>45440</v>
      </c>
      <c r="R146" s="35">
        <v>3.1</v>
      </c>
      <c r="S146" s="34">
        <v>45439</v>
      </c>
      <c r="T146" s="35">
        <v>3.40347</v>
      </c>
      <c r="U146" s="34">
        <v>45438</v>
      </c>
      <c r="V146" s="35">
        <v>3.40347</v>
      </c>
      <c r="W146" s="34">
        <v>45437</v>
      </c>
      <c r="X146" s="35">
        <v>3.40347</v>
      </c>
      <c r="Y146" s="34">
        <v>45436</v>
      </c>
      <c r="Z146" s="35">
        <v>3.40347</v>
      </c>
      <c r="AA146" s="34">
        <v>45441</v>
      </c>
      <c r="AB146" s="35">
        <v>3.21333</v>
      </c>
      <c r="AC146" s="34">
        <v>45442</v>
      </c>
      <c r="AD146" s="35">
        <v>3.1133299999999999</v>
      </c>
      <c r="AE146" s="34">
        <v>45443</v>
      </c>
      <c r="AF146" s="35">
        <v>3.0266700000000002</v>
      </c>
      <c r="AG146" s="34">
        <v>45444</v>
      </c>
      <c r="AH146" s="35">
        <v>3.0266700000000002</v>
      </c>
      <c r="AI146" s="36">
        <v>-5.586651270614984E-2</v>
      </c>
      <c r="AK146" s="34">
        <v>45433</v>
      </c>
      <c r="AL146" s="35">
        <v>3.4133300000000002</v>
      </c>
      <c r="AM146" s="34">
        <v>45447</v>
      </c>
      <c r="AN146" s="5">
        <v>3.15733</v>
      </c>
      <c r="AP146" s="36">
        <v>-7.5000073242259102E-2</v>
      </c>
      <c r="AS146" s="5" t="s">
        <v>12387</v>
      </c>
      <c r="AT146" s="5">
        <v>1.63</v>
      </c>
      <c r="AU146" s="5">
        <v>100</v>
      </c>
      <c r="AV146" s="5" t="s">
        <v>12400</v>
      </c>
      <c r="AW146" s="5" t="s">
        <v>12400</v>
      </c>
      <c r="AX146" s="5" t="s">
        <v>12400</v>
      </c>
      <c r="AZ146" s="49" t="s">
        <v>12408</v>
      </c>
      <c r="BA146" s="50" t="s">
        <v>12429</v>
      </c>
      <c r="BC146" s="51">
        <v>0.72958999999999996</v>
      </c>
    </row>
    <row r="147" spans="1:55" ht="15" customHeight="1" x14ac:dyDescent="0.4">
      <c r="A147" s="27" t="s">
        <v>11102</v>
      </c>
      <c r="B147" s="44" t="s">
        <v>12049</v>
      </c>
      <c r="C147" s="45" t="s">
        <v>11557</v>
      </c>
      <c r="D147" s="46">
        <v>2.2400000000000002</v>
      </c>
      <c r="E147" s="45" t="s">
        <v>12357</v>
      </c>
      <c r="F147" s="45"/>
      <c r="G147" s="9">
        <v>45.733510000000003</v>
      </c>
      <c r="H147" s="9">
        <v>0</v>
      </c>
      <c r="I147" s="9">
        <v>0</v>
      </c>
      <c r="J147" s="9">
        <v>877.90534000000002</v>
      </c>
      <c r="K147" s="9">
        <v>877.90534000000002</v>
      </c>
      <c r="L147" s="9">
        <v>7.92666</v>
      </c>
      <c r="M147" s="9">
        <v>294.53973000000002</v>
      </c>
      <c r="N147" s="10" t="s">
        <v>12473</v>
      </c>
      <c r="P147" s="32">
        <v>45440</v>
      </c>
      <c r="R147" s="35">
        <v>10.66</v>
      </c>
      <c r="S147" s="34">
        <v>45439</v>
      </c>
      <c r="T147" s="35">
        <v>10.73</v>
      </c>
      <c r="U147" s="34">
        <v>45438</v>
      </c>
      <c r="V147" s="35">
        <v>10.73</v>
      </c>
      <c r="W147" s="34">
        <v>45437</v>
      </c>
      <c r="X147" s="35">
        <v>10.73</v>
      </c>
      <c r="Y147" s="34">
        <v>45436</v>
      </c>
      <c r="Z147" s="35">
        <v>10.73</v>
      </c>
      <c r="AA147" s="34">
        <v>45441</v>
      </c>
      <c r="AB147" s="35">
        <v>10.55</v>
      </c>
      <c r="AC147" s="34">
        <v>45442</v>
      </c>
      <c r="AD147" s="35">
        <v>10.535</v>
      </c>
      <c r="AE147" s="34">
        <v>45443</v>
      </c>
      <c r="AF147" s="35">
        <v>10.59</v>
      </c>
      <c r="AG147" s="34">
        <v>45444</v>
      </c>
      <c r="AH147" s="35">
        <v>10.59</v>
      </c>
      <c r="AI147" s="36">
        <v>-1.6775396085740857E-2</v>
      </c>
      <c r="AK147" s="34">
        <v>45433</v>
      </c>
      <c r="AL147" s="35">
        <v>10.81</v>
      </c>
      <c r="AM147" s="34">
        <v>45447</v>
      </c>
      <c r="AN147" s="5">
        <v>10.64</v>
      </c>
      <c r="AP147" s="36">
        <v>-1.5726179463459777E-2</v>
      </c>
      <c r="AS147" s="5" t="s">
        <v>12387</v>
      </c>
      <c r="AT147" s="5">
        <v>2.2400000000000002</v>
      </c>
      <c r="AU147" s="5">
        <v>100</v>
      </c>
      <c r="AV147" s="5" t="s">
        <v>12400</v>
      </c>
      <c r="AW147" s="5" t="s">
        <v>12400</v>
      </c>
      <c r="AX147" s="5" t="s">
        <v>12400</v>
      </c>
      <c r="AZ147" s="49" t="s">
        <v>12413</v>
      </c>
      <c r="BA147" s="50" t="s">
        <v>12413</v>
      </c>
      <c r="BC147" s="51">
        <v>0.78197000000000005</v>
      </c>
    </row>
    <row r="148" spans="1:55" ht="15" customHeight="1" x14ac:dyDescent="0.4">
      <c r="A148" s="27" t="s">
        <v>11103</v>
      </c>
      <c r="B148" s="44" t="s">
        <v>12050</v>
      </c>
      <c r="C148" s="45" t="s">
        <v>11558</v>
      </c>
      <c r="D148" s="46">
        <v>78.75</v>
      </c>
      <c r="E148" s="45" t="s">
        <v>12358</v>
      </c>
      <c r="F148" s="45"/>
      <c r="G148" s="9">
        <v>453.2269</v>
      </c>
      <c r="H148" s="9">
        <v>497.95512000000002</v>
      </c>
      <c r="I148" s="9">
        <v>66.240200000000002</v>
      </c>
      <c r="J148" s="9">
        <v>16439.92483</v>
      </c>
      <c r="K148" s="9">
        <v>16439.92483</v>
      </c>
      <c r="L148" s="9">
        <v>763.34697000000006</v>
      </c>
      <c r="M148" s="9">
        <v>6982.2040399999996</v>
      </c>
      <c r="N148" s="10" t="s">
        <v>12475</v>
      </c>
      <c r="P148" s="32">
        <v>45440</v>
      </c>
      <c r="R148" s="35">
        <v>17.837720000000001</v>
      </c>
      <c r="S148" s="34">
        <v>45439</v>
      </c>
      <c r="T148" s="35">
        <v>17.917249999999999</v>
      </c>
      <c r="U148" s="34">
        <v>45438</v>
      </c>
      <c r="V148" s="35">
        <v>17.931180000000001</v>
      </c>
      <c r="W148" s="34">
        <v>45437</v>
      </c>
      <c r="X148" s="35">
        <v>17.931180000000001</v>
      </c>
      <c r="Y148" s="34">
        <v>45436</v>
      </c>
      <c r="Z148" s="35">
        <v>17.931180000000001</v>
      </c>
      <c r="AA148" s="34">
        <v>45441</v>
      </c>
      <c r="AB148" s="35">
        <v>17.585979999999999</v>
      </c>
      <c r="AC148" s="34">
        <v>45442</v>
      </c>
      <c r="AD148" s="35">
        <v>17.957059999999998</v>
      </c>
      <c r="AE148" s="34">
        <v>45443</v>
      </c>
      <c r="AF148" s="35">
        <v>17.807179999999999</v>
      </c>
      <c r="AG148" s="34">
        <v>45444</v>
      </c>
      <c r="AH148" s="35">
        <v>17.807179999999999</v>
      </c>
      <c r="AI148" s="36">
        <v>-1.8488886408349448E-2</v>
      </c>
      <c r="AK148" s="34">
        <v>45433</v>
      </c>
      <c r="AL148" s="35">
        <v>18.175899999999999</v>
      </c>
      <c r="AM148" s="34">
        <v>45447</v>
      </c>
      <c r="AN148" s="5">
        <v>18.38955</v>
      </c>
      <c r="AP148" s="36">
        <v>1.1754576114525239E-2</v>
      </c>
      <c r="AS148" s="5" t="s">
        <v>12387</v>
      </c>
      <c r="AT148" s="5">
        <v>78.75</v>
      </c>
      <c r="AU148" s="5">
        <v>100</v>
      </c>
      <c r="AV148" s="5" t="s">
        <v>12400</v>
      </c>
      <c r="AW148" s="5" t="s">
        <v>12400</v>
      </c>
      <c r="AX148" s="5" t="s">
        <v>12400</v>
      </c>
      <c r="AZ148" s="49" t="s">
        <v>12419</v>
      </c>
      <c r="BA148" s="50" t="s">
        <v>12430</v>
      </c>
      <c r="BC148" s="51">
        <v>0.88280999999999998</v>
      </c>
    </row>
    <row r="149" spans="1:55" ht="15" customHeight="1" x14ac:dyDescent="0.4">
      <c r="A149" s="27" t="s">
        <v>11104</v>
      </c>
      <c r="B149" s="44" t="s">
        <v>12051</v>
      </c>
      <c r="C149" s="45" t="s">
        <v>11559</v>
      </c>
      <c r="D149" s="46">
        <v>17.010000000000002</v>
      </c>
      <c r="E149" s="45" t="s">
        <v>12358</v>
      </c>
      <c r="F149" s="45"/>
      <c r="G149" s="9">
        <v>307.42691000000002</v>
      </c>
      <c r="H149" s="9">
        <v>270.16869000000003</v>
      </c>
      <c r="I149" s="9">
        <v>69.311199999999999</v>
      </c>
      <c r="J149" s="9">
        <v>5704.8648499999999</v>
      </c>
      <c r="K149" s="9">
        <v>5704.8648499999999</v>
      </c>
      <c r="L149" s="9">
        <v>34.404989999999998</v>
      </c>
      <c r="M149" s="9">
        <v>2780.1421700000001</v>
      </c>
      <c r="N149" s="10" t="s">
        <v>12475</v>
      </c>
      <c r="P149" s="32">
        <v>45439</v>
      </c>
      <c r="R149" s="35">
        <v>9.2875800000000002</v>
      </c>
      <c r="S149" s="34">
        <v>45438</v>
      </c>
      <c r="T149" s="35">
        <v>9.2325300000000006</v>
      </c>
      <c r="U149" s="34">
        <v>45437</v>
      </c>
      <c r="V149" s="35">
        <v>9.2325300000000006</v>
      </c>
      <c r="W149" s="34">
        <v>45436</v>
      </c>
      <c r="X149" s="35">
        <v>9.2325300000000006</v>
      </c>
      <c r="Y149" s="34">
        <v>45435</v>
      </c>
      <c r="Z149" s="35">
        <v>9.1450300000000002</v>
      </c>
      <c r="AA149" s="34">
        <v>45440</v>
      </c>
      <c r="AB149" s="35">
        <v>9.3217199999999991</v>
      </c>
      <c r="AC149" s="34">
        <v>45441</v>
      </c>
      <c r="AD149" s="35">
        <v>8.9780599999999993</v>
      </c>
      <c r="AE149" s="34">
        <v>45442</v>
      </c>
      <c r="AF149" s="35">
        <v>9.2495899999999995</v>
      </c>
      <c r="AG149" s="34">
        <v>45443</v>
      </c>
      <c r="AH149" s="35">
        <v>9.4644200000000005</v>
      </c>
      <c r="AI149" s="36">
        <v>9.6604072773116556E-3</v>
      </c>
      <c r="AK149" s="34">
        <v>45432</v>
      </c>
      <c r="AL149" s="35">
        <v>9.3698700000000006</v>
      </c>
      <c r="AM149" s="34">
        <v>45446</v>
      </c>
      <c r="AN149" s="5">
        <v>9.6480999999999995</v>
      </c>
      <c r="AP149" s="36">
        <v>2.9694115286551304E-2</v>
      </c>
      <c r="AS149" s="5" t="s">
        <v>12387</v>
      </c>
      <c r="AT149" s="5">
        <v>17.010000000000002</v>
      </c>
      <c r="AU149" s="5">
        <v>100</v>
      </c>
      <c r="AV149" s="5" t="s">
        <v>12400</v>
      </c>
      <c r="AW149" s="5" t="s">
        <v>12400</v>
      </c>
      <c r="AX149" s="5" t="s">
        <v>12400</v>
      </c>
      <c r="AZ149" s="49" t="s">
        <v>12409</v>
      </c>
      <c r="BA149" s="50" t="s">
        <v>12416</v>
      </c>
      <c r="BC149" s="51">
        <v>1.3122100000000001</v>
      </c>
    </row>
    <row r="150" spans="1:55" ht="15" customHeight="1" x14ac:dyDescent="0.4">
      <c r="A150" s="27" t="s">
        <v>11105</v>
      </c>
      <c r="B150" s="44" t="s">
        <v>12052</v>
      </c>
      <c r="C150" s="45" t="s">
        <v>11560</v>
      </c>
      <c r="D150" s="46">
        <v>1733.24</v>
      </c>
      <c r="E150" s="45" t="s">
        <v>12359</v>
      </c>
      <c r="F150" s="45"/>
      <c r="G150" s="9">
        <v>415.16125</v>
      </c>
      <c r="H150" s="9">
        <v>785</v>
      </c>
      <c r="I150" s="9">
        <v>9.6519999999999992</v>
      </c>
      <c r="J150" s="9">
        <v>12163</v>
      </c>
      <c r="K150" s="9">
        <v>12163</v>
      </c>
      <c r="L150" s="9">
        <v>332</v>
      </c>
      <c r="M150" s="9">
        <v>5263</v>
      </c>
      <c r="N150" s="10" t="s">
        <v>12474</v>
      </c>
      <c r="P150" s="32">
        <v>45439</v>
      </c>
      <c r="R150" s="35">
        <v>7.86</v>
      </c>
      <c r="S150" s="34">
        <v>45438</v>
      </c>
      <c r="T150" s="35">
        <v>7.86</v>
      </c>
      <c r="U150" s="34">
        <v>45437</v>
      </c>
      <c r="V150" s="35">
        <v>7.86</v>
      </c>
      <c r="W150" s="34">
        <v>45436</v>
      </c>
      <c r="X150" s="35">
        <v>7.86</v>
      </c>
      <c r="Y150" s="34">
        <v>45435</v>
      </c>
      <c r="Z150" s="35">
        <v>7.85</v>
      </c>
      <c r="AA150" s="34">
        <v>45440</v>
      </c>
      <c r="AB150" s="35">
        <v>7.71</v>
      </c>
      <c r="AC150" s="34">
        <v>45441</v>
      </c>
      <c r="AD150" s="35">
        <v>7.37</v>
      </c>
      <c r="AE150" s="34">
        <v>45442</v>
      </c>
      <c r="AF150" s="35">
        <v>7.47</v>
      </c>
      <c r="AG150" s="34">
        <v>45443</v>
      </c>
      <c r="AH150" s="35">
        <v>7.72</v>
      </c>
      <c r="AI150" s="36">
        <v>-1.9083969465648942E-2</v>
      </c>
      <c r="AK150" s="34">
        <v>45432</v>
      </c>
      <c r="AL150" s="35">
        <v>8.2200000000000006</v>
      </c>
      <c r="AM150" s="34">
        <v>45446</v>
      </c>
      <c r="AN150" s="5">
        <v>7.64</v>
      </c>
      <c r="AP150" s="36">
        <v>-7.0559610705596243E-2</v>
      </c>
      <c r="AS150" s="5" t="s">
        <v>12389</v>
      </c>
      <c r="AT150" s="5">
        <v>830.32</v>
      </c>
      <c r="AU150" s="5">
        <v>92.83</v>
      </c>
      <c r="AV150" s="5" t="s">
        <v>12400</v>
      </c>
      <c r="AW150" s="5" t="s">
        <v>12400</v>
      </c>
      <c r="AX150" s="5">
        <v>7.17</v>
      </c>
      <c r="AZ150" s="49" t="s">
        <v>12416</v>
      </c>
      <c r="BA150" s="50" t="s">
        <v>12415</v>
      </c>
      <c r="BC150" s="51">
        <v>0.89210999999999996</v>
      </c>
    </row>
    <row r="151" spans="1:55" ht="15" customHeight="1" x14ac:dyDescent="0.4">
      <c r="A151" s="27" t="s">
        <v>11106</v>
      </c>
      <c r="B151" s="44" t="s">
        <v>12053</v>
      </c>
      <c r="C151" s="45" t="s">
        <v>11561</v>
      </c>
      <c r="D151" s="46">
        <v>1.1100000000000001</v>
      </c>
      <c r="E151" s="45" t="s">
        <v>12357</v>
      </c>
      <c r="F151" s="45"/>
      <c r="G151" s="9">
        <v>1268.15095</v>
      </c>
      <c r="H151" s="9">
        <v>-93.741</v>
      </c>
      <c r="I151" s="9">
        <v>0</v>
      </c>
      <c r="J151" s="9">
        <v>5000.2610000000004</v>
      </c>
      <c r="K151" s="9">
        <v>5000.2610000000004</v>
      </c>
      <c r="L151" s="9">
        <v>574.29399999999998</v>
      </c>
      <c r="M151" s="9">
        <v>73.126999999999995</v>
      </c>
      <c r="N151" s="10" t="s">
        <v>12466</v>
      </c>
      <c r="P151" s="32">
        <v>45439</v>
      </c>
      <c r="R151" s="35">
        <v>14.45227</v>
      </c>
      <c r="S151" s="34">
        <v>45438</v>
      </c>
      <c r="T151" s="35">
        <v>14.19327</v>
      </c>
      <c r="U151" s="34">
        <v>45437</v>
      </c>
      <c r="V151" s="35">
        <v>14.19327</v>
      </c>
      <c r="W151" s="34">
        <v>45436</v>
      </c>
      <c r="X151" s="35">
        <v>14.19327</v>
      </c>
      <c r="Y151" s="34">
        <v>45435</v>
      </c>
      <c r="Z151" s="35">
        <v>13.802820000000001</v>
      </c>
      <c r="AA151" s="34">
        <v>45440</v>
      </c>
      <c r="AB151" s="35">
        <v>15.09808</v>
      </c>
      <c r="AC151" s="34">
        <v>45441</v>
      </c>
      <c r="AD151" s="35">
        <v>14.624639999999999</v>
      </c>
      <c r="AE151" s="34">
        <v>45442</v>
      </c>
      <c r="AF151" s="35">
        <v>14.46963</v>
      </c>
      <c r="AG151" s="34">
        <v>45443</v>
      </c>
      <c r="AH151" s="35">
        <v>14.42456</v>
      </c>
      <c r="AI151" s="36">
        <v>6.3749227626896277E-2</v>
      </c>
      <c r="AK151" s="34">
        <v>45432</v>
      </c>
      <c r="AL151" s="35">
        <v>15.489409999999999</v>
      </c>
      <c r="AM151" s="34">
        <v>45446</v>
      </c>
      <c r="AN151" s="5">
        <v>14.049250000000001</v>
      </c>
      <c r="AP151" s="36">
        <v>-9.2977072722589149E-2</v>
      </c>
      <c r="AS151" s="5" t="s">
        <v>12387</v>
      </c>
      <c r="AT151" s="5">
        <v>1.1100000000000001</v>
      </c>
      <c r="AU151" s="5">
        <v>100</v>
      </c>
      <c r="AV151" s="5" t="s">
        <v>12400</v>
      </c>
      <c r="AW151" s="5" t="s">
        <v>12400</v>
      </c>
      <c r="AX151" s="5" t="s">
        <v>12400</v>
      </c>
      <c r="AZ151" s="49" t="s">
        <v>12416</v>
      </c>
      <c r="BA151" s="50" t="s">
        <v>12416</v>
      </c>
      <c r="BC151" s="51">
        <v>2.0175800000000002</v>
      </c>
    </row>
    <row r="152" spans="1:55" ht="15" customHeight="1" x14ac:dyDescent="0.4">
      <c r="A152" s="27" t="s">
        <v>11107</v>
      </c>
      <c r="B152" s="44" t="s">
        <v>12054</v>
      </c>
      <c r="C152" s="45" t="s">
        <v>11562</v>
      </c>
      <c r="D152" s="46">
        <v>4.88</v>
      </c>
      <c r="E152" s="45" t="s">
        <v>12357</v>
      </c>
      <c r="F152" s="45"/>
      <c r="G152" s="9">
        <v>2910.7649799999999</v>
      </c>
      <c r="H152" s="9">
        <v>5449.8797500000001</v>
      </c>
      <c r="I152" s="9">
        <v>10.7888</v>
      </c>
      <c r="J152" s="9">
        <v>59019.767379999998</v>
      </c>
      <c r="K152" s="9">
        <v>59019.767379999998</v>
      </c>
      <c r="L152" s="9">
        <v>5702.3874999999998</v>
      </c>
      <c r="M152" s="9">
        <v>882.10292000000004</v>
      </c>
      <c r="N152" s="10" t="s">
        <v>12474</v>
      </c>
      <c r="P152" s="32">
        <v>45436</v>
      </c>
      <c r="R152" s="35">
        <v>16.172709999999999</v>
      </c>
      <c r="S152" s="34">
        <v>45435</v>
      </c>
      <c r="T152" s="35">
        <v>16.269680000000001</v>
      </c>
      <c r="U152" s="34">
        <v>45434</v>
      </c>
      <c r="V152" s="35">
        <v>16.377420000000001</v>
      </c>
      <c r="W152" s="34">
        <v>45433</v>
      </c>
      <c r="X152" s="35">
        <v>16.69154</v>
      </c>
      <c r="Y152" s="34">
        <v>45432</v>
      </c>
      <c r="Z152" s="35">
        <v>16.733630000000002</v>
      </c>
      <c r="AA152" s="34">
        <v>45437</v>
      </c>
      <c r="AB152" s="35">
        <v>16.172709999999999</v>
      </c>
      <c r="AC152" s="34">
        <v>45438</v>
      </c>
      <c r="AD152" s="35">
        <v>16.172709999999999</v>
      </c>
      <c r="AE152" s="34">
        <v>45439</v>
      </c>
      <c r="AF152" s="35">
        <v>16.188479999999998</v>
      </c>
      <c r="AG152" s="34">
        <v>45440</v>
      </c>
      <c r="AH152" s="35">
        <v>16.130780000000001</v>
      </c>
      <c r="AI152" s="36">
        <v>-5.9601663954056416E-3</v>
      </c>
      <c r="AK152" s="34">
        <v>45429</v>
      </c>
      <c r="AL152" s="35">
        <v>16.936229999999998</v>
      </c>
      <c r="AM152" s="34">
        <v>45443</v>
      </c>
      <c r="AN152" s="5">
        <v>16.175090000000001</v>
      </c>
      <c r="AP152" s="36">
        <v>-4.4941524766727747E-2</v>
      </c>
      <c r="AS152" s="5" t="s">
        <v>12387</v>
      </c>
      <c r="AT152" s="5">
        <v>4.03</v>
      </c>
      <c r="AU152" s="5">
        <v>100</v>
      </c>
      <c r="AV152" s="5" t="s">
        <v>12400</v>
      </c>
      <c r="AW152" s="5" t="s">
        <v>12400</v>
      </c>
      <c r="AX152" s="5" t="s">
        <v>12400</v>
      </c>
      <c r="AZ152" s="49" t="s">
        <v>12420</v>
      </c>
      <c r="BA152" s="50" t="s">
        <v>12419</v>
      </c>
      <c r="BC152" s="51">
        <v>0.70655000000000001</v>
      </c>
    </row>
    <row r="153" spans="1:55" ht="15" customHeight="1" x14ac:dyDescent="0.4">
      <c r="A153" s="27" t="s">
        <v>11108</v>
      </c>
      <c r="B153" s="44" t="s">
        <v>12055</v>
      </c>
      <c r="C153" s="45" t="s">
        <v>11563</v>
      </c>
      <c r="D153" s="46">
        <v>4.0599999999999996</v>
      </c>
      <c r="E153" s="45" t="s">
        <v>12357</v>
      </c>
      <c r="F153" s="45"/>
      <c r="G153" s="9">
        <v>4.4840999999999998</v>
      </c>
      <c r="H153" s="9">
        <v>0</v>
      </c>
      <c r="I153" s="9">
        <v>0</v>
      </c>
      <c r="J153" s="9">
        <v>122.63988000000001</v>
      </c>
      <c r="K153" s="9">
        <v>122.63988000000001</v>
      </c>
      <c r="L153" s="9">
        <v>4.3279699999999997</v>
      </c>
      <c r="M153" s="9">
        <v>82.133269999999996</v>
      </c>
      <c r="N153" s="10" t="s">
        <v>12475</v>
      </c>
      <c r="P153" s="32">
        <v>45436</v>
      </c>
      <c r="R153" s="35">
        <v>3.66296</v>
      </c>
      <c r="S153" s="34">
        <v>45435</v>
      </c>
      <c r="T153" s="35">
        <v>3.6319400000000002</v>
      </c>
      <c r="U153" s="34">
        <v>45434</v>
      </c>
      <c r="V153" s="35">
        <v>3.5415199999999998</v>
      </c>
      <c r="W153" s="34">
        <v>45433</v>
      </c>
      <c r="X153" s="35">
        <v>3.42</v>
      </c>
      <c r="Y153" s="34">
        <v>45432</v>
      </c>
      <c r="Z153" s="35">
        <v>3.4038300000000001</v>
      </c>
      <c r="AA153" s="34">
        <v>45437</v>
      </c>
      <c r="AB153" s="35">
        <v>3.66296</v>
      </c>
      <c r="AC153" s="34">
        <v>45438</v>
      </c>
      <c r="AD153" s="35">
        <v>3.66296</v>
      </c>
      <c r="AE153" s="34">
        <v>45439</v>
      </c>
      <c r="AF153" s="35">
        <v>3.6754500000000001</v>
      </c>
      <c r="AG153" s="34">
        <v>45440</v>
      </c>
      <c r="AH153" s="35">
        <v>3.7173099999999999</v>
      </c>
      <c r="AI153" s="36">
        <v>8.5408899926759929E-3</v>
      </c>
      <c r="AK153" s="34">
        <v>45429</v>
      </c>
      <c r="AL153" s="35">
        <v>3.3994599999999999</v>
      </c>
      <c r="AM153" s="34">
        <v>45443</v>
      </c>
      <c r="AN153" s="5">
        <v>3.6642600000000001</v>
      </c>
      <c r="AP153" s="36">
        <v>7.789472445623713E-2</v>
      </c>
      <c r="AS153" s="5" t="s">
        <v>721</v>
      </c>
      <c r="AT153" s="5" t="s">
        <v>12400</v>
      </c>
      <c r="AU153" s="5" t="s">
        <v>12400</v>
      </c>
      <c r="AV153" s="5" t="s">
        <v>12400</v>
      </c>
      <c r="AW153" s="5" t="s">
        <v>12400</v>
      </c>
      <c r="AX153" s="5">
        <v>100</v>
      </c>
      <c r="AZ153" s="49" t="s">
        <v>12409</v>
      </c>
      <c r="BA153" s="50" t="s">
        <v>12409</v>
      </c>
      <c r="BC153" s="51">
        <v>0.31920999999999999</v>
      </c>
    </row>
    <row r="154" spans="1:55" ht="15" customHeight="1" x14ac:dyDescent="0.4">
      <c r="A154" s="27" t="s">
        <v>11109</v>
      </c>
      <c r="B154" s="44" t="s">
        <v>12056</v>
      </c>
      <c r="C154" s="45" t="s">
        <v>11564</v>
      </c>
      <c r="D154" s="46">
        <v>125.57</v>
      </c>
      <c r="E154" s="45" t="s">
        <v>12360</v>
      </c>
      <c r="F154" s="45"/>
      <c r="G154" s="9">
        <v>112.80674</v>
      </c>
      <c r="H154" s="9">
        <v>395.11896999999999</v>
      </c>
      <c r="I154" s="9">
        <v>11.021100000000001</v>
      </c>
      <c r="J154" s="9">
        <v>2544.7088199999998</v>
      </c>
      <c r="K154" s="9">
        <v>2544.7088199999998</v>
      </c>
      <c r="L154" s="9">
        <v>197.94161</v>
      </c>
      <c r="M154" s="9">
        <v>722.21938999999998</v>
      </c>
      <c r="N154" s="10" t="s">
        <v>12467</v>
      </c>
      <c r="P154" s="32">
        <v>45436</v>
      </c>
      <c r="R154" s="35">
        <v>2.8602400000000001</v>
      </c>
      <c r="S154" s="34">
        <v>45435</v>
      </c>
      <c r="T154" s="35">
        <v>2.8333200000000001</v>
      </c>
      <c r="U154" s="34">
        <v>45434</v>
      </c>
      <c r="V154" s="35">
        <v>2.7909600000000001</v>
      </c>
      <c r="W154" s="34">
        <v>45433</v>
      </c>
      <c r="X154" s="35">
        <v>2.7389600000000001</v>
      </c>
      <c r="Y154" s="34">
        <v>45432</v>
      </c>
      <c r="Z154" s="35">
        <v>2.8700299999999999</v>
      </c>
      <c r="AA154" s="34">
        <v>45437</v>
      </c>
      <c r="AB154" s="35">
        <v>2.8602400000000001</v>
      </c>
      <c r="AC154" s="34">
        <v>45438</v>
      </c>
      <c r="AD154" s="35">
        <v>2.8602400000000001</v>
      </c>
      <c r="AE154" s="34">
        <v>45439</v>
      </c>
      <c r="AF154" s="35">
        <v>2.86652</v>
      </c>
      <c r="AG154" s="34">
        <v>45440</v>
      </c>
      <c r="AH154" s="35">
        <v>2.75623</v>
      </c>
      <c r="AI154" s="36">
        <v>9.501221182217412E-3</v>
      </c>
      <c r="AK154" s="34">
        <v>45429</v>
      </c>
      <c r="AL154" s="35">
        <v>2.7787999999999999</v>
      </c>
      <c r="AM154" s="34">
        <v>45443</v>
      </c>
      <c r="AN154" s="5">
        <v>2.7216200000000002</v>
      </c>
      <c r="AP154" s="36">
        <v>-2.0577227580250379E-2</v>
      </c>
      <c r="AS154" s="5" t="s">
        <v>12387</v>
      </c>
      <c r="AT154" s="5">
        <v>125.57</v>
      </c>
      <c r="AU154" s="5">
        <v>100</v>
      </c>
      <c r="AV154" s="5" t="s">
        <v>12400</v>
      </c>
      <c r="AW154" s="5" t="s">
        <v>12400</v>
      </c>
      <c r="AX154" s="5" t="s">
        <v>12400</v>
      </c>
      <c r="AZ154" s="49" t="s">
        <v>12404</v>
      </c>
      <c r="BA154" s="50" t="s">
        <v>12404</v>
      </c>
      <c r="BC154" s="51">
        <v>0.71889000000000003</v>
      </c>
    </row>
    <row r="155" spans="1:55" ht="15" customHeight="1" x14ac:dyDescent="0.4">
      <c r="A155" s="27" t="s">
        <v>11110</v>
      </c>
      <c r="B155" s="44" t="s">
        <v>12057</v>
      </c>
      <c r="C155" s="45" t="s">
        <v>11565</v>
      </c>
      <c r="D155" s="46">
        <v>4.75</v>
      </c>
      <c r="E155" s="45" t="s">
        <v>12357</v>
      </c>
      <c r="F155" s="45"/>
      <c r="G155" s="9">
        <v>8.2981999999999996</v>
      </c>
      <c r="H155" s="9">
        <v>8.8697300000000006</v>
      </c>
      <c r="I155" s="9">
        <v>7.819</v>
      </c>
      <c r="J155" s="9">
        <v>62.903460000000003</v>
      </c>
      <c r="K155" s="9">
        <v>62.903460000000003</v>
      </c>
      <c r="L155" s="9">
        <v>4.8624400000000003</v>
      </c>
      <c r="M155" s="9">
        <v>12.14118</v>
      </c>
      <c r="N155" s="10" t="s">
        <v>12468</v>
      </c>
      <c r="P155" s="32">
        <v>45435</v>
      </c>
      <c r="R155" s="35">
        <v>7.0776199999999996</v>
      </c>
      <c r="S155" s="34">
        <v>45434</v>
      </c>
      <c r="T155" s="35">
        <v>7.1109900000000001</v>
      </c>
      <c r="U155" s="34">
        <v>45433</v>
      </c>
      <c r="V155" s="35">
        <v>6.87737</v>
      </c>
      <c r="W155" s="34">
        <v>45432</v>
      </c>
      <c r="X155" s="35">
        <v>7.0414300000000001</v>
      </c>
      <c r="Y155" s="34">
        <v>45431</v>
      </c>
      <c r="Z155" s="35">
        <v>6.6401599999999998</v>
      </c>
      <c r="AA155" s="34">
        <v>45436</v>
      </c>
      <c r="AB155" s="35">
        <v>7.4104400000000004</v>
      </c>
      <c r="AC155" s="34">
        <v>45437</v>
      </c>
      <c r="AD155" s="35">
        <v>7.4104400000000004</v>
      </c>
      <c r="AE155" s="34">
        <v>45438</v>
      </c>
      <c r="AF155" s="35">
        <v>7.4104400000000004</v>
      </c>
      <c r="AG155" s="34">
        <v>45439</v>
      </c>
      <c r="AH155" s="35">
        <v>6.9456600000000002</v>
      </c>
      <c r="AI155" s="36">
        <v>4.2110873450813546E-2</v>
      </c>
      <c r="AK155" s="34">
        <v>45428</v>
      </c>
      <c r="AL155" s="35">
        <v>6.6530699999999996</v>
      </c>
      <c r="AM155" s="34">
        <v>45442</v>
      </c>
      <c r="AN155" s="5">
        <v>7.5356500000000004</v>
      </c>
      <c r="AP155" s="36">
        <v>0.13265755508359311</v>
      </c>
      <c r="AS155" s="5" t="s">
        <v>12387</v>
      </c>
      <c r="AT155" s="5">
        <v>2.37</v>
      </c>
      <c r="AU155" s="5">
        <v>100</v>
      </c>
      <c r="AV155" s="5" t="s">
        <v>12400</v>
      </c>
      <c r="AW155" s="5" t="s">
        <v>12400</v>
      </c>
      <c r="AX155" s="5" t="s">
        <v>12400</v>
      </c>
      <c r="AZ155" s="49" t="s">
        <v>12409</v>
      </c>
      <c r="BA155" s="50" t="s">
        <v>12409</v>
      </c>
      <c r="BC155" s="51">
        <v>0.78152999999999995</v>
      </c>
    </row>
    <row r="156" spans="1:55" ht="15" customHeight="1" x14ac:dyDescent="0.4">
      <c r="A156" s="27" t="s">
        <v>11111</v>
      </c>
      <c r="B156" s="44" t="s">
        <v>12058</v>
      </c>
      <c r="C156" s="45" t="s">
        <v>11566</v>
      </c>
      <c r="D156" s="46">
        <v>11</v>
      </c>
      <c r="E156" s="45" t="s">
        <v>12357</v>
      </c>
      <c r="F156" s="45"/>
      <c r="G156" s="9">
        <v>200.00369000000001</v>
      </c>
      <c r="H156" s="9">
        <v>500</v>
      </c>
      <c r="I156" s="9">
        <v>18.6706</v>
      </c>
      <c r="J156" s="9">
        <v>2736</v>
      </c>
      <c r="K156" s="9">
        <v>2736</v>
      </c>
      <c r="L156" s="9">
        <v>315</v>
      </c>
      <c r="M156" s="9">
        <v>748</v>
      </c>
      <c r="N156" s="10" t="s">
        <v>12467</v>
      </c>
      <c r="P156" s="32">
        <v>45434</v>
      </c>
      <c r="R156" s="35">
        <v>40.619999999999997</v>
      </c>
      <c r="S156" s="34">
        <v>45433</v>
      </c>
      <c r="T156" s="35">
        <v>40.049999999999997</v>
      </c>
      <c r="U156" s="34">
        <v>45432</v>
      </c>
      <c r="V156" s="35">
        <v>38</v>
      </c>
      <c r="W156" s="34">
        <v>45431</v>
      </c>
      <c r="X156" s="35">
        <v>37.200000000000003</v>
      </c>
      <c r="Y156" s="34">
        <v>45430</v>
      </c>
      <c r="Z156" s="35">
        <v>37.200000000000003</v>
      </c>
      <c r="AA156" s="34">
        <v>45435</v>
      </c>
      <c r="AB156" s="35">
        <v>42.06</v>
      </c>
      <c r="AC156" s="34">
        <v>45436</v>
      </c>
      <c r="AD156" s="35">
        <v>41.99</v>
      </c>
      <c r="AE156" s="34">
        <v>45437</v>
      </c>
      <c r="AF156" s="35">
        <v>41.99</v>
      </c>
      <c r="AG156" s="34">
        <v>45438</v>
      </c>
      <c r="AH156" s="35">
        <v>41.99</v>
      </c>
      <c r="AI156" s="36">
        <v>5.018726591760303E-2</v>
      </c>
      <c r="AK156" s="34">
        <v>45427</v>
      </c>
      <c r="AL156" s="35">
        <v>37.17</v>
      </c>
      <c r="AM156" s="34">
        <v>45441</v>
      </c>
      <c r="AN156" s="5">
        <v>38.64</v>
      </c>
      <c r="AP156" s="36">
        <v>3.9548022598870025E-2</v>
      </c>
      <c r="AS156" s="5" t="s">
        <v>12387</v>
      </c>
      <c r="AT156" s="5">
        <v>11</v>
      </c>
      <c r="AU156" s="5">
        <v>100</v>
      </c>
      <c r="AV156" s="5" t="s">
        <v>12400</v>
      </c>
      <c r="AW156" s="5" t="s">
        <v>12400</v>
      </c>
      <c r="AX156" s="5" t="s">
        <v>12400</v>
      </c>
      <c r="AZ156" s="49" t="s">
        <v>12403</v>
      </c>
      <c r="BA156" s="50" t="s">
        <v>12406</v>
      </c>
      <c r="BC156" s="51">
        <v>0</v>
      </c>
    </row>
    <row r="157" spans="1:55" ht="15" customHeight="1" x14ac:dyDescent="0.4">
      <c r="A157" s="27" t="s">
        <v>11112</v>
      </c>
      <c r="B157" s="44" t="s">
        <v>12059</v>
      </c>
      <c r="C157" s="45" t="s">
        <v>11567</v>
      </c>
      <c r="D157" s="46">
        <v>19.09</v>
      </c>
      <c r="E157" s="45" t="s">
        <v>12357</v>
      </c>
      <c r="F157" s="45"/>
      <c r="G157" s="9">
        <v>593.75161000000003</v>
      </c>
      <c r="H157" s="9">
        <v>384.39947999999998</v>
      </c>
      <c r="I157" s="9">
        <v>12.5848</v>
      </c>
      <c r="J157" s="9">
        <v>5859.9565599999996</v>
      </c>
      <c r="K157" s="9">
        <v>5859.9565599999996</v>
      </c>
      <c r="L157" s="9">
        <v>153.75979000000001</v>
      </c>
      <c r="M157" s="9">
        <v>2042.8086800000001</v>
      </c>
      <c r="N157" s="10" t="s">
        <v>12474</v>
      </c>
      <c r="P157" s="32">
        <v>45434</v>
      </c>
      <c r="R157" s="35">
        <v>3.7225600000000001</v>
      </c>
      <c r="S157" s="34">
        <v>45433</v>
      </c>
      <c r="T157" s="35">
        <v>3.3823699999999999</v>
      </c>
      <c r="U157" s="34">
        <v>45432</v>
      </c>
      <c r="V157" s="35">
        <v>3.3794900000000001</v>
      </c>
      <c r="W157" s="34">
        <v>45431</v>
      </c>
      <c r="X157" s="35">
        <v>3.3480300000000001</v>
      </c>
      <c r="Y157" s="34">
        <v>45430</v>
      </c>
      <c r="Z157" s="35">
        <v>3.3480300000000001</v>
      </c>
      <c r="AA157" s="34">
        <v>45435</v>
      </c>
      <c r="AB157" s="35">
        <v>3.77522</v>
      </c>
      <c r="AC157" s="34">
        <v>45436</v>
      </c>
      <c r="AD157" s="35">
        <v>3.8365900000000002</v>
      </c>
      <c r="AE157" s="34">
        <v>45437</v>
      </c>
      <c r="AF157" s="35">
        <v>3.8365900000000002</v>
      </c>
      <c r="AG157" s="34">
        <v>45438</v>
      </c>
      <c r="AH157" s="35">
        <v>3.8365900000000002</v>
      </c>
      <c r="AI157" s="36">
        <v>0.11614637074004319</v>
      </c>
      <c r="AK157" s="34">
        <v>45427</v>
      </c>
      <c r="AL157" s="35">
        <v>3.2431700000000001</v>
      </c>
      <c r="AM157" s="34">
        <v>45441</v>
      </c>
      <c r="AN157" s="5">
        <v>3.85236</v>
      </c>
      <c r="AP157" s="36">
        <v>0.18783782533755544</v>
      </c>
      <c r="AS157" s="5" t="s">
        <v>12387</v>
      </c>
      <c r="AT157" s="5" t="s">
        <v>12400</v>
      </c>
      <c r="AU157" s="5" t="s">
        <v>12400</v>
      </c>
      <c r="AV157" s="5" t="s">
        <v>12400</v>
      </c>
      <c r="AW157" s="5" t="s">
        <v>12400</v>
      </c>
      <c r="AX157" s="5" t="s">
        <v>12400</v>
      </c>
      <c r="AZ157" s="49" t="s">
        <v>12415</v>
      </c>
      <c r="BA157" s="50" t="s">
        <v>12415</v>
      </c>
      <c r="BC157" s="51">
        <v>1.35473</v>
      </c>
    </row>
    <row r="158" spans="1:55" ht="15" customHeight="1" x14ac:dyDescent="0.4">
      <c r="A158" s="27" t="s">
        <v>11113</v>
      </c>
      <c r="B158" s="44" t="s">
        <v>12060</v>
      </c>
      <c r="C158" s="45" t="s">
        <v>11568</v>
      </c>
      <c r="D158" s="46">
        <v>50.19</v>
      </c>
      <c r="E158" s="45" t="s">
        <v>12357</v>
      </c>
      <c r="F158" s="45"/>
      <c r="G158" s="9">
        <v>53.667439999999999</v>
      </c>
      <c r="H158" s="9" t="s">
        <v>11415</v>
      </c>
      <c r="I158" s="9" t="s">
        <v>11415</v>
      </c>
      <c r="J158" s="9">
        <v>27449.94225</v>
      </c>
      <c r="K158" s="9">
        <v>27449.94225</v>
      </c>
      <c r="L158" s="9">
        <v>1023.84321</v>
      </c>
      <c r="M158" s="9">
        <v>-281.46789999999999</v>
      </c>
      <c r="N158" s="10" t="s">
        <v>12473</v>
      </c>
      <c r="P158" s="32">
        <v>45433</v>
      </c>
      <c r="R158" s="35">
        <v>53.44661</v>
      </c>
      <c r="S158" s="34">
        <v>45432</v>
      </c>
      <c r="T158" s="35">
        <v>52.704140000000002</v>
      </c>
      <c r="U158" s="34">
        <v>45431</v>
      </c>
      <c r="V158" s="35">
        <v>52.745379999999997</v>
      </c>
      <c r="W158" s="34">
        <v>45430</v>
      </c>
      <c r="X158" s="35">
        <v>52.745379999999997</v>
      </c>
      <c r="Y158" s="34">
        <v>45429</v>
      </c>
      <c r="Z158" s="35">
        <v>52.745379999999997</v>
      </c>
      <c r="AA158" s="34">
        <v>45434</v>
      </c>
      <c r="AB158" s="35">
        <v>53.123899999999999</v>
      </c>
      <c r="AC158" s="34">
        <v>45435</v>
      </c>
      <c r="AD158" s="35">
        <v>53.004759999999997</v>
      </c>
      <c r="AE158" s="34">
        <v>45436</v>
      </c>
      <c r="AF158" s="35">
        <v>52.889499999999998</v>
      </c>
      <c r="AG158" s="34">
        <v>45437</v>
      </c>
      <c r="AH158" s="35">
        <v>52.889499999999998</v>
      </c>
      <c r="AI158" s="36">
        <v>7.9644597179651111E-3</v>
      </c>
      <c r="AK158" s="34">
        <v>45426</v>
      </c>
      <c r="AL158" s="35">
        <v>52.924019999999999</v>
      </c>
      <c r="AM158" s="34">
        <v>45440</v>
      </c>
      <c r="AN158" s="5">
        <v>53.261969999999998</v>
      </c>
      <c r="AP158" s="36">
        <v>6.3855693501739808E-3</v>
      </c>
      <c r="AS158" s="5" t="s">
        <v>12387</v>
      </c>
      <c r="AT158" s="5">
        <v>50.19</v>
      </c>
      <c r="AU158" s="5">
        <v>100</v>
      </c>
      <c r="AV158" s="5" t="s">
        <v>12400</v>
      </c>
      <c r="AW158" s="5" t="s">
        <v>12400</v>
      </c>
      <c r="AX158" s="5" t="s">
        <v>12400</v>
      </c>
      <c r="AZ158" s="49" t="s">
        <v>12414</v>
      </c>
      <c r="BA158" s="50" t="s">
        <v>12414</v>
      </c>
      <c r="BC158" s="51">
        <v>0.43242999999999998</v>
      </c>
    </row>
    <row r="159" spans="1:55" ht="15" customHeight="1" x14ac:dyDescent="0.4">
      <c r="A159" s="27" t="s">
        <v>11114</v>
      </c>
      <c r="B159" s="44" t="s">
        <v>12061</v>
      </c>
      <c r="C159" s="45" t="s">
        <v>11569</v>
      </c>
      <c r="D159" s="46">
        <v>7.71</v>
      </c>
      <c r="E159" s="45" t="s">
        <v>12357</v>
      </c>
      <c r="F159" s="45"/>
      <c r="G159" s="9">
        <v>17.56418</v>
      </c>
      <c r="H159" s="9">
        <v>157.62130999999999</v>
      </c>
      <c r="I159" s="9">
        <v>11.7433</v>
      </c>
      <c r="J159" s="9">
        <v>1539.40533</v>
      </c>
      <c r="K159" s="9">
        <v>1539.40533</v>
      </c>
      <c r="L159" s="9">
        <v>109.87067999999999</v>
      </c>
      <c r="M159" s="9">
        <v>242.62186</v>
      </c>
      <c r="N159" s="10" t="s">
        <v>12467</v>
      </c>
      <c r="P159" s="32">
        <v>45433</v>
      </c>
      <c r="R159" s="35">
        <v>50.705750000000002</v>
      </c>
      <c r="S159" s="34">
        <v>45432</v>
      </c>
      <c r="T159" s="35">
        <v>50.505049999999997</v>
      </c>
      <c r="U159" s="34">
        <v>45431</v>
      </c>
      <c r="V159" s="35">
        <v>50.554470000000002</v>
      </c>
      <c r="W159" s="34">
        <v>45430</v>
      </c>
      <c r="X159" s="35">
        <v>50.554470000000002</v>
      </c>
      <c r="Y159" s="34">
        <v>45429</v>
      </c>
      <c r="Z159" s="35">
        <v>50.554470000000002</v>
      </c>
      <c r="AA159" s="34">
        <v>45434</v>
      </c>
      <c r="AB159" s="35">
        <v>50.330480000000001</v>
      </c>
      <c r="AC159" s="34">
        <v>45435</v>
      </c>
      <c r="AD159" s="35">
        <v>49.57246</v>
      </c>
      <c r="AE159" s="34">
        <v>45436</v>
      </c>
      <c r="AF159" s="35">
        <v>49.820909999999998</v>
      </c>
      <c r="AG159" s="34">
        <v>45437</v>
      </c>
      <c r="AH159" s="35">
        <v>49.820909999999998</v>
      </c>
      <c r="AI159" s="36">
        <v>-3.4564860345647208E-3</v>
      </c>
      <c r="AK159" s="34">
        <v>45426</v>
      </c>
      <c r="AL159" s="35">
        <v>50.735610000000001</v>
      </c>
      <c r="AM159" s="34">
        <v>45440</v>
      </c>
      <c r="AN159" s="5">
        <v>50.902760000000001</v>
      </c>
      <c r="AP159" s="36">
        <v>3.2945302126061726E-3</v>
      </c>
      <c r="AS159" s="5" t="s">
        <v>12387</v>
      </c>
      <c r="AT159" s="5">
        <v>7.71</v>
      </c>
      <c r="AU159" s="5">
        <v>100</v>
      </c>
      <c r="AV159" s="5" t="s">
        <v>12400</v>
      </c>
      <c r="AW159" s="5" t="s">
        <v>12400</v>
      </c>
      <c r="AX159" s="5" t="s">
        <v>12400</v>
      </c>
      <c r="AZ159" s="49" t="s">
        <v>12406</v>
      </c>
      <c r="BA159" s="50" t="s">
        <v>12409</v>
      </c>
      <c r="BC159" s="51">
        <v>1.00115</v>
      </c>
    </row>
    <row r="160" spans="1:55" ht="15" customHeight="1" x14ac:dyDescent="0.4">
      <c r="A160" s="27" t="s">
        <v>11115</v>
      </c>
      <c r="B160" s="44" t="s">
        <v>12062</v>
      </c>
      <c r="C160" s="45" t="s">
        <v>11570</v>
      </c>
      <c r="D160" s="46">
        <v>1.74</v>
      </c>
      <c r="E160" s="45" t="s">
        <v>12357</v>
      </c>
      <c r="F160" s="45"/>
      <c r="G160" s="9">
        <v>36.353870000000001</v>
      </c>
      <c r="H160" s="9">
        <v>39.678350000000002</v>
      </c>
      <c r="I160" s="9">
        <v>9.8465000000000007</v>
      </c>
      <c r="J160" s="9">
        <v>355.57422000000003</v>
      </c>
      <c r="K160" s="9">
        <v>355.57422000000003</v>
      </c>
      <c r="L160" s="9">
        <v>26.334700000000002</v>
      </c>
      <c r="M160" s="9">
        <v>105.05914</v>
      </c>
      <c r="N160" s="10" t="s">
        <v>12468</v>
      </c>
      <c r="P160" s="32">
        <v>45433</v>
      </c>
      <c r="R160" s="35">
        <v>6.6883800000000004</v>
      </c>
      <c r="S160" s="34">
        <v>45432</v>
      </c>
      <c r="T160" s="35">
        <v>6.6036700000000002</v>
      </c>
      <c r="U160" s="34">
        <v>45431</v>
      </c>
      <c r="V160" s="35">
        <v>6.6753600000000004</v>
      </c>
      <c r="W160" s="34">
        <v>45430</v>
      </c>
      <c r="X160" s="35">
        <v>6.6753600000000004</v>
      </c>
      <c r="Y160" s="34">
        <v>45429</v>
      </c>
      <c r="Z160" s="35">
        <v>6.6753600000000004</v>
      </c>
      <c r="AA160" s="34">
        <v>45434</v>
      </c>
      <c r="AB160" s="35">
        <v>6.5662599999999998</v>
      </c>
      <c r="AC160" s="34">
        <v>45435</v>
      </c>
      <c r="AD160" s="35">
        <v>6.48339</v>
      </c>
      <c r="AE160" s="34">
        <v>45436</v>
      </c>
      <c r="AF160" s="35">
        <v>6.5342500000000001</v>
      </c>
      <c r="AG160" s="34">
        <v>45437</v>
      </c>
      <c r="AH160" s="35">
        <v>6.5342500000000001</v>
      </c>
      <c r="AI160" s="36">
        <v>-5.665031717211888E-3</v>
      </c>
      <c r="AK160" s="34">
        <v>45426</v>
      </c>
      <c r="AL160" s="35">
        <v>6.66378</v>
      </c>
      <c r="AM160" s="34">
        <v>45440</v>
      </c>
      <c r="AN160" s="5">
        <v>6.4498600000000001</v>
      </c>
      <c r="AP160" s="36">
        <v>-3.2101900122753158E-2</v>
      </c>
      <c r="AS160" s="5" t="s">
        <v>12387</v>
      </c>
      <c r="AT160" s="5">
        <v>1.74</v>
      </c>
      <c r="AU160" s="5">
        <v>100</v>
      </c>
      <c r="AV160" s="5" t="s">
        <v>12400</v>
      </c>
      <c r="AW160" s="5" t="s">
        <v>12400</v>
      </c>
      <c r="AX160" s="5" t="s">
        <v>12400</v>
      </c>
      <c r="AZ160" s="49" t="s">
        <v>12404</v>
      </c>
      <c r="BA160" s="50" t="s">
        <v>12415</v>
      </c>
      <c r="BC160" s="51">
        <v>-0.26136999999999999</v>
      </c>
    </row>
    <row r="161" spans="1:55" ht="15" customHeight="1" x14ac:dyDescent="0.4">
      <c r="A161" s="27" t="s">
        <v>11116</v>
      </c>
      <c r="B161" s="44" t="s">
        <v>12063</v>
      </c>
      <c r="C161" s="45" t="s">
        <v>11571</v>
      </c>
      <c r="D161" s="46">
        <v>43.43</v>
      </c>
      <c r="E161" s="45" t="s">
        <v>12357</v>
      </c>
      <c r="F161" s="45"/>
      <c r="G161" s="9">
        <v>51.74841</v>
      </c>
      <c r="H161" s="9">
        <v>585.07682</v>
      </c>
      <c r="I161" s="9">
        <v>12.230399999999999</v>
      </c>
      <c r="J161" s="9">
        <v>4511.1351800000002</v>
      </c>
      <c r="K161" s="9">
        <v>4511.1351800000002</v>
      </c>
      <c r="L161" s="9">
        <v>698.22814000000005</v>
      </c>
      <c r="M161" s="9">
        <v>292.99878000000001</v>
      </c>
      <c r="N161" s="10" t="s">
        <v>12466</v>
      </c>
      <c r="P161" s="32">
        <v>45433</v>
      </c>
      <c r="R161" s="35">
        <v>47.42671</v>
      </c>
      <c r="S161" s="34">
        <v>45432</v>
      </c>
      <c r="T161" s="35">
        <v>47.876620000000003</v>
      </c>
      <c r="U161" s="34">
        <v>45431</v>
      </c>
      <c r="V161" s="35">
        <v>47.640790000000003</v>
      </c>
      <c r="W161" s="34">
        <v>45430</v>
      </c>
      <c r="X161" s="35">
        <v>47.640790000000003</v>
      </c>
      <c r="Y161" s="34">
        <v>45429</v>
      </c>
      <c r="Z161" s="35">
        <v>47.640790000000003</v>
      </c>
      <c r="AA161" s="34">
        <v>45434</v>
      </c>
      <c r="AB161" s="35">
        <v>47.307400000000001</v>
      </c>
      <c r="AC161" s="34">
        <v>45435</v>
      </c>
      <c r="AD161" s="35">
        <v>47.191249999999997</v>
      </c>
      <c r="AE161" s="34">
        <v>45436</v>
      </c>
      <c r="AF161" s="35">
        <v>47.259309999999999</v>
      </c>
      <c r="AG161" s="34">
        <v>45437</v>
      </c>
      <c r="AH161" s="35">
        <v>47.259309999999999</v>
      </c>
      <c r="AI161" s="36">
        <v>-1.1889310481817628E-2</v>
      </c>
      <c r="AK161" s="34">
        <v>45426</v>
      </c>
      <c r="AL161" s="35">
        <v>47.749890000000001</v>
      </c>
      <c r="AM161" s="34">
        <v>45440</v>
      </c>
      <c r="AN161" s="5">
        <v>47.618009999999998</v>
      </c>
      <c r="AP161" s="36">
        <v>-2.7618911792257617E-3</v>
      </c>
      <c r="AS161" s="5" t="s">
        <v>12387</v>
      </c>
      <c r="AT161" s="5">
        <v>43.43</v>
      </c>
      <c r="AU161" s="5">
        <v>100</v>
      </c>
      <c r="AV161" s="5" t="s">
        <v>12400</v>
      </c>
      <c r="AW161" s="5" t="s">
        <v>12400</v>
      </c>
      <c r="AX161" s="5" t="s">
        <v>12400</v>
      </c>
      <c r="AZ161" s="49" t="s">
        <v>12441</v>
      </c>
      <c r="BA161" s="50" t="s">
        <v>12441</v>
      </c>
      <c r="BC161" s="51">
        <v>1.2412300000000001</v>
      </c>
    </row>
    <row r="162" spans="1:55" ht="15" customHeight="1" x14ac:dyDescent="0.4">
      <c r="A162" s="27" t="s">
        <v>11117</v>
      </c>
      <c r="B162" s="44" t="s">
        <v>12064</v>
      </c>
      <c r="C162" s="45" t="s">
        <v>11572</v>
      </c>
      <c r="D162" s="46">
        <v>46.76</v>
      </c>
      <c r="E162" s="45" t="s">
        <v>12357</v>
      </c>
      <c r="F162" s="45"/>
      <c r="G162" s="9">
        <v>135.0608</v>
      </c>
      <c r="H162" s="9">
        <v>194.17552000000001</v>
      </c>
      <c r="I162" s="9">
        <v>4.5635000000000003</v>
      </c>
      <c r="J162" s="9">
        <v>1796.0003099999999</v>
      </c>
      <c r="K162" s="9">
        <v>1796.0003099999999</v>
      </c>
      <c r="L162" s="9">
        <v>203.44546</v>
      </c>
      <c r="M162" s="9">
        <v>-166.76018999999999</v>
      </c>
      <c r="N162" s="10" t="s">
        <v>12467</v>
      </c>
      <c r="P162" s="32">
        <v>45432</v>
      </c>
      <c r="R162" s="35">
        <v>10.92989</v>
      </c>
      <c r="S162" s="34">
        <v>45431</v>
      </c>
      <c r="T162" s="35">
        <v>10.93807</v>
      </c>
      <c r="U162" s="34">
        <v>45430</v>
      </c>
      <c r="V162" s="35">
        <v>10.93807</v>
      </c>
      <c r="W162" s="34">
        <v>45429</v>
      </c>
      <c r="X162" s="35">
        <v>10.93807</v>
      </c>
      <c r="Y162" s="34">
        <v>45428</v>
      </c>
      <c r="Z162" s="35">
        <v>10.91366</v>
      </c>
      <c r="AA162" s="34">
        <v>45433</v>
      </c>
      <c r="AB162" s="35">
        <v>10.87208</v>
      </c>
      <c r="AC162" s="34">
        <v>45434</v>
      </c>
      <c r="AD162" s="35">
        <v>10.8545</v>
      </c>
      <c r="AE162" s="34">
        <v>45435</v>
      </c>
      <c r="AF162" s="35">
        <v>10.895619999999999</v>
      </c>
      <c r="AG162" s="34">
        <v>45436</v>
      </c>
      <c r="AH162" s="35">
        <v>11.0306</v>
      </c>
      <c r="AI162" s="36">
        <v>-6.0330570201141409E-3</v>
      </c>
      <c r="AK162" s="34">
        <v>45425</v>
      </c>
      <c r="AL162" s="35">
        <v>10.862780000000001</v>
      </c>
      <c r="AM162" s="34">
        <v>45439</v>
      </c>
      <c r="AN162" s="5">
        <v>11.07188</v>
      </c>
      <c r="AP162" s="36">
        <v>1.9249216130677427E-2</v>
      </c>
      <c r="AS162" s="5" t="s">
        <v>12387</v>
      </c>
      <c r="AT162" s="5">
        <v>46.76</v>
      </c>
      <c r="AU162" s="5">
        <v>100</v>
      </c>
      <c r="AV162" s="5" t="s">
        <v>12400</v>
      </c>
      <c r="AW162" s="5" t="s">
        <v>12400</v>
      </c>
      <c r="AX162" s="5" t="s">
        <v>12400</v>
      </c>
      <c r="AZ162" s="49" t="s">
        <v>12408</v>
      </c>
      <c r="BA162" s="50" t="s">
        <v>12409</v>
      </c>
      <c r="BC162" s="51">
        <v>0.81194999999999995</v>
      </c>
    </row>
    <row r="163" spans="1:55" ht="15" customHeight="1" x14ac:dyDescent="0.4">
      <c r="A163" s="27" t="s">
        <v>11118</v>
      </c>
      <c r="B163" s="44" t="s">
        <v>12065</v>
      </c>
      <c r="C163" s="45" t="s">
        <v>11573</v>
      </c>
      <c r="D163" s="46">
        <v>99.55</v>
      </c>
      <c r="E163" s="45" t="s">
        <v>12357</v>
      </c>
      <c r="F163" s="45"/>
      <c r="G163" s="9">
        <v>69.351100000000002</v>
      </c>
      <c r="H163" s="9">
        <v>67.67689</v>
      </c>
      <c r="I163" s="9">
        <v>11.1662</v>
      </c>
      <c r="J163" s="9">
        <v>1760.6560099999999</v>
      </c>
      <c r="K163" s="9">
        <v>1760.6560099999999</v>
      </c>
      <c r="L163" s="9">
        <v>20.378599999999999</v>
      </c>
      <c r="M163" s="9">
        <v>238.01510999999999</v>
      </c>
      <c r="N163" s="10" t="s">
        <v>12467</v>
      </c>
      <c r="P163" s="32">
        <v>45429</v>
      </c>
      <c r="R163" s="35">
        <v>14.14673</v>
      </c>
      <c r="S163" s="34">
        <v>45428</v>
      </c>
      <c r="T163" s="35">
        <v>14.1463</v>
      </c>
      <c r="U163" s="34">
        <v>45427</v>
      </c>
      <c r="V163" s="35">
        <v>14.127700000000001</v>
      </c>
      <c r="W163" s="34">
        <v>45426</v>
      </c>
      <c r="X163" s="35">
        <v>14.255140000000001</v>
      </c>
      <c r="Y163" s="34">
        <v>45425</v>
      </c>
      <c r="Z163" s="35">
        <v>14.234400000000001</v>
      </c>
      <c r="AA163" s="34">
        <v>45430</v>
      </c>
      <c r="AB163" s="35">
        <v>14.14673</v>
      </c>
      <c r="AC163" s="34">
        <v>45431</v>
      </c>
      <c r="AD163" s="35">
        <v>14.14673</v>
      </c>
      <c r="AE163" s="34">
        <v>45432</v>
      </c>
      <c r="AF163" s="35">
        <v>14.116720000000001</v>
      </c>
      <c r="AG163" s="34">
        <v>45433</v>
      </c>
      <c r="AH163" s="35">
        <v>14.03439</v>
      </c>
      <c r="AI163" s="36">
        <v>3.0396640817720311E-5</v>
      </c>
      <c r="AK163" s="34">
        <v>45422</v>
      </c>
      <c r="AL163" s="35">
        <v>14.071619999999999</v>
      </c>
      <c r="AM163" s="34">
        <v>45436</v>
      </c>
      <c r="AN163" s="5">
        <v>14.66099</v>
      </c>
      <c r="AP163" s="36">
        <v>4.1883592649602619E-2</v>
      </c>
      <c r="AS163" s="5" t="s">
        <v>12387</v>
      </c>
      <c r="AT163" s="5">
        <v>99.55</v>
      </c>
      <c r="AU163" s="5">
        <v>100</v>
      </c>
      <c r="AV163" s="5" t="s">
        <v>12400</v>
      </c>
      <c r="AW163" s="5" t="s">
        <v>12400</v>
      </c>
      <c r="AX163" s="5" t="s">
        <v>12400</v>
      </c>
      <c r="AZ163" s="49" t="s">
        <v>12412</v>
      </c>
      <c r="BA163" s="50" t="s">
        <v>12413</v>
      </c>
      <c r="BC163" s="51">
        <v>0.86889000000000005</v>
      </c>
    </row>
    <row r="164" spans="1:55" ht="15" customHeight="1" x14ac:dyDescent="0.4">
      <c r="A164" s="27" t="s">
        <v>11118</v>
      </c>
      <c r="B164" s="44" t="s">
        <v>12065</v>
      </c>
      <c r="C164" s="45" t="s">
        <v>11574</v>
      </c>
      <c r="D164" s="46">
        <v>22.76</v>
      </c>
      <c r="E164" s="45" t="s">
        <v>12357</v>
      </c>
      <c r="F164" s="45"/>
      <c r="G164" s="9">
        <v>69.351100000000002</v>
      </c>
      <c r="H164" s="9">
        <v>67.67689</v>
      </c>
      <c r="I164" s="9">
        <v>11.1662</v>
      </c>
      <c r="J164" s="9">
        <v>1760.6560099999999</v>
      </c>
      <c r="K164" s="9">
        <v>1760.6560099999999</v>
      </c>
      <c r="L164" s="9">
        <v>20.378599999999999</v>
      </c>
      <c r="M164" s="9">
        <v>238.01510999999999</v>
      </c>
      <c r="N164" s="10" t="s">
        <v>12467</v>
      </c>
      <c r="P164" s="32">
        <v>45429</v>
      </c>
      <c r="R164" s="35">
        <v>14.14673</v>
      </c>
      <c r="S164" s="34">
        <v>45428</v>
      </c>
      <c r="T164" s="35">
        <v>14.1463</v>
      </c>
      <c r="U164" s="34">
        <v>45427</v>
      </c>
      <c r="V164" s="35">
        <v>14.127700000000001</v>
      </c>
      <c r="W164" s="34">
        <v>45426</v>
      </c>
      <c r="X164" s="35">
        <v>14.255140000000001</v>
      </c>
      <c r="Y164" s="34">
        <v>45425</v>
      </c>
      <c r="Z164" s="35">
        <v>14.234400000000001</v>
      </c>
      <c r="AA164" s="34">
        <v>45430</v>
      </c>
      <c r="AB164" s="35">
        <v>14.14673</v>
      </c>
      <c r="AC164" s="34">
        <v>45431</v>
      </c>
      <c r="AD164" s="35">
        <v>14.14673</v>
      </c>
      <c r="AE164" s="34">
        <v>45432</v>
      </c>
      <c r="AF164" s="35">
        <v>14.116720000000001</v>
      </c>
      <c r="AG164" s="34">
        <v>45433</v>
      </c>
      <c r="AH164" s="35">
        <v>14.03439</v>
      </c>
      <c r="AI164" s="36">
        <v>3.0396640817720311E-5</v>
      </c>
      <c r="AK164" s="34">
        <v>45422</v>
      </c>
      <c r="AL164" s="35">
        <v>14.071619999999999</v>
      </c>
      <c r="AM164" s="34">
        <v>45436</v>
      </c>
      <c r="AN164" s="5">
        <v>14.66099</v>
      </c>
      <c r="AP164" s="36">
        <v>4.1883592649602619E-2</v>
      </c>
      <c r="AS164" s="5" t="s">
        <v>12389</v>
      </c>
      <c r="AT164" s="5">
        <v>21.65</v>
      </c>
      <c r="AU164" s="5">
        <v>95.12</v>
      </c>
      <c r="AV164" s="5" t="s">
        <v>12400</v>
      </c>
      <c r="AW164" s="5" t="s">
        <v>12400</v>
      </c>
      <c r="AX164" s="5">
        <v>4.88</v>
      </c>
      <c r="AZ164" s="49" t="s">
        <v>12412</v>
      </c>
      <c r="BA164" s="50" t="s">
        <v>12449</v>
      </c>
      <c r="BC164" s="51">
        <v>0.86889000000000005</v>
      </c>
    </row>
    <row r="165" spans="1:55" ht="15" customHeight="1" x14ac:dyDescent="0.4">
      <c r="A165" s="27" t="s">
        <v>11119</v>
      </c>
      <c r="B165" s="44" t="s">
        <v>12066</v>
      </c>
      <c r="C165" s="45" t="s">
        <v>11575</v>
      </c>
      <c r="D165" s="46">
        <v>159</v>
      </c>
      <c r="E165" s="45" t="s">
        <v>12357</v>
      </c>
      <c r="F165" s="45"/>
      <c r="G165" s="9">
        <v>1400</v>
      </c>
      <c r="H165" s="9">
        <v>32.248480000000001</v>
      </c>
      <c r="I165" s="9">
        <v>37.133099999999999</v>
      </c>
      <c r="J165" s="9">
        <v>233.18653</v>
      </c>
      <c r="K165" s="9">
        <v>233.18653</v>
      </c>
      <c r="L165" s="9">
        <v>38.068980000000003</v>
      </c>
      <c r="M165" s="9">
        <v>-28.54326</v>
      </c>
      <c r="N165" s="10" t="s">
        <v>12466</v>
      </c>
      <c r="P165" s="32">
        <v>45429</v>
      </c>
      <c r="R165" s="35">
        <v>0.50434000000000001</v>
      </c>
      <c r="S165" s="34">
        <v>45428</v>
      </c>
      <c r="T165" s="35">
        <v>0.52739999999999998</v>
      </c>
      <c r="U165" s="34">
        <v>45427</v>
      </c>
      <c r="V165" s="35">
        <v>0.52144000000000001</v>
      </c>
      <c r="W165" s="34">
        <v>45426</v>
      </c>
      <c r="X165" s="35">
        <v>0.49002000000000001</v>
      </c>
      <c r="Y165" s="34">
        <v>45425</v>
      </c>
      <c r="Z165" s="35">
        <v>0.47688000000000003</v>
      </c>
      <c r="AA165" s="34">
        <v>45430</v>
      </c>
      <c r="AB165" s="35">
        <v>0.50434000000000001</v>
      </c>
      <c r="AC165" s="34">
        <v>45431</v>
      </c>
      <c r="AD165" s="35">
        <v>0.50434000000000001</v>
      </c>
      <c r="AE165" s="34">
        <v>45432</v>
      </c>
      <c r="AF165" s="35">
        <v>0.52290999999999999</v>
      </c>
      <c r="AG165" s="34">
        <v>45433</v>
      </c>
      <c r="AH165" s="35">
        <v>0.51068000000000002</v>
      </c>
      <c r="AI165" s="36">
        <v>-4.3723928706863813E-2</v>
      </c>
      <c r="AK165" s="34">
        <v>45422</v>
      </c>
      <c r="AL165" s="35">
        <v>0.46666000000000002</v>
      </c>
      <c r="AM165" s="34">
        <v>45436</v>
      </c>
      <c r="AN165" s="5">
        <v>0.45678000000000002</v>
      </c>
      <c r="AP165" s="36">
        <v>-2.1171731024728913E-2</v>
      </c>
      <c r="AS165" s="5" t="s">
        <v>12387</v>
      </c>
      <c r="AT165" s="5">
        <v>159</v>
      </c>
      <c r="AU165" s="5">
        <v>100</v>
      </c>
      <c r="AV165" s="5" t="s">
        <v>12400</v>
      </c>
      <c r="AW165" s="5" t="s">
        <v>12400</v>
      </c>
      <c r="AX165" s="5" t="s">
        <v>12400</v>
      </c>
      <c r="AZ165" s="49" t="s">
        <v>12458</v>
      </c>
      <c r="BA165" s="50" t="s">
        <v>12419</v>
      </c>
      <c r="BC165" s="51">
        <v>-0.78015000000000001</v>
      </c>
    </row>
    <row r="166" spans="1:55" ht="15" customHeight="1" x14ac:dyDescent="0.4">
      <c r="A166" s="27" t="s">
        <v>11120</v>
      </c>
      <c r="B166" s="44" t="s">
        <v>12067</v>
      </c>
      <c r="C166" s="45" t="s">
        <v>11576</v>
      </c>
      <c r="D166" s="47">
        <v>0.123</v>
      </c>
      <c r="E166" s="45" t="s">
        <v>12357</v>
      </c>
      <c r="F166" s="45"/>
      <c r="G166" s="9">
        <v>61.652389999999997</v>
      </c>
      <c r="H166" s="9">
        <v>0</v>
      </c>
      <c r="I166" s="9">
        <v>0</v>
      </c>
      <c r="J166" s="9">
        <v>1.7340000000000001E-2</v>
      </c>
      <c r="K166" s="9">
        <v>1.7340000000000001E-2</v>
      </c>
      <c r="L166" s="9">
        <v>1.5100000000000001E-3</v>
      </c>
      <c r="M166" s="9">
        <v>2.3670399999999998</v>
      </c>
      <c r="N166" s="10" t="s">
        <v>12465</v>
      </c>
      <c r="P166" s="32">
        <v>45429</v>
      </c>
      <c r="R166" s="35">
        <v>1.4999999999999999E-2</v>
      </c>
      <c r="S166" s="34">
        <v>45428</v>
      </c>
      <c r="T166" s="35">
        <v>8.3000000000000001E-3</v>
      </c>
      <c r="U166" s="34">
        <v>45427</v>
      </c>
      <c r="V166" s="35">
        <v>5.2900000000000004E-3</v>
      </c>
      <c r="W166" s="34">
        <v>45426</v>
      </c>
      <c r="X166" s="35">
        <v>6.0000000000000001E-3</v>
      </c>
      <c r="Y166" s="34">
        <v>45425</v>
      </c>
      <c r="Z166" s="35">
        <v>6.4999999999999997E-3</v>
      </c>
      <c r="AA166" s="34">
        <v>45430</v>
      </c>
      <c r="AB166" s="35">
        <v>1.4999999999999999E-2</v>
      </c>
      <c r="AC166" s="34">
        <v>45431</v>
      </c>
      <c r="AD166" s="35">
        <v>1.4999999999999999E-2</v>
      </c>
      <c r="AE166" s="34">
        <v>45432</v>
      </c>
      <c r="AF166" s="35">
        <v>1.18E-2</v>
      </c>
      <c r="AG166" s="34">
        <v>45433</v>
      </c>
      <c r="AH166" s="35">
        <v>1.4E-2</v>
      </c>
      <c r="AI166" s="36">
        <v>0.80722891566265043</v>
      </c>
      <c r="AK166" s="34">
        <v>45422</v>
      </c>
      <c r="AL166" s="35">
        <v>7.0000000000000001E-3</v>
      </c>
      <c r="AM166" s="34">
        <v>45436</v>
      </c>
      <c r="AN166" s="5">
        <v>1.4E-2</v>
      </c>
      <c r="AP166" s="36">
        <v>1</v>
      </c>
      <c r="AS166" s="5" t="s">
        <v>721</v>
      </c>
      <c r="AT166" s="5" t="s">
        <v>12400</v>
      </c>
      <c r="AU166" s="5" t="s">
        <v>12400</v>
      </c>
      <c r="AV166" s="5" t="s">
        <v>12400</v>
      </c>
      <c r="AW166" s="5" t="s">
        <v>12400</v>
      </c>
      <c r="AX166" s="5">
        <v>100</v>
      </c>
      <c r="AZ166" s="49" t="s">
        <v>12403</v>
      </c>
      <c r="BA166" s="50" t="s">
        <v>12415</v>
      </c>
      <c r="BC166" s="51">
        <v>102.56637000000001</v>
      </c>
    </row>
    <row r="167" spans="1:55" ht="15" customHeight="1" x14ac:dyDescent="0.4">
      <c r="A167" s="27" t="s">
        <v>11121</v>
      </c>
      <c r="B167" s="44" t="s">
        <v>12068</v>
      </c>
      <c r="C167" s="45" t="s">
        <v>11577</v>
      </c>
      <c r="D167" s="47">
        <v>1.4999999999999999E-2</v>
      </c>
      <c r="E167" s="45" t="s">
        <v>12358</v>
      </c>
      <c r="F167" s="45"/>
      <c r="G167" s="9">
        <v>71.599810000000005</v>
      </c>
      <c r="H167" s="9">
        <v>0</v>
      </c>
      <c r="I167" s="9">
        <v>0</v>
      </c>
      <c r="J167" s="9">
        <v>0</v>
      </c>
      <c r="K167" s="9">
        <v>0</v>
      </c>
      <c r="L167" s="9">
        <v>0</v>
      </c>
      <c r="M167" s="9">
        <v>0</v>
      </c>
      <c r="N167" s="10" t="s">
        <v>12466</v>
      </c>
      <c r="P167" s="32">
        <v>45428</v>
      </c>
      <c r="R167" s="35">
        <v>5.1409999999999997E-2</v>
      </c>
      <c r="S167" s="34">
        <v>45427</v>
      </c>
      <c r="T167" s="35">
        <v>4.4110000000000003E-2</v>
      </c>
      <c r="U167" s="34">
        <v>45426</v>
      </c>
      <c r="V167" s="35">
        <v>4.3959999999999999E-2</v>
      </c>
      <c r="W167" s="34">
        <v>45425</v>
      </c>
      <c r="X167" s="35">
        <v>5.4820000000000001E-2</v>
      </c>
      <c r="Y167" s="34">
        <v>45424</v>
      </c>
      <c r="Z167" s="35">
        <v>5.8560000000000001E-2</v>
      </c>
      <c r="AA167" s="34">
        <v>45429</v>
      </c>
      <c r="AB167" s="35">
        <v>5.1450000000000003E-2</v>
      </c>
      <c r="AC167" s="34">
        <v>45430</v>
      </c>
      <c r="AD167" s="35">
        <v>5.1450000000000003E-2</v>
      </c>
      <c r="AE167" s="34">
        <v>45431</v>
      </c>
      <c r="AF167" s="35">
        <v>5.1450000000000003E-2</v>
      </c>
      <c r="AG167" s="34">
        <v>45432</v>
      </c>
      <c r="AH167" s="35">
        <v>5.144E-2</v>
      </c>
      <c r="AI167" s="36">
        <v>0.16640217637723875</v>
      </c>
      <c r="AK167" s="34">
        <v>45421</v>
      </c>
      <c r="AL167" s="35">
        <v>4.385E-2</v>
      </c>
      <c r="AM167" s="34">
        <v>45435</v>
      </c>
      <c r="AN167" s="5">
        <v>5.4739999999999997E-2</v>
      </c>
      <c r="AP167" s="36">
        <v>0.2483466362599771</v>
      </c>
      <c r="AS167" s="5" t="s">
        <v>12387</v>
      </c>
      <c r="AT167" s="5">
        <v>1.4999999999999999E-2</v>
      </c>
      <c r="AU167" s="5">
        <v>100</v>
      </c>
      <c r="AV167" s="5" t="s">
        <v>12400</v>
      </c>
      <c r="AW167" s="5" t="s">
        <v>12400</v>
      </c>
      <c r="AX167" s="5" t="s">
        <v>12400</v>
      </c>
      <c r="AZ167" s="49" t="s">
        <v>12417</v>
      </c>
      <c r="BA167" s="50" t="s">
        <v>12408</v>
      </c>
      <c r="BC167" s="51">
        <v>-0.32730999999999999</v>
      </c>
    </row>
    <row r="168" spans="1:55" ht="15" customHeight="1" x14ac:dyDescent="0.4">
      <c r="A168" s="27" t="s">
        <v>11122</v>
      </c>
      <c r="B168" s="44" t="s">
        <v>12069</v>
      </c>
      <c r="C168" s="45" t="s">
        <v>11578</v>
      </c>
      <c r="D168" s="46">
        <v>45.65</v>
      </c>
      <c r="E168" s="45" t="s">
        <v>12357</v>
      </c>
      <c r="F168" s="45"/>
      <c r="G168" s="9">
        <v>62.797069999999998</v>
      </c>
      <c r="H168" s="9">
        <v>119.82867</v>
      </c>
      <c r="I168" s="9">
        <v>33.184399999999997</v>
      </c>
      <c r="J168" s="9">
        <v>1036.65525</v>
      </c>
      <c r="K168" s="9">
        <v>1036.65525</v>
      </c>
      <c r="L168" s="9">
        <v>48.139719999999997</v>
      </c>
      <c r="M168" s="9">
        <v>363.33591000000001</v>
      </c>
      <c r="N168" s="10" t="s">
        <v>12470</v>
      </c>
      <c r="P168" s="32">
        <v>45428</v>
      </c>
      <c r="R168" s="35">
        <v>26.864560000000001</v>
      </c>
      <c r="S168" s="34">
        <v>45427</v>
      </c>
      <c r="T168" s="35">
        <v>27.14555</v>
      </c>
      <c r="U168" s="34">
        <v>45426</v>
      </c>
      <c r="V168" s="35">
        <v>27.265360000000001</v>
      </c>
      <c r="W168" s="34">
        <v>45425</v>
      </c>
      <c r="X168" s="35">
        <v>27.063839999999999</v>
      </c>
      <c r="Y168" s="34">
        <v>45424</v>
      </c>
      <c r="Z168" s="35">
        <v>26.345220000000001</v>
      </c>
      <c r="AA168" s="34">
        <v>45429</v>
      </c>
      <c r="AB168" s="35">
        <v>28.297709999999999</v>
      </c>
      <c r="AC168" s="34">
        <v>45430</v>
      </c>
      <c r="AD168" s="35">
        <v>28.297709999999999</v>
      </c>
      <c r="AE168" s="34">
        <v>45431</v>
      </c>
      <c r="AF168" s="35">
        <v>28.297709999999999</v>
      </c>
      <c r="AG168" s="34">
        <v>45432</v>
      </c>
      <c r="AH168" s="35">
        <v>27.772970000000001</v>
      </c>
      <c r="AI168" s="36">
        <v>4.2443789129341658E-2</v>
      </c>
      <c r="AK168" s="34">
        <v>45421</v>
      </c>
      <c r="AL168" s="35">
        <v>26.369070000000001</v>
      </c>
      <c r="AM168" s="34">
        <v>45435</v>
      </c>
      <c r="AN168" s="5">
        <v>23.048829999999999</v>
      </c>
      <c r="AP168" s="36">
        <v>-0.12591418658299292</v>
      </c>
      <c r="AS168" s="5" t="s">
        <v>12389</v>
      </c>
      <c r="AT168" s="5">
        <v>43.48</v>
      </c>
      <c r="AU168" s="5">
        <v>95.24</v>
      </c>
      <c r="AV168" s="5" t="s">
        <v>12400</v>
      </c>
      <c r="AW168" s="5" t="s">
        <v>12400</v>
      </c>
      <c r="AX168" s="5">
        <v>4.76</v>
      </c>
      <c r="AZ168" s="49" t="s">
        <v>12414</v>
      </c>
      <c r="BA168" s="50" t="s">
        <v>12415</v>
      </c>
      <c r="BC168" s="51">
        <v>0.63575000000000004</v>
      </c>
    </row>
    <row r="169" spans="1:55" ht="15" customHeight="1" x14ac:dyDescent="0.4">
      <c r="A169" s="27" t="s">
        <v>11123</v>
      </c>
      <c r="B169" s="44" t="s">
        <v>12070</v>
      </c>
      <c r="C169" s="45" t="s">
        <v>11579</v>
      </c>
      <c r="D169" s="46">
        <v>1.79</v>
      </c>
      <c r="E169" s="45" t="s">
        <v>12357</v>
      </c>
      <c r="F169" s="45"/>
      <c r="G169" s="9">
        <v>16.359649999999998</v>
      </c>
      <c r="H169" s="9">
        <v>-0.74770000000000003</v>
      </c>
      <c r="I169" s="9">
        <v>-2.4396</v>
      </c>
      <c r="J169" s="9">
        <v>31.70505</v>
      </c>
      <c r="K169" s="9">
        <v>31.70505</v>
      </c>
      <c r="L169" s="9">
        <v>16.544809999999998</v>
      </c>
      <c r="M169" s="9">
        <v>-13.891579999999999</v>
      </c>
      <c r="N169" s="10" t="s">
        <v>12470</v>
      </c>
      <c r="P169" s="32">
        <v>45428</v>
      </c>
      <c r="R169" s="35">
        <v>1.4571499999999999</v>
      </c>
      <c r="S169" s="34">
        <v>45427</v>
      </c>
      <c r="T169" s="35">
        <v>1.45689</v>
      </c>
      <c r="U169" s="34">
        <v>45426</v>
      </c>
      <c r="V169" s="35">
        <v>1.4470000000000001</v>
      </c>
      <c r="W169" s="34">
        <v>45425</v>
      </c>
      <c r="X169" s="35">
        <v>1.4435100000000001</v>
      </c>
      <c r="Y169" s="34">
        <v>45424</v>
      </c>
      <c r="Z169" s="35">
        <v>1.4391400000000001</v>
      </c>
      <c r="AA169" s="34">
        <v>45429</v>
      </c>
      <c r="AB169" s="35">
        <v>1.46119</v>
      </c>
      <c r="AC169" s="34">
        <v>45430</v>
      </c>
      <c r="AD169" s="35">
        <v>1.46119</v>
      </c>
      <c r="AE169" s="34">
        <v>45431</v>
      </c>
      <c r="AF169" s="35">
        <v>1.46119</v>
      </c>
      <c r="AG169" s="34">
        <v>45432</v>
      </c>
      <c r="AH169" s="35">
        <v>1.52458</v>
      </c>
      <c r="AI169" s="36">
        <v>2.9514925629250399E-3</v>
      </c>
      <c r="AK169" s="34">
        <v>45421</v>
      </c>
      <c r="AL169" s="35">
        <v>1.4391</v>
      </c>
      <c r="AM169" s="34">
        <v>45435</v>
      </c>
      <c r="AN169" s="5">
        <v>1.5253399999999999</v>
      </c>
      <c r="AP169" s="36">
        <v>5.9926342853171999E-2</v>
      </c>
      <c r="AS169" s="5" t="s">
        <v>12387</v>
      </c>
      <c r="AT169" s="5">
        <v>1.79</v>
      </c>
      <c r="AU169" s="5">
        <v>100</v>
      </c>
      <c r="AV169" s="5" t="s">
        <v>12400</v>
      </c>
      <c r="AW169" s="5" t="s">
        <v>12400</v>
      </c>
      <c r="AX169" s="5" t="s">
        <v>12400</v>
      </c>
      <c r="AZ169" s="49" t="s">
        <v>12415</v>
      </c>
      <c r="BA169" s="50" t="s">
        <v>12415</v>
      </c>
      <c r="BC169" s="51">
        <v>0.41937000000000002</v>
      </c>
    </row>
    <row r="170" spans="1:55" ht="15" customHeight="1" x14ac:dyDescent="0.4">
      <c r="A170" s="27" t="s">
        <v>11124</v>
      </c>
      <c r="B170" s="44" t="s">
        <v>12071</v>
      </c>
      <c r="C170" s="45" t="s">
        <v>11580</v>
      </c>
      <c r="D170" s="46">
        <v>6.52</v>
      </c>
      <c r="E170" s="45" t="s">
        <v>12357</v>
      </c>
      <c r="F170" s="45"/>
      <c r="G170" s="9">
        <v>0</v>
      </c>
      <c r="H170" s="9">
        <v>1325</v>
      </c>
      <c r="I170" s="9">
        <v>21.717700000000001</v>
      </c>
      <c r="J170" s="9">
        <v>9073</v>
      </c>
      <c r="K170" s="9">
        <v>9073</v>
      </c>
      <c r="L170" s="9">
        <v>1934</v>
      </c>
      <c r="M170" s="9">
        <v>36</v>
      </c>
      <c r="N170" s="10" t="s">
        <v>12468</v>
      </c>
      <c r="P170" s="32">
        <v>45428</v>
      </c>
      <c r="R170" s="35">
        <v>0</v>
      </c>
      <c r="S170" s="34">
        <v>45427</v>
      </c>
      <c r="T170" s="35">
        <v>0</v>
      </c>
      <c r="U170" s="34">
        <v>45426</v>
      </c>
      <c r="V170" s="35">
        <v>0</v>
      </c>
      <c r="W170" s="34">
        <v>45425</v>
      </c>
      <c r="X170" s="35">
        <v>0</v>
      </c>
      <c r="Y170" s="34">
        <v>45424</v>
      </c>
      <c r="Z170" s="35">
        <v>0</v>
      </c>
      <c r="AA170" s="34">
        <v>45429</v>
      </c>
      <c r="AB170" s="35">
        <v>0</v>
      </c>
      <c r="AC170" s="34">
        <v>45430</v>
      </c>
      <c r="AD170" s="35">
        <v>0</v>
      </c>
      <c r="AE170" s="34">
        <v>45431</v>
      </c>
      <c r="AF170" s="35">
        <v>0</v>
      </c>
      <c r="AG170" s="34">
        <v>45432</v>
      </c>
      <c r="AH170" s="35">
        <v>0</v>
      </c>
      <c r="AI170" s="36" t="s">
        <v>318</v>
      </c>
      <c r="AK170" s="34">
        <v>45421</v>
      </c>
      <c r="AL170" s="35">
        <v>0</v>
      </c>
      <c r="AM170" s="34">
        <v>45435</v>
      </c>
      <c r="AN170" s="5">
        <v>0</v>
      </c>
      <c r="AP170" s="36" t="s">
        <v>318</v>
      </c>
      <c r="AS170" s="5" t="s">
        <v>12387</v>
      </c>
      <c r="AT170" s="5">
        <v>6.52</v>
      </c>
      <c r="AU170" s="5">
        <v>100</v>
      </c>
      <c r="AV170" s="5" t="s">
        <v>12400</v>
      </c>
      <c r="AW170" s="5" t="s">
        <v>12400</v>
      </c>
      <c r="AX170" s="5" t="s">
        <v>12400</v>
      </c>
      <c r="AZ170" s="49" t="s">
        <v>12416</v>
      </c>
      <c r="BA170" s="50" t="s">
        <v>12416</v>
      </c>
      <c r="BC170" s="51">
        <v>0</v>
      </c>
    </row>
    <row r="171" spans="1:55" ht="15" customHeight="1" x14ac:dyDescent="0.4">
      <c r="A171" s="27" t="s">
        <v>11125</v>
      </c>
      <c r="B171" s="44" t="s">
        <v>12072</v>
      </c>
      <c r="C171" s="45" t="s">
        <v>11581</v>
      </c>
      <c r="D171" s="46">
        <v>23.8</v>
      </c>
      <c r="E171" s="45" t="s">
        <v>12358</v>
      </c>
      <c r="F171" s="45"/>
      <c r="G171" s="9">
        <v>134.36304999999999</v>
      </c>
      <c r="H171" s="9" t="s">
        <v>11415</v>
      </c>
      <c r="I171" s="9" t="s">
        <v>11415</v>
      </c>
      <c r="J171" s="9">
        <v>20509.84304</v>
      </c>
      <c r="K171" s="9">
        <v>20509.84304</v>
      </c>
      <c r="L171" s="9">
        <v>1829.5423900000001</v>
      </c>
      <c r="M171" s="9">
        <v>4191.4468900000002</v>
      </c>
      <c r="N171" s="10" t="s">
        <v>12473</v>
      </c>
      <c r="P171" s="32">
        <v>45428</v>
      </c>
      <c r="R171" s="35">
        <v>5.4239100000000002</v>
      </c>
      <c r="S171" s="34">
        <v>45427</v>
      </c>
      <c r="T171" s="35">
        <v>5.4124600000000003</v>
      </c>
      <c r="U171" s="34">
        <v>45426</v>
      </c>
      <c r="V171" s="35">
        <v>5.23583</v>
      </c>
      <c r="W171" s="34">
        <v>45425</v>
      </c>
      <c r="X171" s="35">
        <v>5.1592000000000002</v>
      </c>
      <c r="Y171" s="34">
        <v>45424</v>
      </c>
      <c r="Z171" s="35">
        <v>5.0834700000000002</v>
      </c>
      <c r="AA171" s="34">
        <v>45429</v>
      </c>
      <c r="AB171" s="35">
        <v>5.6534000000000004</v>
      </c>
      <c r="AC171" s="34">
        <v>45430</v>
      </c>
      <c r="AD171" s="35">
        <v>5.6534000000000004</v>
      </c>
      <c r="AE171" s="34">
        <v>45431</v>
      </c>
      <c r="AF171" s="35">
        <v>5.6534000000000004</v>
      </c>
      <c r="AG171" s="34">
        <v>45432</v>
      </c>
      <c r="AH171" s="35">
        <v>5.6696</v>
      </c>
      <c r="AI171" s="36">
        <v>4.4515802426253526E-2</v>
      </c>
      <c r="AK171" s="34">
        <v>45421</v>
      </c>
      <c r="AL171" s="35">
        <v>5.03179</v>
      </c>
      <c r="AM171" s="34">
        <v>45435</v>
      </c>
      <c r="AN171" s="5">
        <v>5.7582000000000004</v>
      </c>
      <c r="AP171" s="36">
        <v>0.14436413284338179</v>
      </c>
      <c r="AS171" s="5" t="s">
        <v>12387</v>
      </c>
      <c r="AT171" s="5">
        <v>23.8</v>
      </c>
      <c r="AU171" s="5">
        <v>100</v>
      </c>
      <c r="AV171" s="5" t="s">
        <v>12400</v>
      </c>
      <c r="AW171" s="5" t="s">
        <v>12400</v>
      </c>
      <c r="AX171" s="5" t="s">
        <v>12400</v>
      </c>
      <c r="AZ171" s="49" t="s">
        <v>12416</v>
      </c>
      <c r="BA171" s="50" t="s">
        <v>12416</v>
      </c>
      <c r="BC171" s="51">
        <v>0.57062000000000002</v>
      </c>
    </row>
    <row r="172" spans="1:55" ht="15" customHeight="1" x14ac:dyDescent="0.4">
      <c r="A172" s="27" t="s">
        <v>11126</v>
      </c>
      <c r="B172" s="44" t="s">
        <v>12073</v>
      </c>
      <c r="C172" s="45" t="s">
        <v>11582</v>
      </c>
      <c r="D172" s="46">
        <v>9.4700000000000006</v>
      </c>
      <c r="E172" s="45" t="s">
        <v>12357</v>
      </c>
      <c r="F172" s="45"/>
      <c r="G172" s="9">
        <v>128.30165</v>
      </c>
      <c r="H172" s="9">
        <v>19.379000000000001</v>
      </c>
      <c r="I172" s="9">
        <v>7.7134999999999998</v>
      </c>
      <c r="J172" s="9">
        <v>180.51499999999999</v>
      </c>
      <c r="K172" s="9">
        <v>180.51499999999999</v>
      </c>
      <c r="L172" s="9">
        <v>28.157</v>
      </c>
      <c r="M172" s="9">
        <v>-8.5920000000000005</v>
      </c>
      <c r="N172" s="10" t="s">
        <v>12469</v>
      </c>
      <c r="P172" s="32">
        <v>45427</v>
      </c>
      <c r="R172" s="35">
        <v>1.0980300000000001</v>
      </c>
      <c r="S172" s="34">
        <v>45426</v>
      </c>
      <c r="T172" s="35">
        <v>1.0536700000000001</v>
      </c>
      <c r="U172" s="34">
        <v>45425</v>
      </c>
      <c r="V172" s="35">
        <v>1.0530200000000001</v>
      </c>
      <c r="W172" s="34">
        <v>45424</v>
      </c>
      <c r="X172" s="35">
        <v>1.07412</v>
      </c>
      <c r="Y172" s="34">
        <v>45423</v>
      </c>
      <c r="Z172" s="35">
        <v>1.07412</v>
      </c>
      <c r="AA172" s="34">
        <v>45428</v>
      </c>
      <c r="AB172" s="35">
        <v>1.1306099999999999</v>
      </c>
      <c r="AC172" s="34">
        <v>45429</v>
      </c>
      <c r="AD172" s="35">
        <v>1.13314</v>
      </c>
      <c r="AE172" s="34">
        <v>45430</v>
      </c>
      <c r="AF172" s="35">
        <v>1.13314</v>
      </c>
      <c r="AG172" s="34">
        <v>45431</v>
      </c>
      <c r="AH172" s="35">
        <v>1.13314</v>
      </c>
      <c r="AI172" s="36">
        <v>7.3020964818206524E-2</v>
      </c>
      <c r="AK172" s="34">
        <v>45420</v>
      </c>
      <c r="AL172" s="35">
        <v>1.0731299999999999</v>
      </c>
      <c r="AM172" s="34">
        <v>45434</v>
      </c>
      <c r="AN172" s="5">
        <v>1.1415900000000001</v>
      </c>
      <c r="AP172" s="36">
        <v>6.3794694025887111E-2</v>
      </c>
      <c r="AS172" s="5" t="s">
        <v>12387</v>
      </c>
      <c r="AT172" s="5">
        <v>9.4700000000000006</v>
      </c>
      <c r="AU172" s="5">
        <v>100</v>
      </c>
      <c r="AV172" s="5" t="s">
        <v>12400</v>
      </c>
      <c r="AW172" s="5" t="s">
        <v>12400</v>
      </c>
      <c r="AX172" s="5" t="s">
        <v>12400</v>
      </c>
      <c r="AZ172" s="49" t="s">
        <v>12415</v>
      </c>
      <c r="BA172" s="50" t="s">
        <v>12408</v>
      </c>
      <c r="BC172" s="51">
        <v>0.26937</v>
      </c>
    </row>
    <row r="173" spans="1:55" ht="15" customHeight="1" x14ac:dyDescent="0.4">
      <c r="A173" s="27" t="s">
        <v>11040</v>
      </c>
      <c r="B173" s="44" t="s">
        <v>11985</v>
      </c>
      <c r="C173" s="45" t="s">
        <v>11583</v>
      </c>
      <c r="D173" s="46">
        <v>18.11</v>
      </c>
      <c r="E173" s="45" t="s">
        <v>12359</v>
      </c>
      <c r="F173" s="45"/>
      <c r="G173" s="9">
        <v>20.851240000000001</v>
      </c>
      <c r="H173" s="9">
        <v>159.03393</v>
      </c>
      <c r="I173" s="9">
        <v>13.2652</v>
      </c>
      <c r="J173" s="9">
        <v>1614.3605600000001</v>
      </c>
      <c r="K173" s="9">
        <v>1614.3605600000001</v>
      </c>
      <c r="L173" s="9">
        <v>96.291589999999999</v>
      </c>
      <c r="M173" s="9">
        <v>391.33967000000001</v>
      </c>
      <c r="N173" s="10" t="s">
        <v>12472</v>
      </c>
      <c r="P173" s="32">
        <v>45427</v>
      </c>
      <c r="R173" s="35">
        <v>42.495379999999997</v>
      </c>
      <c r="S173" s="34">
        <v>45426</v>
      </c>
      <c r="T173" s="35">
        <v>42.514060000000001</v>
      </c>
      <c r="U173" s="34">
        <v>45425</v>
      </c>
      <c r="V173" s="35">
        <v>42.579599999999999</v>
      </c>
      <c r="W173" s="34">
        <v>45424</v>
      </c>
      <c r="X173" s="35">
        <v>42.487879999999997</v>
      </c>
      <c r="Y173" s="34">
        <v>45423</v>
      </c>
      <c r="Z173" s="35">
        <v>42.487879999999997</v>
      </c>
      <c r="AA173" s="34">
        <v>45428</v>
      </c>
      <c r="AB173" s="35">
        <v>43.097830000000002</v>
      </c>
      <c r="AC173" s="34">
        <v>45429</v>
      </c>
      <c r="AD173" s="35">
        <v>42.183079999999997</v>
      </c>
      <c r="AE173" s="34">
        <v>45430</v>
      </c>
      <c r="AF173" s="35">
        <v>42.183079999999997</v>
      </c>
      <c r="AG173" s="34">
        <v>45431</v>
      </c>
      <c r="AH173" s="35">
        <v>42.183079999999997</v>
      </c>
      <c r="AI173" s="36">
        <v>1.3731222094526041E-2</v>
      </c>
      <c r="AK173" s="34">
        <v>45420</v>
      </c>
      <c r="AL173" s="35">
        <v>42.450299999999999</v>
      </c>
      <c r="AM173" s="34">
        <v>45434</v>
      </c>
      <c r="AN173" s="5">
        <v>42.474809999999998</v>
      </c>
      <c r="AP173" s="36">
        <v>5.7738107857896459E-4</v>
      </c>
      <c r="AS173" s="5" t="s">
        <v>12387</v>
      </c>
      <c r="AT173" s="5">
        <v>18.11</v>
      </c>
      <c r="AU173" s="5">
        <v>100</v>
      </c>
      <c r="AV173" s="5" t="s">
        <v>12400</v>
      </c>
      <c r="AW173" s="5" t="s">
        <v>12400</v>
      </c>
      <c r="AX173" s="5" t="s">
        <v>12400</v>
      </c>
      <c r="AZ173" s="49" t="s">
        <v>12422</v>
      </c>
      <c r="BA173" s="50" t="s">
        <v>12422</v>
      </c>
      <c r="BC173" s="51">
        <v>-0.36365999999999998</v>
      </c>
    </row>
    <row r="174" spans="1:55" ht="15" customHeight="1" x14ac:dyDescent="0.4">
      <c r="A174" s="27" t="s">
        <v>11127</v>
      </c>
      <c r="B174" s="44" t="s">
        <v>12074</v>
      </c>
      <c r="C174" s="45" t="s">
        <v>11584</v>
      </c>
      <c r="D174" s="46">
        <v>51.75</v>
      </c>
      <c r="E174" s="45" t="s">
        <v>12357</v>
      </c>
      <c r="F174" s="45"/>
      <c r="G174" s="9">
        <v>30.96697</v>
      </c>
      <c r="H174" s="9">
        <v>56.43</v>
      </c>
      <c r="I174" s="9">
        <v>7.9988000000000001</v>
      </c>
      <c r="J174" s="9">
        <v>534.77599999999995</v>
      </c>
      <c r="K174" s="9">
        <v>534.77599999999995</v>
      </c>
      <c r="L174" s="9">
        <v>17.646000000000001</v>
      </c>
      <c r="M174" s="9">
        <v>228.078</v>
      </c>
      <c r="N174" s="10" t="s">
        <v>12467</v>
      </c>
      <c r="P174" s="32">
        <v>45427</v>
      </c>
      <c r="R174" s="35">
        <v>8.32</v>
      </c>
      <c r="S174" s="34">
        <v>45426</v>
      </c>
      <c r="T174" s="35">
        <v>8.5</v>
      </c>
      <c r="U174" s="34">
        <v>45425</v>
      </c>
      <c r="V174" s="35">
        <v>9.0299999999999994</v>
      </c>
      <c r="W174" s="34">
        <v>45424</v>
      </c>
      <c r="X174" s="35">
        <v>9.15</v>
      </c>
      <c r="Y174" s="34">
        <v>45423</v>
      </c>
      <c r="Z174" s="35">
        <v>9.15</v>
      </c>
      <c r="AA174" s="34">
        <v>45428</v>
      </c>
      <c r="AB174" s="35">
        <v>8.34</v>
      </c>
      <c r="AC174" s="34">
        <v>45429</v>
      </c>
      <c r="AD174" s="35">
        <v>8.3800000000000008</v>
      </c>
      <c r="AE174" s="34">
        <v>45430</v>
      </c>
      <c r="AF174" s="35">
        <v>8.3800000000000008</v>
      </c>
      <c r="AG174" s="34">
        <v>45431</v>
      </c>
      <c r="AH174" s="35">
        <v>8.3800000000000008</v>
      </c>
      <c r="AI174" s="36">
        <v>-1.8823529411764683E-2</v>
      </c>
      <c r="AK174" s="34">
        <v>45420</v>
      </c>
      <c r="AL174" s="35">
        <v>9.07</v>
      </c>
      <c r="AM174" s="34">
        <v>45434</v>
      </c>
      <c r="AN174" s="5">
        <v>8.7799999999999994</v>
      </c>
      <c r="AP174" s="36">
        <v>-3.19735391400221E-2</v>
      </c>
      <c r="AS174" s="5" t="s">
        <v>12387</v>
      </c>
      <c r="AT174" s="5">
        <v>51.75</v>
      </c>
      <c r="AU174" s="5">
        <v>100</v>
      </c>
      <c r="AV174" s="5" t="s">
        <v>12400</v>
      </c>
      <c r="AW174" s="5" t="s">
        <v>12400</v>
      </c>
      <c r="AX174" s="5" t="s">
        <v>12400</v>
      </c>
      <c r="AZ174" s="49" t="s">
        <v>12417</v>
      </c>
      <c r="BA174" s="50" t="s">
        <v>12406</v>
      </c>
      <c r="BC174" s="51">
        <v>1.01447</v>
      </c>
    </row>
    <row r="175" spans="1:55" ht="15" customHeight="1" x14ac:dyDescent="0.4">
      <c r="A175" s="27" t="s">
        <v>11128</v>
      </c>
      <c r="B175" s="44" t="s">
        <v>12075</v>
      </c>
      <c r="C175" s="45" t="s">
        <v>11585</v>
      </c>
      <c r="D175" s="46">
        <v>38</v>
      </c>
      <c r="E175" s="45" t="s">
        <v>12357</v>
      </c>
      <c r="F175" s="45"/>
      <c r="G175" s="9">
        <v>4.9463699999999999</v>
      </c>
      <c r="H175" s="9">
        <v>0</v>
      </c>
      <c r="I175" s="9">
        <v>0</v>
      </c>
      <c r="J175" s="9">
        <v>1.79756</v>
      </c>
      <c r="K175" s="9">
        <v>1.79756</v>
      </c>
      <c r="L175" s="9">
        <v>3.8789999999999998E-2</v>
      </c>
      <c r="M175" s="9">
        <v>-1.3270000000000001E-2</v>
      </c>
      <c r="N175" s="10" t="s">
        <v>12473</v>
      </c>
      <c r="P175" s="32">
        <v>45427</v>
      </c>
      <c r="R175" s="35">
        <v>5</v>
      </c>
      <c r="S175" s="34">
        <v>45426</v>
      </c>
      <c r="T175" s="35">
        <v>5</v>
      </c>
      <c r="U175" s="34">
        <v>45425</v>
      </c>
      <c r="V175" s="35">
        <v>5</v>
      </c>
      <c r="W175" s="34">
        <v>45424</v>
      </c>
      <c r="X175" s="35">
        <v>5</v>
      </c>
      <c r="Y175" s="34">
        <v>45423</v>
      </c>
      <c r="Z175" s="35">
        <v>5</v>
      </c>
      <c r="AA175" s="34">
        <v>45428</v>
      </c>
      <c r="AB175" s="35">
        <v>5</v>
      </c>
      <c r="AC175" s="34">
        <v>45429</v>
      </c>
      <c r="AD175" s="35">
        <v>5</v>
      </c>
      <c r="AE175" s="34">
        <v>45430</v>
      </c>
      <c r="AF175" s="35">
        <v>5</v>
      </c>
      <c r="AG175" s="34">
        <v>45431</v>
      </c>
      <c r="AH175" s="35">
        <v>5</v>
      </c>
      <c r="AI175" s="36">
        <v>0</v>
      </c>
      <c r="AK175" s="34">
        <v>45420</v>
      </c>
      <c r="AL175" s="35">
        <v>6.5</v>
      </c>
      <c r="AM175" s="34">
        <v>45434</v>
      </c>
      <c r="AN175" s="5">
        <v>5</v>
      </c>
      <c r="AP175" s="36">
        <v>-0.23076923076923073</v>
      </c>
      <c r="AS175" s="5" t="s">
        <v>721</v>
      </c>
      <c r="AT175" s="5" t="s">
        <v>12400</v>
      </c>
      <c r="AU175" s="5" t="s">
        <v>12400</v>
      </c>
      <c r="AV175" s="5" t="s">
        <v>12400</v>
      </c>
      <c r="AW175" s="5" t="s">
        <v>12400</v>
      </c>
      <c r="AX175" s="5">
        <v>100</v>
      </c>
      <c r="AZ175" s="49" t="s">
        <v>12403</v>
      </c>
      <c r="BA175" s="50" t="s">
        <v>12414</v>
      </c>
      <c r="BC175" s="51">
        <v>-2.2879</v>
      </c>
    </row>
    <row r="176" spans="1:55" ht="15" customHeight="1" x14ac:dyDescent="0.4">
      <c r="A176" s="27" t="s">
        <v>11129</v>
      </c>
      <c r="B176" s="44" t="s">
        <v>12076</v>
      </c>
      <c r="C176" s="45" t="s">
        <v>11586</v>
      </c>
      <c r="D176" s="46">
        <v>134.25</v>
      </c>
      <c r="E176" s="45" t="s">
        <v>12357</v>
      </c>
      <c r="F176" s="45"/>
      <c r="G176" s="9">
        <v>130.63038</v>
      </c>
      <c r="H176" s="9">
        <v>404.99387000000002</v>
      </c>
      <c r="I176" s="9">
        <v>3.8996</v>
      </c>
      <c r="J176" s="9">
        <v>14411.528399999999</v>
      </c>
      <c r="K176" s="9">
        <v>14411.528399999999</v>
      </c>
      <c r="L176" s="9">
        <v>817.36917000000005</v>
      </c>
      <c r="M176" s="9">
        <v>3454.7819100000002</v>
      </c>
      <c r="N176" s="10" t="s">
        <v>12466</v>
      </c>
      <c r="P176" s="32">
        <v>45426</v>
      </c>
      <c r="R176" s="35">
        <v>19.831099999999999</v>
      </c>
      <c r="S176" s="34">
        <v>45425</v>
      </c>
      <c r="T176" s="35">
        <v>19.794630000000002</v>
      </c>
      <c r="U176" s="34">
        <v>45424</v>
      </c>
      <c r="V176" s="35">
        <v>19.527719999999999</v>
      </c>
      <c r="W176" s="34">
        <v>45423</v>
      </c>
      <c r="X176" s="35">
        <v>19.527719999999999</v>
      </c>
      <c r="Y176" s="34">
        <v>45422</v>
      </c>
      <c r="Z176" s="35">
        <v>19.527719999999999</v>
      </c>
      <c r="AA176" s="34">
        <v>45427</v>
      </c>
      <c r="AB176" s="35">
        <v>20.092610000000001</v>
      </c>
      <c r="AC176" s="34">
        <v>45428</v>
      </c>
      <c r="AD176" s="35">
        <v>19.463750000000001</v>
      </c>
      <c r="AE176" s="34">
        <v>45429</v>
      </c>
      <c r="AF176" s="35">
        <v>19.55789</v>
      </c>
      <c r="AG176" s="34">
        <v>45430</v>
      </c>
      <c r="AH176" s="35">
        <v>19.55789</v>
      </c>
      <c r="AI176" s="36">
        <v>1.5053577662224482E-2</v>
      </c>
      <c r="AK176" s="34">
        <v>45419</v>
      </c>
      <c r="AL176" s="35">
        <v>19.699110000000001</v>
      </c>
      <c r="AM176" s="34">
        <v>45433</v>
      </c>
      <c r="AN176" s="5">
        <v>20.739529999999998</v>
      </c>
      <c r="AP176" s="36">
        <v>5.2815584054304754E-2</v>
      </c>
      <c r="AS176" s="5" t="s">
        <v>12387</v>
      </c>
      <c r="AT176" s="5">
        <v>134.25</v>
      </c>
      <c r="AU176" s="5">
        <v>100</v>
      </c>
      <c r="AV176" s="5" t="s">
        <v>12400</v>
      </c>
      <c r="AW176" s="5" t="s">
        <v>12400</v>
      </c>
      <c r="AX176" s="5" t="s">
        <v>12400</v>
      </c>
      <c r="AZ176" s="49" t="s">
        <v>12423</v>
      </c>
      <c r="BA176" s="50" t="s">
        <v>12406</v>
      </c>
      <c r="BC176" s="51">
        <v>0.43991000000000002</v>
      </c>
    </row>
    <row r="177" spans="1:55" ht="15" customHeight="1" x14ac:dyDescent="0.4">
      <c r="A177" s="27" t="s">
        <v>11089</v>
      </c>
      <c r="B177" s="44" t="s">
        <v>12034</v>
      </c>
      <c r="C177" s="45" t="s">
        <v>11587</v>
      </c>
      <c r="D177" s="47">
        <v>0.35199999999999998</v>
      </c>
      <c r="E177" s="45" t="s">
        <v>12357</v>
      </c>
      <c r="F177" s="45"/>
      <c r="G177" s="9">
        <v>510.54642999999999</v>
      </c>
      <c r="H177" s="9">
        <v>72.266530000000003</v>
      </c>
      <c r="I177" s="9">
        <v>23.667300000000001</v>
      </c>
      <c r="J177" s="9">
        <v>533.83435999999995</v>
      </c>
      <c r="K177" s="9">
        <v>533.83435999999995</v>
      </c>
      <c r="L177" s="9">
        <v>34.368780000000001</v>
      </c>
      <c r="M177" s="9">
        <v>62.655760000000001</v>
      </c>
      <c r="N177" s="10" t="s">
        <v>12466</v>
      </c>
      <c r="P177" s="32">
        <v>45426</v>
      </c>
      <c r="R177" s="35">
        <v>1.3640600000000001</v>
      </c>
      <c r="S177" s="34">
        <v>45425</v>
      </c>
      <c r="T177" s="35">
        <v>1.3476900000000001</v>
      </c>
      <c r="U177" s="34">
        <v>45424</v>
      </c>
      <c r="V177" s="35">
        <v>1.3469800000000001</v>
      </c>
      <c r="W177" s="34">
        <v>45423</v>
      </c>
      <c r="X177" s="35">
        <v>1.3469800000000001</v>
      </c>
      <c r="Y177" s="34">
        <v>45422</v>
      </c>
      <c r="Z177" s="35">
        <v>1.3469800000000001</v>
      </c>
      <c r="AA177" s="34">
        <v>45427</v>
      </c>
      <c r="AB177" s="35">
        <v>1.4034599999999999</v>
      </c>
      <c r="AC177" s="34">
        <v>45428</v>
      </c>
      <c r="AD177" s="35">
        <v>1.4022399999999999</v>
      </c>
      <c r="AE177" s="34">
        <v>45429</v>
      </c>
      <c r="AF177" s="35">
        <v>1.4438500000000001</v>
      </c>
      <c r="AG177" s="34">
        <v>45430</v>
      </c>
      <c r="AH177" s="35">
        <v>1.4438500000000001</v>
      </c>
      <c r="AI177" s="36">
        <v>4.1381920174520692E-2</v>
      </c>
      <c r="AK177" s="34">
        <v>45419</v>
      </c>
      <c r="AL177" s="35">
        <v>1.3224899999999999</v>
      </c>
      <c r="AM177" s="34">
        <v>45433</v>
      </c>
      <c r="AN177" s="5">
        <v>1.5140400000000001</v>
      </c>
      <c r="AP177" s="36">
        <v>0.14484041467232278</v>
      </c>
      <c r="AS177" s="5" t="s">
        <v>12387</v>
      </c>
      <c r="AT177" s="5">
        <v>0.35199999999999998</v>
      </c>
      <c r="AU177" s="5">
        <v>100</v>
      </c>
      <c r="AV177" s="5" t="s">
        <v>12400</v>
      </c>
      <c r="AW177" s="5" t="s">
        <v>12400</v>
      </c>
      <c r="AX177" s="5" t="s">
        <v>12400</v>
      </c>
      <c r="AZ177" s="49" t="s">
        <v>12416</v>
      </c>
      <c r="BA177" s="50" t="s">
        <v>12416</v>
      </c>
      <c r="BC177" s="51">
        <v>1.3635699999999999</v>
      </c>
    </row>
    <row r="178" spans="1:55" ht="15" customHeight="1" x14ac:dyDescent="0.4">
      <c r="A178" s="27" t="s">
        <v>11130</v>
      </c>
      <c r="B178" s="44" t="s">
        <v>12077</v>
      </c>
      <c r="C178" s="45" t="s">
        <v>11588</v>
      </c>
      <c r="D178" s="46">
        <v>6.11</v>
      </c>
      <c r="E178" s="45" t="s">
        <v>12357</v>
      </c>
      <c r="F178" s="45"/>
      <c r="G178" s="9">
        <v>49.699779999999997</v>
      </c>
      <c r="H178" s="9" t="s">
        <v>11415</v>
      </c>
      <c r="I178" s="9" t="s">
        <v>11415</v>
      </c>
      <c r="J178" s="9">
        <v>419.71697</v>
      </c>
      <c r="K178" s="9">
        <v>419.71697</v>
      </c>
      <c r="L178" s="9">
        <v>144.22622000000001</v>
      </c>
      <c r="M178" s="9">
        <v>-45.36542</v>
      </c>
      <c r="N178" s="10" t="s">
        <v>12473</v>
      </c>
      <c r="P178" s="32">
        <v>45426</v>
      </c>
      <c r="R178" s="35">
        <v>4.3812199999999999</v>
      </c>
      <c r="S178" s="34">
        <v>45425</v>
      </c>
      <c r="T178" s="35">
        <v>4.4252599999999997</v>
      </c>
      <c r="U178" s="34">
        <v>45424</v>
      </c>
      <c r="V178" s="35">
        <v>4.4264900000000003</v>
      </c>
      <c r="W178" s="34">
        <v>45423</v>
      </c>
      <c r="X178" s="35">
        <v>4.4264900000000003</v>
      </c>
      <c r="Y178" s="34">
        <v>45422</v>
      </c>
      <c r="Z178" s="35">
        <v>4.4264900000000003</v>
      </c>
      <c r="AA178" s="34">
        <v>45427</v>
      </c>
      <c r="AB178" s="35">
        <v>4.4016999999999999</v>
      </c>
      <c r="AC178" s="34">
        <v>45428</v>
      </c>
      <c r="AD178" s="35">
        <v>4.3913000000000002</v>
      </c>
      <c r="AE178" s="34">
        <v>45429</v>
      </c>
      <c r="AF178" s="35">
        <v>4.4357499999999996</v>
      </c>
      <c r="AG178" s="34">
        <v>45430</v>
      </c>
      <c r="AH178" s="35">
        <v>4.4357499999999996</v>
      </c>
      <c r="AI178" s="36">
        <v>-5.3239809638303548E-3</v>
      </c>
      <c r="AK178" s="34">
        <v>45419</v>
      </c>
      <c r="AL178" s="35">
        <v>4.5057700000000001</v>
      </c>
      <c r="AM178" s="34">
        <v>45433</v>
      </c>
      <c r="AN178" s="5">
        <v>4.2236700000000003</v>
      </c>
      <c r="AP178" s="36">
        <v>-6.2608610736899495E-2</v>
      </c>
      <c r="AS178" s="5" t="s">
        <v>12392</v>
      </c>
      <c r="AT178" s="5">
        <v>1.71</v>
      </c>
      <c r="AU178" s="5">
        <v>28.03</v>
      </c>
      <c r="AV178" s="5" t="s">
        <v>12400</v>
      </c>
      <c r="AW178" s="5" t="s">
        <v>12400</v>
      </c>
      <c r="AX178" s="5">
        <v>71.97</v>
      </c>
      <c r="AZ178" s="49" t="s">
        <v>12416</v>
      </c>
      <c r="BA178" s="50" t="s">
        <v>12416</v>
      </c>
      <c r="BC178" s="51">
        <v>0.35272999999999999</v>
      </c>
    </row>
    <row r="179" spans="1:55" ht="15" customHeight="1" x14ac:dyDescent="0.4">
      <c r="A179" s="27" t="s">
        <v>11131</v>
      </c>
      <c r="B179" s="44" t="s">
        <v>12078</v>
      </c>
      <c r="C179" s="45" t="s">
        <v>11589</v>
      </c>
      <c r="D179" s="46">
        <v>248.81</v>
      </c>
      <c r="E179" s="45" t="s">
        <v>12357</v>
      </c>
      <c r="F179" s="45"/>
      <c r="G179" s="9">
        <v>137.43016</v>
      </c>
      <c r="H179" s="9">
        <v>1576.1569999999999</v>
      </c>
      <c r="I179" s="9">
        <v>20.510899999999999</v>
      </c>
      <c r="J179" s="9">
        <v>11348.513000000001</v>
      </c>
      <c r="K179" s="9">
        <v>11348.513000000001</v>
      </c>
      <c r="L179" s="9">
        <v>398.56099999999998</v>
      </c>
      <c r="M179" s="9">
        <v>3289.2359999999999</v>
      </c>
      <c r="N179" s="10" t="s">
        <v>12467</v>
      </c>
      <c r="P179" s="32">
        <v>45426</v>
      </c>
      <c r="R179" s="35">
        <v>183.71</v>
      </c>
      <c r="S179" s="34">
        <v>45425</v>
      </c>
      <c r="T179" s="35">
        <v>184.26</v>
      </c>
      <c r="U179" s="34">
        <v>45424</v>
      </c>
      <c r="V179" s="35">
        <v>185.55</v>
      </c>
      <c r="W179" s="34">
        <v>45423</v>
      </c>
      <c r="X179" s="35">
        <v>185.55</v>
      </c>
      <c r="Y179" s="34">
        <v>45422</v>
      </c>
      <c r="Z179" s="35">
        <v>185.55</v>
      </c>
      <c r="AA179" s="34">
        <v>45427</v>
      </c>
      <c r="AB179" s="35">
        <v>185.17</v>
      </c>
      <c r="AC179" s="34">
        <v>45428</v>
      </c>
      <c r="AD179" s="35">
        <v>184.14</v>
      </c>
      <c r="AE179" s="34">
        <v>45429</v>
      </c>
      <c r="AF179" s="35">
        <v>184.09</v>
      </c>
      <c r="AG179" s="34">
        <v>45430</v>
      </c>
      <c r="AH179" s="35">
        <v>184.09</v>
      </c>
      <c r="AI179" s="36">
        <v>4.9386736133723019E-3</v>
      </c>
      <c r="AK179" s="34">
        <v>45419</v>
      </c>
      <c r="AL179" s="35">
        <v>181.83</v>
      </c>
      <c r="AM179" s="34">
        <v>45433</v>
      </c>
      <c r="AN179" s="5">
        <v>186.06</v>
      </c>
      <c r="AP179" s="36">
        <v>2.3263487873288247E-2</v>
      </c>
      <c r="AS179" s="5" t="s">
        <v>12389</v>
      </c>
      <c r="AT179" s="5" t="s">
        <v>12400</v>
      </c>
      <c r="AU179" s="5" t="s">
        <v>12400</v>
      </c>
      <c r="AV179" s="5" t="s">
        <v>12400</v>
      </c>
      <c r="AW179" s="5" t="s">
        <v>12400</v>
      </c>
      <c r="AX179" s="5" t="s">
        <v>12400</v>
      </c>
      <c r="AZ179" s="49" t="s">
        <v>12416</v>
      </c>
      <c r="BA179" s="50" t="s">
        <v>12416</v>
      </c>
      <c r="BC179" s="51">
        <v>1.3086199999999999</v>
      </c>
    </row>
    <row r="180" spans="1:55" ht="15" customHeight="1" x14ac:dyDescent="0.4">
      <c r="A180" s="27" t="s">
        <v>11132</v>
      </c>
      <c r="B180" s="44" t="s">
        <v>12079</v>
      </c>
      <c r="C180" s="45" t="s">
        <v>11590</v>
      </c>
      <c r="D180" s="46">
        <v>6.9</v>
      </c>
      <c r="E180" s="45" t="s">
        <v>12357</v>
      </c>
      <c r="F180" s="45"/>
      <c r="G180" s="9">
        <v>8.7054500000000008</v>
      </c>
      <c r="H180" s="9">
        <v>-0.19616</v>
      </c>
      <c r="I180" s="9" t="s">
        <v>11413</v>
      </c>
      <c r="J180" s="9">
        <v>0.16177</v>
      </c>
      <c r="K180" s="9">
        <v>0.16177</v>
      </c>
      <c r="L180" s="9">
        <v>1.2700000000000001E-3</v>
      </c>
      <c r="M180" s="9">
        <v>0.88653000000000004</v>
      </c>
      <c r="N180" s="10" t="s">
        <v>12465</v>
      </c>
      <c r="P180" s="32">
        <v>45425</v>
      </c>
      <c r="R180" s="35">
        <v>0.18074999999999999</v>
      </c>
      <c r="S180" s="34">
        <v>45424</v>
      </c>
      <c r="T180" s="35">
        <v>0.1802</v>
      </c>
      <c r="U180" s="34">
        <v>45423</v>
      </c>
      <c r="V180" s="35">
        <v>0.1802</v>
      </c>
      <c r="W180" s="34">
        <v>45422</v>
      </c>
      <c r="X180" s="35">
        <v>0.1802</v>
      </c>
      <c r="Y180" s="34">
        <v>45421</v>
      </c>
      <c r="Z180" s="35">
        <v>0.1802</v>
      </c>
      <c r="AA180" s="34">
        <v>45426</v>
      </c>
      <c r="AB180" s="35">
        <v>0.18118999999999999</v>
      </c>
      <c r="AC180" s="34">
        <v>45427</v>
      </c>
      <c r="AD180" s="35">
        <v>0.18243000000000001</v>
      </c>
      <c r="AE180" s="34">
        <v>45428</v>
      </c>
      <c r="AF180" s="35">
        <v>0.18246000000000001</v>
      </c>
      <c r="AG180" s="34">
        <v>45429</v>
      </c>
      <c r="AH180" s="35">
        <v>0.18296999999999999</v>
      </c>
      <c r="AI180" s="36">
        <v>5.4938956714760678E-3</v>
      </c>
      <c r="AK180" s="34">
        <v>45418</v>
      </c>
      <c r="AL180" s="35">
        <v>0.18103</v>
      </c>
      <c r="AM180" s="34">
        <v>45432</v>
      </c>
      <c r="AN180" s="5">
        <v>0.18295</v>
      </c>
      <c r="AP180" s="36">
        <v>1.0605976909904502E-2</v>
      </c>
      <c r="AS180" s="5" t="s">
        <v>721</v>
      </c>
      <c r="AT180" s="5" t="s">
        <v>12400</v>
      </c>
      <c r="AU180" s="5" t="s">
        <v>12400</v>
      </c>
      <c r="AV180" s="5" t="s">
        <v>12400</v>
      </c>
      <c r="AW180" s="5" t="s">
        <v>12400</v>
      </c>
      <c r="AX180" s="5">
        <v>100</v>
      </c>
      <c r="AZ180" s="49" t="s">
        <v>12431</v>
      </c>
      <c r="BA180" s="50" t="s">
        <v>12415</v>
      </c>
      <c r="BC180" s="51">
        <v>0.33771000000000001</v>
      </c>
    </row>
    <row r="181" spans="1:55" ht="15" customHeight="1" x14ac:dyDescent="0.4">
      <c r="A181" s="27" t="s">
        <v>11133</v>
      </c>
      <c r="B181" s="44" t="s">
        <v>12080</v>
      </c>
      <c r="C181" s="45" t="s">
        <v>11591</v>
      </c>
      <c r="D181" s="46">
        <v>10.67</v>
      </c>
      <c r="E181" s="45" t="s">
        <v>12357</v>
      </c>
      <c r="F181" s="45"/>
      <c r="G181" s="9">
        <v>233.71038999999999</v>
      </c>
      <c r="H181" s="9">
        <v>28.016639999999999</v>
      </c>
      <c r="I181" s="9">
        <v>20.388300000000001</v>
      </c>
      <c r="J181" s="9">
        <v>132.56358</v>
      </c>
      <c r="K181" s="9">
        <v>132.56358</v>
      </c>
      <c r="L181" s="9">
        <v>19.041609999999999</v>
      </c>
      <c r="M181" s="9">
        <v>-6.7919099999999997</v>
      </c>
      <c r="N181" s="10" t="s">
        <v>12473</v>
      </c>
      <c r="P181" s="32">
        <v>45425</v>
      </c>
      <c r="R181" s="35">
        <v>1.59727</v>
      </c>
      <c r="S181" s="34">
        <v>45424</v>
      </c>
      <c r="T181" s="35">
        <v>1.57054</v>
      </c>
      <c r="U181" s="34">
        <v>45423</v>
      </c>
      <c r="V181" s="35">
        <v>1.57054</v>
      </c>
      <c r="W181" s="34">
        <v>45422</v>
      </c>
      <c r="X181" s="35">
        <v>1.57054</v>
      </c>
      <c r="Y181" s="34">
        <v>45421</v>
      </c>
      <c r="Z181" s="35">
        <v>1.5454699999999999</v>
      </c>
      <c r="AA181" s="34">
        <v>45426</v>
      </c>
      <c r="AB181" s="35">
        <v>1.6042799999999999</v>
      </c>
      <c r="AC181" s="34">
        <v>45427</v>
      </c>
      <c r="AD181" s="35">
        <v>1.6215900000000001</v>
      </c>
      <c r="AE181" s="34">
        <v>45428</v>
      </c>
      <c r="AF181" s="35">
        <v>1.62188</v>
      </c>
      <c r="AG181" s="34">
        <v>45429</v>
      </c>
      <c r="AH181" s="35">
        <v>1.82331</v>
      </c>
      <c r="AI181" s="36">
        <v>2.1483056783017318E-2</v>
      </c>
      <c r="AK181" s="34">
        <v>45418</v>
      </c>
      <c r="AL181" s="35">
        <v>1.5085599999999999</v>
      </c>
      <c r="AM181" s="34">
        <v>45432</v>
      </c>
      <c r="AN181" s="5">
        <v>1.83585</v>
      </c>
      <c r="AP181" s="36">
        <v>0.21695524208516748</v>
      </c>
      <c r="AS181" s="5" t="s">
        <v>12389</v>
      </c>
      <c r="AT181" s="5">
        <v>7.03</v>
      </c>
      <c r="AU181" s="5">
        <v>65.88</v>
      </c>
      <c r="AV181" s="5" t="s">
        <v>12400</v>
      </c>
      <c r="AW181" s="5" t="s">
        <v>12400</v>
      </c>
      <c r="AX181" s="5">
        <v>34.119999999999997</v>
      </c>
      <c r="AZ181" s="49" t="s">
        <v>12415</v>
      </c>
      <c r="BA181" s="50" t="s">
        <v>12415</v>
      </c>
      <c r="BC181" s="51">
        <v>0.31035000000000001</v>
      </c>
    </row>
    <row r="182" spans="1:55" ht="15" customHeight="1" x14ac:dyDescent="0.4">
      <c r="A182" s="27" t="s">
        <v>11134</v>
      </c>
      <c r="B182" s="44" t="s">
        <v>12081</v>
      </c>
      <c r="C182" s="45" t="s">
        <v>11592</v>
      </c>
      <c r="D182" s="46">
        <v>12.39</v>
      </c>
      <c r="E182" s="45" t="s">
        <v>12358</v>
      </c>
      <c r="F182" s="45"/>
      <c r="G182" s="9">
        <v>51.160200000000003</v>
      </c>
      <c r="H182" s="9">
        <v>20.81589</v>
      </c>
      <c r="I182" s="9">
        <v>5.9523000000000001</v>
      </c>
      <c r="J182" s="9">
        <v>282.86345</v>
      </c>
      <c r="K182" s="9">
        <v>282.86345</v>
      </c>
      <c r="L182" s="9">
        <v>97.522729999999996</v>
      </c>
      <c r="M182" s="9">
        <v>-84.774619999999999</v>
      </c>
      <c r="N182" s="10" t="s">
        <v>12474</v>
      </c>
      <c r="P182" s="32">
        <v>45425</v>
      </c>
      <c r="R182" s="35">
        <v>2.6119699999999999</v>
      </c>
      <c r="S182" s="34">
        <v>45424</v>
      </c>
      <c r="T182" s="35">
        <v>2.5596399999999999</v>
      </c>
      <c r="U182" s="34">
        <v>45423</v>
      </c>
      <c r="V182" s="35">
        <v>2.5596399999999999</v>
      </c>
      <c r="W182" s="34">
        <v>45422</v>
      </c>
      <c r="X182" s="35">
        <v>2.5596399999999999</v>
      </c>
      <c r="Y182" s="34">
        <v>45421</v>
      </c>
      <c r="Z182" s="35">
        <v>2.56392</v>
      </c>
      <c r="AA182" s="34">
        <v>45426</v>
      </c>
      <c r="AB182" s="35">
        <v>2.3845900000000002</v>
      </c>
      <c r="AC182" s="34">
        <v>45427</v>
      </c>
      <c r="AD182" s="35">
        <v>2.2669600000000001</v>
      </c>
      <c r="AE182" s="34">
        <v>45428</v>
      </c>
      <c r="AF182" s="35">
        <v>2.2928799999999998</v>
      </c>
      <c r="AG182" s="34">
        <v>45429</v>
      </c>
      <c r="AH182" s="35">
        <v>2.3031999999999999</v>
      </c>
      <c r="AI182" s="36">
        <v>-6.8388523386101019E-2</v>
      </c>
      <c r="AK182" s="34">
        <v>45418</v>
      </c>
      <c r="AL182" s="35">
        <v>2.6368299999999998</v>
      </c>
      <c r="AM182" s="34">
        <v>45432</v>
      </c>
      <c r="AN182" s="5">
        <v>2.3003499999999999</v>
      </c>
      <c r="AP182" s="36">
        <v>-0.12760777145284297</v>
      </c>
      <c r="AS182" s="5" t="s">
        <v>721</v>
      </c>
      <c r="AT182" s="5" t="s">
        <v>12400</v>
      </c>
      <c r="AU182" s="5" t="s">
        <v>12400</v>
      </c>
      <c r="AV182" s="5" t="s">
        <v>12400</v>
      </c>
      <c r="AW182" s="5" t="s">
        <v>12400</v>
      </c>
      <c r="AX182" s="5">
        <v>100</v>
      </c>
      <c r="AZ182" s="49" t="s">
        <v>12423</v>
      </c>
      <c r="BA182" s="50" t="s">
        <v>12412</v>
      </c>
      <c r="BC182" s="51">
        <v>0.56433999999999995</v>
      </c>
    </row>
    <row r="183" spans="1:55" ht="15" customHeight="1" x14ac:dyDescent="0.4">
      <c r="A183" s="27" t="s">
        <v>11135</v>
      </c>
      <c r="B183" s="44" t="s">
        <v>12082</v>
      </c>
      <c r="C183" s="45" t="s">
        <v>11593</v>
      </c>
      <c r="D183" s="46">
        <v>5770.76</v>
      </c>
      <c r="E183" s="45" t="s">
        <v>12357</v>
      </c>
      <c r="F183" s="45"/>
      <c r="G183" s="9">
        <v>811.24230999999997</v>
      </c>
      <c r="H183" s="9">
        <v>1299.32464</v>
      </c>
      <c r="I183" s="9">
        <v>45.104999999999997</v>
      </c>
      <c r="J183" s="9">
        <v>12313.084999999999</v>
      </c>
      <c r="K183" s="9">
        <v>12313.084999999999</v>
      </c>
      <c r="L183" s="9">
        <v>276.29379999999998</v>
      </c>
      <c r="M183" s="9">
        <v>7354.0013200000003</v>
      </c>
      <c r="N183" s="10" t="s">
        <v>12472</v>
      </c>
      <c r="P183" s="32">
        <v>45425</v>
      </c>
      <c r="R183" s="35">
        <v>5.8121999999999998</v>
      </c>
      <c r="S183" s="34">
        <v>45424</v>
      </c>
      <c r="T183" s="35">
        <v>5.7296699999999996</v>
      </c>
      <c r="U183" s="34">
        <v>45423</v>
      </c>
      <c r="V183" s="35">
        <v>5.7296699999999996</v>
      </c>
      <c r="W183" s="34">
        <v>45422</v>
      </c>
      <c r="X183" s="35">
        <v>5.7296699999999996</v>
      </c>
      <c r="Y183" s="34">
        <v>45421</v>
      </c>
      <c r="Z183" s="35">
        <v>5.6782700000000004</v>
      </c>
      <c r="AA183" s="34">
        <v>45426</v>
      </c>
      <c r="AB183" s="35">
        <v>5.72804</v>
      </c>
      <c r="AC183" s="34">
        <v>45427</v>
      </c>
      <c r="AD183" s="35">
        <v>5.8634899999999996</v>
      </c>
      <c r="AE183" s="34">
        <v>45428</v>
      </c>
      <c r="AF183" s="35">
        <v>5.8695700000000004</v>
      </c>
      <c r="AG183" s="34">
        <v>45429</v>
      </c>
      <c r="AH183" s="35">
        <v>5.8871500000000001</v>
      </c>
      <c r="AI183" s="36">
        <v>-2.8448409768788707E-4</v>
      </c>
      <c r="AK183" s="34">
        <v>45418</v>
      </c>
      <c r="AL183" s="35">
        <v>5.6998199999999999</v>
      </c>
      <c r="AM183" s="34">
        <v>45432</v>
      </c>
      <c r="AN183" s="5">
        <v>5.4741</v>
      </c>
      <c r="AP183" s="36">
        <v>-3.9601250565807322E-2</v>
      </c>
      <c r="AS183" s="5" t="s">
        <v>12387</v>
      </c>
      <c r="AT183" s="5">
        <v>2238.92</v>
      </c>
      <c r="AU183" s="5">
        <v>100</v>
      </c>
      <c r="AV183" s="5" t="s">
        <v>12400</v>
      </c>
      <c r="AW183" s="5" t="s">
        <v>12400</v>
      </c>
      <c r="AX183" s="5" t="s">
        <v>12400</v>
      </c>
      <c r="AZ183" s="49" t="s">
        <v>12416</v>
      </c>
      <c r="BA183" s="50" t="s">
        <v>12416</v>
      </c>
      <c r="BC183" s="51">
        <v>0.65446000000000004</v>
      </c>
    </row>
    <row r="184" spans="1:55" ht="15" customHeight="1" x14ac:dyDescent="0.4">
      <c r="A184" s="27" t="s">
        <v>11015</v>
      </c>
      <c r="B184" s="44" t="s">
        <v>11960</v>
      </c>
      <c r="C184" s="45" t="s">
        <v>11594</v>
      </c>
      <c r="D184" s="46">
        <v>10.77</v>
      </c>
      <c r="E184" s="45" t="s">
        <v>12358</v>
      </c>
      <c r="F184" s="45"/>
      <c r="G184" s="9">
        <v>34.307720000000003</v>
      </c>
      <c r="H184" s="9">
        <v>20.997879999999999</v>
      </c>
      <c r="I184" s="9">
        <v>12.028700000000001</v>
      </c>
      <c r="J184" s="9">
        <v>83.738870000000006</v>
      </c>
      <c r="K184" s="9">
        <v>83.738870000000006</v>
      </c>
      <c r="L184" s="9">
        <v>31.942550000000001</v>
      </c>
      <c r="M184" s="9">
        <v>-26.58691</v>
      </c>
      <c r="N184" s="10" t="s">
        <v>12474</v>
      </c>
      <c r="P184" s="32">
        <v>45424</v>
      </c>
      <c r="R184" s="35">
        <v>7.3360599999999998</v>
      </c>
      <c r="S184" s="34">
        <v>45423</v>
      </c>
      <c r="T184" s="35">
        <v>7.3360599999999998</v>
      </c>
      <c r="U184" s="34">
        <v>45422</v>
      </c>
      <c r="V184" s="35">
        <v>7.3360599999999998</v>
      </c>
      <c r="W184" s="34">
        <v>45421</v>
      </c>
      <c r="X184" s="35">
        <v>7.4827399999999997</v>
      </c>
      <c r="Y184" s="34">
        <v>45420</v>
      </c>
      <c r="Z184" s="35">
        <v>7.4563899999999999</v>
      </c>
      <c r="AA184" s="34">
        <v>45425</v>
      </c>
      <c r="AB184" s="35">
        <v>7.6995899999999997</v>
      </c>
      <c r="AC184" s="34">
        <v>45426</v>
      </c>
      <c r="AD184" s="35">
        <v>7.5788500000000001</v>
      </c>
      <c r="AE184" s="34">
        <v>45427</v>
      </c>
      <c r="AF184" s="35">
        <v>7.7317999999999998</v>
      </c>
      <c r="AG184" s="34">
        <v>45428</v>
      </c>
      <c r="AH184" s="35">
        <v>7.7556799999999999</v>
      </c>
      <c r="AI184" s="36">
        <v>4.9553847705716692E-2</v>
      </c>
      <c r="AK184" s="34">
        <v>45417</v>
      </c>
      <c r="AL184" s="35">
        <v>6.7859999999999996</v>
      </c>
      <c r="AM184" s="34">
        <v>45431</v>
      </c>
      <c r="AN184" s="5">
        <v>7.6768000000000001</v>
      </c>
      <c r="AP184" s="36">
        <v>0.13127026230474503</v>
      </c>
      <c r="AS184" s="5" t="s">
        <v>12388</v>
      </c>
      <c r="AT184" s="5">
        <v>1.08</v>
      </c>
      <c r="AU184" s="5">
        <v>50</v>
      </c>
      <c r="AV184" s="5" t="s">
        <v>12400</v>
      </c>
      <c r="AW184" s="5" t="s">
        <v>12400</v>
      </c>
      <c r="AX184" s="5">
        <v>50</v>
      </c>
      <c r="AZ184" s="49" t="s">
        <v>12409</v>
      </c>
      <c r="BA184" s="50" t="s">
        <v>12436</v>
      </c>
      <c r="BC184" s="51">
        <v>1.2799400000000001</v>
      </c>
    </row>
    <row r="185" spans="1:55" ht="15" customHeight="1" x14ac:dyDescent="0.4">
      <c r="A185" s="27" t="s">
        <v>11136</v>
      </c>
      <c r="B185" s="44" t="s">
        <v>12083</v>
      </c>
      <c r="C185" s="45" t="s">
        <v>11595</v>
      </c>
      <c r="D185" s="46">
        <v>33.909999999999997</v>
      </c>
      <c r="E185" s="45" t="s">
        <v>12357</v>
      </c>
      <c r="F185" s="45"/>
      <c r="G185" s="9">
        <v>11.858320000000001</v>
      </c>
      <c r="H185" s="9">
        <v>50.687170000000002</v>
      </c>
      <c r="I185" s="9">
        <v>9.6981999999999999</v>
      </c>
      <c r="J185" s="9">
        <v>532.53219999999999</v>
      </c>
      <c r="K185" s="9">
        <v>532.53219999999999</v>
      </c>
      <c r="L185" s="9">
        <v>39.57732</v>
      </c>
      <c r="M185" s="9">
        <v>60.736159999999998</v>
      </c>
      <c r="N185" s="10" t="s">
        <v>12467</v>
      </c>
      <c r="P185" s="32">
        <v>45422</v>
      </c>
      <c r="R185" s="35">
        <v>40.87921</v>
      </c>
      <c r="S185" s="34">
        <v>45421</v>
      </c>
      <c r="T185" s="35">
        <v>39.548679999999997</v>
      </c>
      <c r="U185" s="34">
        <v>45420</v>
      </c>
      <c r="V185" s="35">
        <v>40.406910000000003</v>
      </c>
      <c r="W185" s="34">
        <v>45419</v>
      </c>
      <c r="X185" s="35">
        <v>40.807690000000001</v>
      </c>
      <c r="Y185" s="34">
        <v>45418</v>
      </c>
      <c r="Z185" s="35">
        <v>39.708629999999999</v>
      </c>
      <c r="AA185" s="34">
        <v>45423</v>
      </c>
      <c r="AB185" s="35">
        <v>40.87921</v>
      </c>
      <c r="AC185" s="34">
        <v>45424</v>
      </c>
      <c r="AD185" s="35">
        <v>40.87921</v>
      </c>
      <c r="AE185" s="34">
        <v>45425</v>
      </c>
      <c r="AF185" s="35">
        <v>40.914470000000001</v>
      </c>
      <c r="AG185" s="34">
        <v>45426</v>
      </c>
      <c r="AH185" s="35">
        <v>41.341569999999997</v>
      </c>
      <c r="AI185" s="36">
        <v>3.3642842188411848E-2</v>
      </c>
      <c r="AK185" s="34">
        <v>45415</v>
      </c>
      <c r="AL185" s="35">
        <v>39.185879999999997</v>
      </c>
      <c r="AM185" s="34">
        <v>45429</v>
      </c>
      <c r="AN185" s="5">
        <v>42.636539999999997</v>
      </c>
      <c r="AP185" s="36">
        <v>8.80587599410807E-2</v>
      </c>
      <c r="AS185" s="5" t="s">
        <v>12387</v>
      </c>
      <c r="AT185" s="5">
        <v>27.62</v>
      </c>
      <c r="AU185" s="5">
        <v>100</v>
      </c>
      <c r="AV185" s="5" t="s">
        <v>12400</v>
      </c>
      <c r="AW185" s="5" t="s">
        <v>12400</v>
      </c>
      <c r="AX185" s="5" t="s">
        <v>12400</v>
      </c>
      <c r="AZ185" s="49" t="s">
        <v>12417</v>
      </c>
      <c r="BA185" s="50" t="s">
        <v>12415</v>
      </c>
      <c r="BC185" s="51">
        <v>0.74487999999999999</v>
      </c>
    </row>
    <row r="186" spans="1:55" ht="15" customHeight="1" x14ac:dyDescent="0.4">
      <c r="A186" s="27" t="s">
        <v>11137</v>
      </c>
      <c r="B186" s="44" t="s">
        <v>12084</v>
      </c>
      <c r="C186" s="45" t="s">
        <v>11596</v>
      </c>
      <c r="D186" s="46">
        <v>136.74</v>
      </c>
      <c r="E186" s="45" t="s">
        <v>12357</v>
      </c>
      <c r="F186" s="45"/>
      <c r="G186" s="9">
        <v>55.988759999999999</v>
      </c>
      <c r="H186" s="9">
        <v>120.2186</v>
      </c>
      <c r="I186" s="9">
        <v>6.9973000000000001</v>
      </c>
      <c r="J186" s="9">
        <v>1594.9597799999999</v>
      </c>
      <c r="K186" s="9">
        <v>1594.9597799999999</v>
      </c>
      <c r="L186" s="9">
        <v>61.948869999999999</v>
      </c>
      <c r="M186" s="9">
        <v>496.18761000000001</v>
      </c>
      <c r="N186" s="10" t="s">
        <v>12474</v>
      </c>
      <c r="P186" s="32">
        <v>45422</v>
      </c>
      <c r="R186" s="35">
        <v>11.12866</v>
      </c>
      <c r="S186" s="34">
        <v>45421</v>
      </c>
      <c r="T186" s="35">
        <v>10.934189999999999</v>
      </c>
      <c r="U186" s="34">
        <v>45420</v>
      </c>
      <c r="V186" s="35">
        <v>10.89568</v>
      </c>
      <c r="W186" s="34">
        <v>45419</v>
      </c>
      <c r="X186" s="35">
        <v>10.930680000000001</v>
      </c>
      <c r="Y186" s="34">
        <v>45418</v>
      </c>
      <c r="Z186" s="35">
        <v>10.79182</v>
      </c>
      <c r="AA186" s="34">
        <v>45423</v>
      </c>
      <c r="AB186" s="35">
        <v>11.12866</v>
      </c>
      <c r="AC186" s="34">
        <v>45424</v>
      </c>
      <c r="AD186" s="35">
        <v>11.12866</v>
      </c>
      <c r="AE186" s="34">
        <v>45425</v>
      </c>
      <c r="AF186" s="35">
        <v>11.08372</v>
      </c>
      <c r="AG186" s="34">
        <v>45426</v>
      </c>
      <c r="AH186" s="35">
        <v>11.312810000000001</v>
      </c>
      <c r="AI186" s="36">
        <v>1.7785496685168267E-2</v>
      </c>
      <c r="AK186" s="34">
        <v>45415</v>
      </c>
      <c r="AL186" s="35">
        <v>10.72058</v>
      </c>
      <c r="AM186" s="34">
        <v>45429</v>
      </c>
      <c r="AN186" s="5">
        <v>11.113619999999999</v>
      </c>
      <c r="AP186" s="36">
        <v>3.6662195515541063E-2</v>
      </c>
      <c r="AS186" s="5" t="s">
        <v>12387</v>
      </c>
      <c r="AT186" s="5">
        <v>0.751</v>
      </c>
      <c r="AU186" s="5">
        <v>100</v>
      </c>
      <c r="AV186" s="5" t="s">
        <v>12400</v>
      </c>
      <c r="AW186" s="5" t="s">
        <v>12400</v>
      </c>
      <c r="AX186" s="5" t="s">
        <v>12400</v>
      </c>
      <c r="AZ186" s="49" t="s">
        <v>12409</v>
      </c>
      <c r="BA186" s="50" t="s">
        <v>12425</v>
      </c>
      <c r="BC186" s="51">
        <v>1.1693899999999999</v>
      </c>
    </row>
    <row r="187" spans="1:55" ht="15" customHeight="1" x14ac:dyDescent="0.4">
      <c r="A187" s="27" t="s">
        <v>11138</v>
      </c>
      <c r="B187" s="44" t="s">
        <v>12085</v>
      </c>
      <c r="C187" s="45" t="s">
        <v>11597</v>
      </c>
      <c r="D187" s="46">
        <v>11.18</v>
      </c>
      <c r="E187" s="45" t="s">
        <v>12357</v>
      </c>
      <c r="F187" s="45"/>
      <c r="G187" s="9">
        <v>35.32788</v>
      </c>
      <c r="H187" s="9">
        <v>-82.311000000000007</v>
      </c>
      <c r="I187" s="9">
        <v>-11.3795</v>
      </c>
      <c r="J187" s="9">
        <v>4883.2839999999997</v>
      </c>
      <c r="K187" s="9">
        <v>4883.2839999999997</v>
      </c>
      <c r="L187" s="9">
        <v>614.54899999999998</v>
      </c>
      <c r="M187" s="9">
        <v>920.99699999999996</v>
      </c>
      <c r="N187" s="10" t="s">
        <v>12470</v>
      </c>
      <c r="P187" s="32">
        <v>45422</v>
      </c>
      <c r="R187" s="35">
        <v>39.26</v>
      </c>
      <c r="S187" s="34">
        <v>45421</v>
      </c>
      <c r="T187" s="35">
        <v>41.26</v>
      </c>
      <c r="U187" s="34">
        <v>45420</v>
      </c>
      <c r="V187" s="35">
        <v>39.82</v>
      </c>
      <c r="W187" s="34">
        <v>45419</v>
      </c>
      <c r="X187" s="35">
        <v>40.68</v>
      </c>
      <c r="Y187" s="34">
        <v>45418</v>
      </c>
      <c r="Z187" s="35">
        <v>40.74</v>
      </c>
      <c r="AA187" s="34">
        <v>45423</v>
      </c>
      <c r="AB187" s="35">
        <v>39.26</v>
      </c>
      <c r="AC187" s="34">
        <v>45424</v>
      </c>
      <c r="AD187" s="35">
        <v>39.26</v>
      </c>
      <c r="AE187" s="34">
        <v>45425</v>
      </c>
      <c r="AF187" s="35">
        <v>38.56</v>
      </c>
      <c r="AG187" s="34">
        <v>45426</v>
      </c>
      <c r="AH187" s="35">
        <v>38.01</v>
      </c>
      <c r="AI187" s="36">
        <v>-4.8473097430925871E-2</v>
      </c>
      <c r="AK187" s="34">
        <v>45415</v>
      </c>
      <c r="AL187" s="35">
        <v>40.51</v>
      </c>
      <c r="AM187" s="34">
        <v>45429</v>
      </c>
      <c r="AN187" s="5">
        <v>36.04</v>
      </c>
      <c r="AP187" s="36">
        <v>-0.11034312515428291</v>
      </c>
      <c r="AS187" s="5" t="s">
        <v>12387</v>
      </c>
      <c r="AT187" s="5">
        <v>11.18</v>
      </c>
      <c r="AU187" s="5">
        <v>100</v>
      </c>
      <c r="AV187" s="5" t="s">
        <v>12400</v>
      </c>
      <c r="AW187" s="5" t="s">
        <v>12400</v>
      </c>
      <c r="AX187" s="5" t="s">
        <v>12400</v>
      </c>
      <c r="AZ187" s="49" t="s">
        <v>12403</v>
      </c>
      <c r="BA187" s="50" t="s">
        <v>12406</v>
      </c>
      <c r="BC187" s="51">
        <v>1.7839499999999999</v>
      </c>
    </row>
    <row r="188" spans="1:55" ht="15" customHeight="1" x14ac:dyDescent="0.4">
      <c r="A188" s="27" t="s">
        <v>11139</v>
      </c>
      <c r="B188" s="44" t="s">
        <v>12086</v>
      </c>
      <c r="C188" s="45" t="s">
        <v>11598</v>
      </c>
      <c r="D188" s="46">
        <v>433.14</v>
      </c>
      <c r="E188" s="45" t="s">
        <v>12358</v>
      </c>
      <c r="F188" s="45"/>
      <c r="G188" s="9">
        <v>25.98339</v>
      </c>
      <c r="H188" s="9">
        <v>0</v>
      </c>
      <c r="I188" s="9">
        <v>0</v>
      </c>
      <c r="J188" s="9">
        <v>366.64098000000001</v>
      </c>
      <c r="K188" s="9">
        <v>366.64098000000001</v>
      </c>
      <c r="L188" s="9">
        <v>5.8016100000000002</v>
      </c>
      <c r="M188" s="9">
        <v>62.198390000000003</v>
      </c>
      <c r="N188" s="10" t="s">
        <v>12473</v>
      </c>
      <c r="P188" s="32">
        <v>45421</v>
      </c>
      <c r="R188" s="35">
        <v>10.42</v>
      </c>
      <c r="S188" s="34">
        <v>45420</v>
      </c>
      <c r="T188" s="35">
        <v>10.41</v>
      </c>
      <c r="U188" s="34">
        <v>45419</v>
      </c>
      <c r="V188" s="35">
        <v>10.42</v>
      </c>
      <c r="W188" s="34">
        <v>45418</v>
      </c>
      <c r="X188" s="35">
        <v>10.33</v>
      </c>
      <c r="Y188" s="34">
        <v>45417</v>
      </c>
      <c r="Z188" s="35">
        <v>10.29</v>
      </c>
      <c r="AA188" s="34">
        <v>45422</v>
      </c>
      <c r="AB188" s="35">
        <v>10.44</v>
      </c>
      <c r="AC188" s="34">
        <v>45423</v>
      </c>
      <c r="AD188" s="35">
        <v>10.44</v>
      </c>
      <c r="AE188" s="34">
        <v>45424</v>
      </c>
      <c r="AF188" s="35">
        <v>10.44</v>
      </c>
      <c r="AG188" s="34">
        <v>45425</v>
      </c>
      <c r="AH188" s="35">
        <v>10.435</v>
      </c>
      <c r="AI188" s="36">
        <v>2.8818443804032867E-3</v>
      </c>
      <c r="AK188" s="34">
        <v>45414</v>
      </c>
      <c r="AL188" s="35">
        <v>10.31</v>
      </c>
      <c r="AM188" s="34">
        <v>45428</v>
      </c>
      <c r="AN188" s="5">
        <v>10.52</v>
      </c>
      <c r="AP188" s="36">
        <v>2.0368574199805867E-2</v>
      </c>
      <c r="AS188" s="5" t="s">
        <v>12387</v>
      </c>
      <c r="AT188" s="5">
        <v>309.23</v>
      </c>
      <c r="AU188" s="5">
        <v>100</v>
      </c>
      <c r="AV188" s="5" t="s">
        <v>12400</v>
      </c>
      <c r="AW188" s="5" t="s">
        <v>12400</v>
      </c>
      <c r="AX188" s="5" t="s">
        <v>12400</v>
      </c>
      <c r="AZ188" s="49" t="s">
        <v>12416</v>
      </c>
      <c r="BA188" s="50" t="s">
        <v>12416</v>
      </c>
      <c r="BC188" s="51">
        <v>0.32156000000000001</v>
      </c>
    </row>
    <row r="189" spans="1:55" ht="15" customHeight="1" x14ac:dyDescent="0.4">
      <c r="A189" s="27" t="s">
        <v>11140</v>
      </c>
      <c r="B189" s="44" t="s">
        <v>12087</v>
      </c>
      <c r="C189" s="45" t="s">
        <v>11599</v>
      </c>
      <c r="D189" s="46">
        <v>6.69</v>
      </c>
      <c r="E189" s="45" t="s">
        <v>12357</v>
      </c>
      <c r="F189" s="45"/>
      <c r="G189" s="9">
        <v>605.56404999999995</v>
      </c>
      <c r="H189" s="9">
        <v>-173.74625</v>
      </c>
      <c r="I189" s="9">
        <v>-13.0649</v>
      </c>
      <c r="J189" s="9">
        <v>4913.3230000000003</v>
      </c>
      <c r="K189" s="9">
        <v>4913.3230000000003</v>
      </c>
      <c r="L189" s="9">
        <v>2193.3870000000002</v>
      </c>
      <c r="M189" s="9">
        <v>-2953.134</v>
      </c>
      <c r="N189" s="10" t="s">
        <v>12474</v>
      </c>
      <c r="P189" s="32">
        <v>45420</v>
      </c>
      <c r="R189" s="35">
        <v>12.94</v>
      </c>
      <c r="S189" s="34">
        <v>45419</v>
      </c>
      <c r="T189" s="35">
        <v>12.8</v>
      </c>
      <c r="U189" s="34">
        <v>45418</v>
      </c>
      <c r="V189" s="35">
        <v>13.14</v>
      </c>
      <c r="W189" s="34">
        <v>45417</v>
      </c>
      <c r="X189" s="35">
        <v>13.18</v>
      </c>
      <c r="Y189" s="34">
        <v>45416</v>
      </c>
      <c r="Z189" s="35">
        <v>13.18</v>
      </c>
      <c r="AA189" s="34">
        <v>45421</v>
      </c>
      <c r="AB189" s="35">
        <v>13.79</v>
      </c>
      <c r="AC189" s="34">
        <v>45422</v>
      </c>
      <c r="AD189" s="35">
        <v>13.42</v>
      </c>
      <c r="AE189" s="34">
        <v>45423</v>
      </c>
      <c r="AF189" s="35">
        <v>13.42</v>
      </c>
      <c r="AG189" s="34">
        <v>45424</v>
      </c>
      <c r="AH189" s="35">
        <v>13.42</v>
      </c>
      <c r="AI189" s="36">
        <v>7.7343749999999822E-2</v>
      </c>
      <c r="AK189" s="34">
        <v>45413</v>
      </c>
      <c r="AL189" s="35">
        <v>11.88</v>
      </c>
      <c r="AM189" s="34">
        <v>45427</v>
      </c>
      <c r="AN189" s="5">
        <v>13.12</v>
      </c>
      <c r="AP189" s="36">
        <v>0.10437710437710424</v>
      </c>
      <c r="AS189" s="5" t="s">
        <v>12387</v>
      </c>
      <c r="AT189" s="5">
        <v>6.69</v>
      </c>
      <c r="AU189" s="5">
        <v>100</v>
      </c>
      <c r="AV189" s="5" t="s">
        <v>12400</v>
      </c>
      <c r="AW189" s="5" t="s">
        <v>12400</v>
      </c>
      <c r="AX189" s="5" t="s">
        <v>12400</v>
      </c>
      <c r="AZ189" s="49" t="s">
        <v>12403</v>
      </c>
      <c r="BA189" s="50" t="s">
        <v>12413</v>
      </c>
      <c r="BC189" s="51">
        <v>5.4219999999999997E-2</v>
      </c>
    </row>
    <row r="190" spans="1:55" ht="15" customHeight="1" x14ac:dyDescent="0.4">
      <c r="A190" s="27" t="s">
        <v>11141</v>
      </c>
      <c r="B190" s="44" t="s">
        <v>12088</v>
      </c>
      <c r="C190" s="45" t="s">
        <v>11600</v>
      </c>
      <c r="D190" s="46">
        <v>1.28</v>
      </c>
      <c r="E190" s="45" t="s">
        <v>12357</v>
      </c>
      <c r="F190" s="45"/>
      <c r="G190" s="9">
        <v>34.663490000000003</v>
      </c>
      <c r="H190" s="9">
        <v>9.7576900000000002</v>
      </c>
      <c r="I190" s="9">
        <v>13.5663</v>
      </c>
      <c r="J190" s="9">
        <v>74.499139999999997</v>
      </c>
      <c r="K190" s="9">
        <v>74.499139999999997</v>
      </c>
      <c r="L190" s="9">
        <v>6.0229600000000003</v>
      </c>
      <c r="M190" s="9">
        <v>10.01732</v>
      </c>
      <c r="N190" s="10" t="s">
        <v>12468</v>
      </c>
      <c r="P190" s="32">
        <v>45420</v>
      </c>
      <c r="R190" s="35">
        <v>3.4759799999999998</v>
      </c>
      <c r="S190" s="34">
        <v>45419</v>
      </c>
      <c r="T190" s="35">
        <v>3.5048499999999998</v>
      </c>
      <c r="U190" s="34">
        <v>45418</v>
      </c>
      <c r="V190" s="35">
        <v>3.5078</v>
      </c>
      <c r="W190" s="34">
        <v>45417</v>
      </c>
      <c r="X190" s="35">
        <v>3.5087199999999998</v>
      </c>
      <c r="Y190" s="34">
        <v>45416</v>
      </c>
      <c r="Z190" s="35">
        <v>3.5087199999999998</v>
      </c>
      <c r="AA190" s="34">
        <v>45421</v>
      </c>
      <c r="AB190" s="35">
        <v>3.48827</v>
      </c>
      <c r="AC190" s="34">
        <v>45422</v>
      </c>
      <c r="AD190" s="35">
        <v>3.4973200000000002</v>
      </c>
      <c r="AE190" s="34">
        <v>45423</v>
      </c>
      <c r="AF190" s="35">
        <v>3.4973200000000002</v>
      </c>
      <c r="AG190" s="34">
        <v>45424</v>
      </c>
      <c r="AH190" s="35">
        <v>3.4973200000000002</v>
      </c>
      <c r="AI190" s="36">
        <v>-4.7305876143058923E-3</v>
      </c>
      <c r="AK190" s="34">
        <v>45413</v>
      </c>
      <c r="AL190" s="35">
        <v>3.4542600000000001</v>
      </c>
      <c r="AM190" s="34">
        <v>45427</v>
      </c>
      <c r="AN190" s="5">
        <v>3.5476399999999999</v>
      </c>
      <c r="AP190" s="36">
        <v>2.7033286434721138E-2</v>
      </c>
      <c r="AS190" s="5" t="s">
        <v>12388</v>
      </c>
      <c r="AT190" s="5">
        <v>0.73399999999999999</v>
      </c>
      <c r="AU190" s="5">
        <v>72.73</v>
      </c>
      <c r="AV190" s="5" t="s">
        <v>12400</v>
      </c>
      <c r="AW190" s="5" t="s">
        <v>12400</v>
      </c>
      <c r="AX190" s="5">
        <v>27.27</v>
      </c>
      <c r="AZ190" s="49" t="s">
        <v>12409</v>
      </c>
      <c r="BA190" s="50" t="s">
        <v>12409</v>
      </c>
      <c r="BC190" s="51">
        <v>0.99112999999999996</v>
      </c>
    </row>
    <row r="191" spans="1:55" ht="15" customHeight="1" x14ac:dyDescent="0.4">
      <c r="A191" s="27" t="s">
        <v>11142</v>
      </c>
      <c r="B191" s="44" t="s">
        <v>12089</v>
      </c>
      <c r="C191" s="45" t="s">
        <v>11601</v>
      </c>
      <c r="D191" s="46">
        <v>8.15</v>
      </c>
      <c r="E191" s="45" t="s">
        <v>12357</v>
      </c>
      <c r="F191" s="45"/>
      <c r="G191" s="9">
        <v>878.46591000000001</v>
      </c>
      <c r="H191" s="9">
        <v>0</v>
      </c>
      <c r="I191" s="9">
        <v>0</v>
      </c>
      <c r="J191" s="9">
        <v>0</v>
      </c>
      <c r="K191" s="9">
        <v>0</v>
      </c>
      <c r="L191" s="9">
        <v>0</v>
      </c>
      <c r="M191" s="9">
        <v>0</v>
      </c>
      <c r="N191" s="10" t="s">
        <v>12465</v>
      </c>
      <c r="P191" s="32">
        <v>45419</v>
      </c>
      <c r="R191" s="35">
        <v>0</v>
      </c>
      <c r="S191" s="34">
        <v>45418</v>
      </c>
      <c r="T191" s="35">
        <v>0</v>
      </c>
      <c r="U191" s="34">
        <v>45417</v>
      </c>
      <c r="V191" s="35">
        <v>0</v>
      </c>
      <c r="W191" s="34">
        <v>45416</v>
      </c>
      <c r="X191" s="35">
        <v>0</v>
      </c>
      <c r="Y191" s="34">
        <v>45415</v>
      </c>
      <c r="Z191" s="35">
        <v>0</v>
      </c>
      <c r="AA191" s="34">
        <v>45420</v>
      </c>
      <c r="AB191" s="35">
        <v>0</v>
      </c>
      <c r="AC191" s="34">
        <v>45421</v>
      </c>
      <c r="AD191" s="35">
        <v>0</v>
      </c>
      <c r="AE191" s="34">
        <v>45422</v>
      </c>
      <c r="AF191" s="35">
        <v>0</v>
      </c>
      <c r="AG191" s="34">
        <v>45423</v>
      </c>
      <c r="AH191" s="35">
        <v>0</v>
      </c>
      <c r="AI191" s="36" t="s">
        <v>318</v>
      </c>
      <c r="AK191" s="34">
        <v>45412</v>
      </c>
      <c r="AL191" s="35">
        <v>0</v>
      </c>
      <c r="AM191" s="34">
        <v>45426</v>
      </c>
      <c r="AN191" s="5">
        <v>0</v>
      </c>
      <c r="AP191" s="36" t="s">
        <v>318</v>
      </c>
      <c r="AS191" s="5" t="s">
        <v>12387</v>
      </c>
      <c r="AT191" s="5">
        <v>8.15</v>
      </c>
      <c r="AU191" s="5">
        <v>100</v>
      </c>
      <c r="AV191" s="5" t="s">
        <v>12400</v>
      </c>
      <c r="AW191" s="5" t="s">
        <v>12400</v>
      </c>
      <c r="AX191" s="5" t="s">
        <v>12400</v>
      </c>
      <c r="AZ191" s="49" t="s">
        <v>12415</v>
      </c>
      <c r="BA191" s="50" t="s">
        <v>12415</v>
      </c>
      <c r="BC191" s="51">
        <v>62.661430000000003</v>
      </c>
    </row>
    <row r="192" spans="1:55" ht="15" customHeight="1" x14ac:dyDescent="0.4">
      <c r="A192" s="27" t="s">
        <v>11143</v>
      </c>
      <c r="B192" s="44" t="s">
        <v>12090</v>
      </c>
      <c r="C192" s="45" t="s">
        <v>11602</v>
      </c>
      <c r="D192" s="47">
        <v>0.878</v>
      </c>
      <c r="E192" s="45" t="s">
        <v>12357</v>
      </c>
      <c r="F192" s="45"/>
      <c r="G192" s="9">
        <v>309.03363000000002</v>
      </c>
      <c r="H192" s="9">
        <v>-2.4965600000000001</v>
      </c>
      <c r="I192" s="9">
        <v>-36.676600000000001</v>
      </c>
      <c r="J192" s="9">
        <v>6.1420500000000002</v>
      </c>
      <c r="K192" s="9">
        <v>6.1420500000000002</v>
      </c>
      <c r="L192" s="9">
        <v>2.5449600000000001</v>
      </c>
      <c r="M192" s="9">
        <v>-1.26102</v>
      </c>
      <c r="N192" s="10" t="s">
        <v>12465</v>
      </c>
      <c r="P192" s="32">
        <v>45419</v>
      </c>
      <c r="R192" s="35">
        <v>0.13170000000000001</v>
      </c>
      <c r="S192" s="34">
        <v>45418</v>
      </c>
      <c r="T192" s="35">
        <v>0.12257</v>
      </c>
      <c r="U192" s="34">
        <v>45417</v>
      </c>
      <c r="V192" s="35">
        <v>0.12237000000000001</v>
      </c>
      <c r="W192" s="34">
        <v>45416</v>
      </c>
      <c r="X192" s="35">
        <v>0.12237000000000001</v>
      </c>
      <c r="Y192" s="34">
        <v>45415</v>
      </c>
      <c r="Z192" s="35">
        <v>0.12237000000000001</v>
      </c>
      <c r="AA192" s="34">
        <v>45420</v>
      </c>
      <c r="AB192" s="35">
        <v>0.12493</v>
      </c>
      <c r="AC192" s="34">
        <v>45421</v>
      </c>
      <c r="AD192" s="35">
        <v>0.12514</v>
      </c>
      <c r="AE192" s="34">
        <v>45422</v>
      </c>
      <c r="AF192" s="35">
        <v>0.12200999999999999</v>
      </c>
      <c r="AG192" s="34">
        <v>45423</v>
      </c>
      <c r="AH192" s="35">
        <v>0.12200999999999999</v>
      </c>
      <c r="AI192" s="36">
        <v>1.9254303663212902E-2</v>
      </c>
      <c r="AK192" s="34">
        <v>45412</v>
      </c>
      <c r="AL192" s="35">
        <v>0.12525</v>
      </c>
      <c r="AM192" s="34">
        <v>45426</v>
      </c>
      <c r="AN192" s="5">
        <v>0.12268</v>
      </c>
      <c r="AP192" s="36">
        <v>-2.0518962075848357E-2</v>
      </c>
      <c r="AS192" s="5" t="s">
        <v>12392</v>
      </c>
      <c r="AT192" s="5" t="s">
        <v>12400</v>
      </c>
      <c r="AU192" s="5" t="s">
        <v>12400</v>
      </c>
      <c r="AV192" s="5" t="s">
        <v>12400</v>
      </c>
      <c r="AW192" s="5" t="s">
        <v>12400</v>
      </c>
      <c r="AX192" s="5">
        <v>100</v>
      </c>
      <c r="AZ192" s="49" t="s">
        <v>12415</v>
      </c>
      <c r="BA192" s="50" t="s">
        <v>12415</v>
      </c>
      <c r="BC192" s="51">
        <v>0.18887999999999999</v>
      </c>
    </row>
    <row r="193" spans="1:55" ht="15" customHeight="1" x14ac:dyDescent="0.4">
      <c r="A193" s="27" t="s">
        <v>11144</v>
      </c>
      <c r="B193" s="44" t="s">
        <v>12091</v>
      </c>
      <c r="C193" s="45" t="s">
        <v>11603</v>
      </c>
      <c r="D193" s="46">
        <v>325.54000000000002</v>
      </c>
      <c r="E193" s="45" t="s">
        <v>12357</v>
      </c>
      <c r="F193" s="45"/>
      <c r="G193" s="9">
        <v>501.79674999999997</v>
      </c>
      <c r="H193" s="9">
        <v>348.73439000000002</v>
      </c>
      <c r="I193" s="9">
        <v>50.119100000000003</v>
      </c>
      <c r="J193" s="9">
        <v>18064.109639999999</v>
      </c>
      <c r="K193" s="9">
        <v>18064.109639999999</v>
      </c>
      <c r="L193" s="9">
        <v>816.18215999999995</v>
      </c>
      <c r="M193" s="9">
        <v>-402.67491999999999</v>
      </c>
      <c r="N193" s="10" t="s">
        <v>12473</v>
      </c>
      <c r="P193" s="32">
        <v>45419</v>
      </c>
      <c r="R193" s="35">
        <v>4.9692800000000004</v>
      </c>
      <c r="S193" s="34">
        <v>45418</v>
      </c>
      <c r="T193" s="35">
        <v>4.9014100000000003</v>
      </c>
      <c r="U193" s="34">
        <v>45417</v>
      </c>
      <c r="V193" s="35">
        <v>4.8227900000000004</v>
      </c>
      <c r="W193" s="34">
        <v>45416</v>
      </c>
      <c r="X193" s="35">
        <v>4.8227900000000004</v>
      </c>
      <c r="Y193" s="34">
        <v>45415</v>
      </c>
      <c r="Z193" s="35">
        <v>4.8227900000000004</v>
      </c>
      <c r="AA193" s="34">
        <v>45420</v>
      </c>
      <c r="AB193" s="35">
        <v>4.6878000000000002</v>
      </c>
      <c r="AC193" s="34">
        <v>45421</v>
      </c>
      <c r="AD193" s="35">
        <v>4.6999199999999997</v>
      </c>
      <c r="AE193" s="34">
        <v>45422</v>
      </c>
      <c r="AF193" s="35">
        <v>4.8303700000000003</v>
      </c>
      <c r="AG193" s="34">
        <v>45423</v>
      </c>
      <c r="AH193" s="35">
        <v>4.8303700000000003</v>
      </c>
      <c r="AI193" s="36">
        <v>-4.3581336799002779E-2</v>
      </c>
      <c r="AK193" s="34">
        <v>45412</v>
      </c>
      <c r="AL193" s="35">
        <v>4.6535500000000001</v>
      </c>
      <c r="AM193" s="34">
        <v>45426</v>
      </c>
      <c r="AN193" s="5">
        <v>4.7403700000000004</v>
      </c>
      <c r="AP193" s="36">
        <v>1.865672443618327E-2</v>
      </c>
      <c r="AS193" s="5" t="s">
        <v>12387</v>
      </c>
      <c r="AT193" s="5">
        <v>325.54000000000002</v>
      </c>
      <c r="AU193" s="5">
        <v>100</v>
      </c>
      <c r="AV193" s="5" t="s">
        <v>12400</v>
      </c>
      <c r="AW193" s="5" t="s">
        <v>12400</v>
      </c>
      <c r="AX193" s="5" t="s">
        <v>12400</v>
      </c>
      <c r="AZ193" s="49" t="s">
        <v>12411</v>
      </c>
      <c r="BA193" s="50" t="s">
        <v>12414</v>
      </c>
      <c r="BC193" s="51">
        <v>0.11117</v>
      </c>
    </row>
    <row r="194" spans="1:55" ht="15" customHeight="1" x14ac:dyDescent="0.4">
      <c r="A194" s="27" t="s">
        <v>11145</v>
      </c>
      <c r="B194" s="44" t="s">
        <v>12092</v>
      </c>
      <c r="C194" s="45" t="s">
        <v>11604</v>
      </c>
      <c r="D194" s="46">
        <v>53.9</v>
      </c>
      <c r="E194" s="45" t="s">
        <v>12357</v>
      </c>
      <c r="F194" s="45"/>
      <c r="G194" s="9">
        <v>9.8203200000000006</v>
      </c>
      <c r="H194" s="9">
        <v>28.71228</v>
      </c>
      <c r="I194" s="9">
        <v>9.0856999999999992</v>
      </c>
      <c r="J194" s="9">
        <v>266.86194</v>
      </c>
      <c r="K194" s="9">
        <v>266.86194</v>
      </c>
      <c r="L194" s="9">
        <v>55.971040000000002</v>
      </c>
      <c r="M194" s="9">
        <v>74.468890000000002</v>
      </c>
      <c r="N194" s="10" t="s">
        <v>12467</v>
      </c>
      <c r="P194" s="32">
        <v>45419</v>
      </c>
      <c r="R194" s="35">
        <v>22.63663</v>
      </c>
      <c r="S194" s="34">
        <v>45418</v>
      </c>
      <c r="T194" s="35">
        <v>22.62687</v>
      </c>
      <c r="U194" s="34">
        <v>45417</v>
      </c>
      <c r="V194" s="35">
        <v>22.622</v>
      </c>
      <c r="W194" s="34">
        <v>45416</v>
      </c>
      <c r="X194" s="35">
        <v>22.622</v>
      </c>
      <c r="Y194" s="34">
        <v>45415</v>
      </c>
      <c r="Z194" s="35">
        <v>22.622</v>
      </c>
      <c r="AA194" s="34">
        <v>45420</v>
      </c>
      <c r="AB194" s="35">
        <v>22.56851</v>
      </c>
      <c r="AC194" s="34">
        <v>45421</v>
      </c>
      <c r="AD194" s="35">
        <v>22.62687</v>
      </c>
      <c r="AE194" s="34">
        <v>45422</v>
      </c>
      <c r="AF194" s="35">
        <v>22.61712</v>
      </c>
      <c r="AG194" s="34">
        <v>45423</v>
      </c>
      <c r="AH194" s="35">
        <v>22.61712</v>
      </c>
      <c r="AI194" s="36">
        <v>-2.5792343351068725E-3</v>
      </c>
      <c r="AK194" s="34">
        <v>45412</v>
      </c>
      <c r="AL194" s="35">
        <v>22.455089999999998</v>
      </c>
      <c r="AM194" s="34">
        <v>45426</v>
      </c>
      <c r="AN194" s="5">
        <v>23.799219999999998</v>
      </c>
      <c r="AP194" s="36">
        <v>5.9858588854464712E-2</v>
      </c>
      <c r="AS194" s="5" t="s">
        <v>12387</v>
      </c>
      <c r="AT194" s="5">
        <v>53.9</v>
      </c>
      <c r="AU194" s="5">
        <v>100</v>
      </c>
      <c r="AV194" s="5" t="s">
        <v>12400</v>
      </c>
      <c r="AW194" s="5" t="s">
        <v>12400</v>
      </c>
      <c r="AX194" s="5" t="s">
        <v>12400</v>
      </c>
      <c r="AZ194" s="49" t="s">
        <v>12407</v>
      </c>
      <c r="BA194" s="50" t="s">
        <v>12432</v>
      </c>
      <c r="BC194" s="51">
        <v>0.58487</v>
      </c>
    </row>
    <row r="195" spans="1:55" ht="15" customHeight="1" x14ac:dyDescent="0.4">
      <c r="A195" s="27" t="s">
        <v>11146</v>
      </c>
      <c r="B195" s="44" t="s">
        <v>12093</v>
      </c>
      <c r="C195" s="45" t="s">
        <v>11605</v>
      </c>
      <c r="D195" s="46">
        <v>48.51</v>
      </c>
      <c r="E195" s="45" t="s">
        <v>12358</v>
      </c>
      <c r="F195" s="45"/>
      <c r="G195" s="9">
        <v>88.572339999999997</v>
      </c>
      <c r="H195" s="9">
        <v>9.5906099999999999</v>
      </c>
      <c r="I195" s="9">
        <v>12.118499999999999</v>
      </c>
      <c r="J195" s="9">
        <v>370.80829</v>
      </c>
      <c r="K195" s="9">
        <v>370.80829</v>
      </c>
      <c r="L195" s="9">
        <v>225.99847</v>
      </c>
      <c r="M195" s="9">
        <v>-218.90848</v>
      </c>
      <c r="N195" s="10" t="s">
        <v>12468</v>
      </c>
      <c r="P195" s="32">
        <v>45419</v>
      </c>
      <c r="R195" s="35">
        <v>10.25428</v>
      </c>
      <c r="S195" s="34">
        <v>45418</v>
      </c>
      <c r="T195" s="35">
        <v>10.25933</v>
      </c>
      <c r="U195" s="34">
        <v>45417</v>
      </c>
      <c r="V195" s="35">
        <v>9.7637099999999997</v>
      </c>
      <c r="W195" s="34">
        <v>45416</v>
      </c>
      <c r="X195" s="35">
        <v>9.7637099999999997</v>
      </c>
      <c r="Y195" s="34">
        <v>45415</v>
      </c>
      <c r="Z195" s="35">
        <v>9.7637099999999997</v>
      </c>
      <c r="AA195" s="34">
        <v>45420</v>
      </c>
      <c r="AB195" s="35">
        <v>10.08939</v>
      </c>
      <c r="AC195" s="34">
        <v>45421</v>
      </c>
      <c r="AD195" s="35">
        <v>10.450799999999999</v>
      </c>
      <c r="AE195" s="34">
        <v>45422</v>
      </c>
      <c r="AF195" s="35">
        <v>9.8124699999999994</v>
      </c>
      <c r="AG195" s="34">
        <v>45423</v>
      </c>
      <c r="AH195" s="35">
        <v>9.8124699999999994</v>
      </c>
      <c r="AI195" s="36">
        <v>-1.6564434519603211E-2</v>
      </c>
      <c r="AK195" s="34">
        <v>45412</v>
      </c>
      <c r="AL195" s="35">
        <v>9.7619600000000002</v>
      </c>
      <c r="AM195" s="34">
        <v>45426</v>
      </c>
      <c r="AN195" s="5">
        <v>9.0010399999999997</v>
      </c>
      <c r="AP195" s="36">
        <v>-7.794746137046249E-2</v>
      </c>
      <c r="AS195" s="5" t="s">
        <v>12387</v>
      </c>
      <c r="AT195" s="5">
        <v>48.51</v>
      </c>
      <c r="AU195" s="5">
        <v>100</v>
      </c>
      <c r="AV195" s="5" t="s">
        <v>12400</v>
      </c>
      <c r="AW195" s="5" t="s">
        <v>12400</v>
      </c>
      <c r="AX195" s="5" t="s">
        <v>12400</v>
      </c>
      <c r="AZ195" s="49" t="s">
        <v>12433</v>
      </c>
      <c r="BA195" s="50" t="s">
        <v>12404</v>
      </c>
      <c r="BC195" s="51">
        <v>1.0030399999999999</v>
      </c>
    </row>
    <row r="196" spans="1:55" ht="15" customHeight="1" x14ac:dyDescent="0.4">
      <c r="A196" s="27" t="s">
        <v>11147</v>
      </c>
      <c r="B196" s="44" t="s">
        <v>12094</v>
      </c>
      <c r="C196" s="45" t="s">
        <v>11606</v>
      </c>
      <c r="D196" s="46">
        <v>97.01</v>
      </c>
      <c r="E196" s="45" t="s">
        <v>12357</v>
      </c>
      <c r="F196" s="45"/>
      <c r="G196" s="9">
        <v>105.38624</v>
      </c>
      <c r="H196" s="9">
        <v>1.69282</v>
      </c>
      <c r="I196" s="9">
        <v>22.659800000000001</v>
      </c>
      <c r="J196" s="9">
        <v>28.714269999999999</v>
      </c>
      <c r="K196" s="9">
        <v>28.714269999999999</v>
      </c>
      <c r="L196" s="9">
        <v>1.06104</v>
      </c>
      <c r="M196" s="9">
        <v>1.9883299999999999</v>
      </c>
      <c r="N196" s="10" t="s">
        <v>12469</v>
      </c>
      <c r="P196" s="32">
        <v>45419</v>
      </c>
      <c r="R196" s="35">
        <v>0.17559</v>
      </c>
      <c r="S196" s="34">
        <v>45418</v>
      </c>
      <c r="T196" s="35">
        <v>0.17599999999999999</v>
      </c>
      <c r="U196" s="34">
        <v>45417</v>
      </c>
      <c r="V196" s="35">
        <v>0.17571000000000001</v>
      </c>
      <c r="W196" s="34">
        <v>45416</v>
      </c>
      <c r="X196" s="35">
        <v>0.17571000000000001</v>
      </c>
      <c r="Y196" s="34">
        <v>45415</v>
      </c>
      <c r="Z196" s="35">
        <v>0.17571000000000001</v>
      </c>
      <c r="AA196" s="34">
        <v>45420</v>
      </c>
      <c r="AB196" s="35">
        <v>0.17177999999999999</v>
      </c>
      <c r="AC196" s="34">
        <v>45421</v>
      </c>
      <c r="AD196" s="35">
        <v>0.17832000000000001</v>
      </c>
      <c r="AE196" s="34">
        <v>45422</v>
      </c>
      <c r="AF196" s="35">
        <v>0.18146000000000001</v>
      </c>
      <c r="AG196" s="34">
        <v>45423</v>
      </c>
      <c r="AH196" s="35">
        <v>0.18146000000000001</v>
      </c>
      <c r="AI196" s="36">
        <v>-2.3977272727272791E-2</v>
      </c>
      <c r="AK196" s="34">
        <v>45412</v>
      </c>
      <c r="AL196" s="35">
        <v>0.18473999999999999</v>
      </c>
      <c r="AM196" s="34">
        <v>45426</v>
      </c>
      <c r="AN196" s="5">
        <v>0.19188</v>
      </c>
      <c r="AP196" s="36">
        <v>3.8648911984410672E-2</v>
      </c>
      <c r="AS196" s="5" t="s">
        <v>12387</v>
      </c>
      <c r="AT196" s="5">
        <v>97.01</v>
      </c>
      <c r="AU196" s="5">
        <v>100</v>
      </c>
      <c r="AV196" s="5" t="s">
        <v>12400</v>
      </c>
      <c r="AW196" s="5" t="s">
        <v>12400</v>
      </c>
      <c r="AX196" s="5" t="s">
        <v>12400</v>
      </c>
      <c r="AZ196" s="49" t="s">
        <v>12434</v>
      </c>
      <c r="BA196" s="50" t="s">
        <v>12404</v>
      </c>
      <c r="BC196" s="51">
        <v>-9.7689999999999999E-2</v>
      </c>
    </row>
    <row r="197" spans="1:55" ht="15" customHeight="1" x14ac:dyDescent="0.4">
      <c r="A197" s="27" t="s">
        <v>11148</v>
      </c>
      <c r="B197" s="44" t="s">
        <v>12095</v>
      </c>
      <c r="C197" s="45" t="s">
        <v>11607</v>
      </c>
      <c r="D197" s="47">
        <v>0.755</v>
      </c>
      <c r="E197" s="45" t="s">
        <v>12357</v>
      </c>
      <c r="F197" s="45"/>
      <c r="G197" s="9">
        <v>15.509320000000001</v>
      </c>
      <c r="H197" s="9">
        <v>3.3132700000000002</v>
      </c>
      <c r="I197" s="9">
        <v>4.5979999999999999</v>
      </c>
      <c r="J197" s="9">
        <v>68.399469999999994</v>
      </c>
      <c r="K197" s="9">
        <v>68.399469999999994</v>
      </c>
      <c r="L197" s="9">
        <v>3.0342600000000002</v>
      </c>
      <c r="M197" s="9">
        <v>13.099299999999999</v>
      </c>
      <c r="N197" s="10" t="s">
        <v>12468</v>
      </c>
      <c r="P197" s="32">
        <v>45419</v>
      </c>
      <c r="R197" s="35">
        <v>3.6056900000000001</v>
      </c>
      <c r="S197" s="34">
        <v>45418</v>
      </c>
      <c r="T197" s="35">
        <v>3.4910000000000001</v>
      </c>
      <c r="U197" s="34">
        <v>45417</v>
      </c>
      <c r="V197" s="35">
        <v>3.5118</v>
      </c>
      <c r="W197" s="34">
        <v>45416</v>
      </c>
      <c r="X197" s="35">
        <v>3.5118</v>
      </c>
      <c r="Y197" s="34">
        <v>45415</v>
      </c>
      <c r="Z197" s="35">
        <v>3.5118</v>
      </c>
      <c r="AA197" s="34">
        <v>45420</v>
      </c>
      <c r="AB197" s="35">
        <v>3.5411100000000002</v>
      </c>
      <c r="AC197" s="34">
        <v>45421</v>
      </c>
      <c r="AD197" s="35">
        <v>3.5825900000000002</v>
      </c>
      <c r="AE197" s="34">
        <v>45422</v>
      </c>
      <c r="AF197" s="35">
        <v>3.52719</v>
      </c>
      <c r="AG197" s="34">
        <v>45423</v>
      </c>
      <c r="AH197" s="35">
        <v>3.52719</v>
      </c>
      <c r="AI197" s="36">
        <v>1.43540532798625E-2</v>
      </c>
      <c r="AK197" s="34">
        <v>45412</v>
      </c>
      <c r="AL197" s="35">
        <v>3.2025199999999998</v>
      </c>
      <c r="AM197" s="34">
        <v>45426</v>
      </c>
      <c r="AN197" s="5">
        <v>3.5211999999999999</v>
      </c>
      <c r="AP197" s="36">
        <v>9.9509136554962963E-2</v>
      </c>
      <c r="AS197" s="5" t="s">
        <v>12389</v>
      </c>
      <c r="AT197" s="5" t="s">
        <v>12400</v>
      </c>
      <c r="AU197" s="5" t="s">
        <v>12400</v>
      </c>
      <c r="AV197" s="5" t="s">
        <v>12400</v>
      </c>
      <c r="AW197" s="5" t="s">
        <v>12400</v>
      </c>
      <c r="AX197" s="5" t="s">
        <v>12400</v>
      </c>
      <c r="AZ197" s="49" t="s">
        <v>12416</v>
      </c>
      <c r="BA197" s="50" t="s">
        <v>12416</v>
      </c>
      <c r="BC197" s="51">
        <v>-0.25627</v>
      </c>
    </row>
    <row r="198" spans="1:55" ht="15" customHeight="1" x14ac:dyDescent="0.4">
      <c r="A198" s="27" t="s">
        <v>11147</v>
      </c>
      <c r="B198" s="44" t="s">
        <v>12094</v>
      </c>
      <c r="C198" s="45" t="s">
        <v>11608</v>
      </c>
      <c r="D198" s="46">
        <v>97.01</v>
      </c>
      <c r="E198" s="45" t="s">
        <v>12358</v>
      </c>
      <c r="F198" s="45"/>
      <c r="G198" s="9">
        <v>105.38624</v>
      </c>
      <c r="H198" s="9">
        <v>1.69282</v>
      </c>
      <c r="I198" s="9">
        <v>22.659800000000001</v>
      </c>
      <c r="J198" s="9">
        <v>28.714269999999999</v>
      </c>
      <c r="K198" s="9">
        <v>28.714269999999999</v>
      </c>
      <c r="L198" s="9">
        <v>1.06104</v>
      </c>
      <c r="M198" s="9">
        <v>1.9883299999999999</v>
      </c>
      <c r="N198" s="10" t="s">
        <v>12469</v>
      </c>
      <c r="P198" s="32">
        <v>45419</v>
      </c>
      <c r="R198" s="35">
        <v>0.17559</v>
      </c>
      <c r="S198" s="34">
        <v>45418</v>
      </c>
      <c r="T198" s="35">
        <v>0.17599999999999999</v>
      </c>
      <c r="U198" s="34">
        <v>45417</v>
      </c>
      <c r="V198" s="35">
        <v>0.17571000000000001</v>
      </c>
      <c r="W198" s="34">
        <v>45416</v>
      </c>
      <c r="X198" s="35">
        <v>0.17571000000000001</v>
      </c>
      <c r="Y198" s="34">
        <v>45415</v>
      </c>
      <c r="Z198" s="35">
        <v>0.17571000000000001</v>
      </c>
      <c r="AA198" s="34">
        <v>45420</v>
      </c>
      <c r="AB198" s="35">
        <v>0.17177999999999999</v>
      </c>
      <c r="AC198" s="34">
        <v>45421</v>
      </c>
      <c r="AD198" s="35">
        <v>0.17832000000000001</v>
      </c>
      <c r="AE198" s="34">
        <v>45422</v>
      </c>
      <c r="AF198" s="35">
        <v>0.18146000000000001</v>
      </c>
      <c r="AG198" s="34">
        <v>45423</v>
      </c>
      <c r="AH198" s="35">
        <v>0.18146000000000001</v>
      </c>
      <c r="AI198" s="36">
        <v>-2.3977272727272791E-2</v>
      </c>
      <c r="AK198" s="34">
        <v>45412</v>
      </c>
      <c r="AL198" s="35">
        <v>0.18473999999999999</v>
      </c>
      <c r="AM198" s="34">
        <v>45426</v>
      </c>
      <c r="AN198" s="5">
        <v>0.19188</v>
      </c>
      <c r="AP198" s="36">
        <v>3.8648911984410672E-2</v>
      </c>
      <c r="AS198" s="5" t="s">
        <v>12387</v>
      </c>
      <c r="AT198" s="5">
        <v>97.01</v>
      </c>
      <c r="AU198" s="5">
        <v>100</v>
      </c>
      <c r="AV198" s="5" t="s">
        <v>12400</v>
      </c>
      <c r="AW198" s="5" t="s">
        <v>12400</v>
      </c>
      <c r="AX198" s="5" t="s">
        <v>12400</v>
      </c>
      <c r="AZ198" s="49" t="s">
        <v>12434</v>
      </c>
      <c r="BA198" s="50" t="s">
        <v>12404</v>
      </c>
      <c r="BC198" s="51">
        <v>-9.7689999999999999E-2</v>
      </c>
    </row>
    <row r="199" spans="1:55" ht="15" customHeight="1" x14ac:dyDescent="0.4">
      <c r="A199" s="27" t="s">
        <v>11149</v>
      </c>
      <c r="B199" s="44" t="s">
        <v>12096</v>
      </c>
      <c r="C199" s="45" t="s">
        <v>11609</v>
      </c>
      <c r="D199" s="47">
        <v>0.54100000000000004</v>
      </c>
      <c r="E199" s="45" t="s">
        <v>12357</v>
      </c>
      <c r="F199" s="45"/>
      <c r="G199" s="9">
        <v>333.36466000000001</v>
      </c>
      <c r="H199" s="9">
        <v>-12.78556</v>
      </c>
      <c r="I199" s="9">
        <v>0</v>
      </c>
      <c r="J199" s="9">
        <v>410.78046000000001</v>
      </c>
      <c r="K199" s="9">
        <v>410.78046000000001</v>
      </c>
      <c r="L199" s="9">
        <v>201.78778</v>
      </c>
      <c r="M199" s="9">
        <v>-172.66077999999999</v>
      </c>
      <c r="N199" s="10" t="s">
        <v>12466</v>
      </c>
      <c r="P199" s="32">
        <v>45418</v>
      </c>
      <c r="R199" s="35">
        <v>3.1040700000000001</v>
      </c>
      <c r="S199" s="34">
        <v>45417</v>
      </c>
      <c r="T199" s="35">
        <v>3.0474700000000001</v>
      </c>
      <c r="U199" s="34">
        <v>45416</v>
      </c>
      <c r="V199" s="35">
        <v>3.0474700000000001</v>
      </c>
      <c r="W199" s="34">
        <v>45415</v>
      </c>
      <c r="X199" s="35">
        <v>3.0474700000000001</v>
      </c>
      <c r="Y199" s="34">
        <v>45414</v>
      </c>
      <c r="Z199" s="35">
        <v>3.0284</v>
      </c>
      <c r="AA199" s="34">
        <v>45419</v>
      </c>
      <c r="AB199" s="35">
        <v>3.0806499999999999</v>
      </c>
      <c r="AC199" s="34">
        <v>45420</v>
      </c>
      <c r="AD199" s="35">
        <v>3.0095700000000001</v>
      </c>
      <c r="AE199" s="34">
        <v>45421</v>
      </c>
      <c r="AF199" s="35">
        <v>3.13496</v>
      </c>
      <c r="AG199" s="34">
        <v>45422</v>
      </c>
      <c r="AH199" s="35">
        <v>3.11809</v>
      </c>
      <c r="AI199" s="36">
        <v>1.0887719977554999E-2</v>
      </c>
      <c r="AK199" s="34">
        <v>45411</v>
      </c>
      <c r="AL199" s="35">
        <v>3.194</v>
      </c>
      <c r="AM199" s="34">
        <v>45425</v>
      </c>
      <c r="AN199" s="5">
        <v>3.06968</v>
      </c>
      <c r="AP199" s="36">
        <v>-3.8922980588603662E-2</v>
      </c>
      <c r="AS199" s="5" t="s">
        <v>12389</v>
      </c>
      <c r="AT199" s="5" t="s">
        <v>12400</v>
      </c>
      <c r="AU199" s="5" t="s">
        <v>12400</v>
      </c>
      <c r="AV199" s="5" t="s">
        <v>12400</v>
      </c>
      <c r="AW199" s="5" t="s">
        <v>12400</v>
      </c>
      <c r="AX199" s="5" t="s">
        <v>12400</v>
      </c>
      <c r="AZ199" s="49" t="s">
        <v>12414</v>
      </c>
      <c r="BA199" s="50" t="s">
        <v>12409</v>
      </c>
      <c r="BC199" s="51">
        <v>1.0369699999999999</v>
      </c>
    </row>
    <row r="200" spans="1:55" ht="15" customHeight="1" x14ac:dyDescent="0.4">
      <c r="A200" s="27" t="s">
        <v>11150</v>
      </c>
      <c r="B200" s="44" t="s">
        <v>12097</v>
      </c>
      <c r="C200" s="45" t="s">
        <v>11610</v>
      </c>
      <c r="D200" s="46">
        <v>3.27</v>
      </c>
      <c r="E200" s="45" t="s">
        <v>12358</v>
      </c>
      <c r="F200" s="45"/>
      <c r="G200" s="9">
        <v>867.81264999999996</v>
      </c>
      <c r="H200" s="9">
        <v>0</v>
      </c>
      <c r="I200" s="9">
        <v>0</v>
      </c>
      <c r="J200" s="9">
        <v>1313.87247</v>
      </c>
      <c r="K200" s="9">
        <v>1313.87247</v>
      </c>
      <c r="L200" s="9">
        <v>22.607890000000001</v>
      </c>
      <c r="M200" s="9">
        <v>-1193.0070800000001</v>
      </c>
      <c r="N200" s="10" t="s">
        <v>12473</v>
      </c>
      <c r="P200" s="32">
        <v>45418</v>
      </c>
      <c r="R200" s="35">
        <v>0.95291000000000003</v>
      </c>
      <c r="S200" s="34">
        <v>45417</v>
      </c>
      <c r="T200" s="35">
        <v>0.95133999999999996</v>
      </c>
      <c r="U200" s="34">
        <v>45416</v>
      </c>
      <c r="V200" s="35">
        <v>0.95133999999999996</v>
      </c>
      <c r="W200" s="34">
        <v>45415</v>
      </c>
      <c r="X200" s="35">
        <v>0.95133999999999996</v>
      </c>
      <c r="Y200" s="34">
        <v>45414</v>
      </c>
      <c r="Z200" s="35">
        <v>0.93340999999999996</v>
      </c>
      <c r="AA200" s="34">
        <v>45419</v>
      </c>
      <c r="AB200" s="35">
        <v>0.94069000000000003</v>
      </c>
      <c r="AC200" s="34">
        <v>45420</v>
      </c>
      <c r="AD200" s="35">
        <v>0.93696999999999997</v>
      </c>
      <c r="AE200" s="34">
        <v>45421</v>
      </c>
      <c r="AF200" s="35">
        <v>0.93854000000000004</v>
      </c>
      <c r="AG200" s="34">
        <v>45422</v>
      </c>
      <c r="AH200" s="35">
        <v>0.95609</v>
      </c>
      <c r="AI200" s="36">
        <v>-1.1194735846279946E-2</v>
      </c>
      <c r="AK200" s="34">
        <v>45411</v>
      </c>
      <c r="AL200" s="35">
        <v>0.96138000000000001</v>
      </c>
      <c r="AM200" s="34">
        <v>45425</v>
      </c>
      <c r="AN200" s="5">
        <v>0.95899000000000001</v>
      </c>
      <c r="AP200" s="36">
        <v>-2.4860096943976062E-3</v>
      </c>
      <c r="AS200" s="5" t="s">
        <v>12388</v>
      </c>
      <c r="AT200" s="5">
        <v>0.36399999999999999</v>
      </c>
      <c r="AU200" s="5">
        <v>33.33</v>
      </c>
      <c r="AV200" s="5" t="s">
        <v>12400</v>
      </c>
      <c r="AW200" s="5" t="s">
        <v>12400</v>
      </c>
      <c r="AX200" s="5">
        <v>66.67</v>
      </c>
      <c r="AZ200" s="49" t="s">
        <v>12417</v>
      </c>
      <c r="BA200" s="50" t="s">
        <v>12411</v>
      </c>
      <c r="BC200" s="51">
        <v>0.34372999999999998</v>
      </c>
    </row>
    <row r="201" spans="1:55" ht="15" customHeight="1" x14ac:dyDescent="0.4">
      <c r="A201" s="27" t="s">
        <v>11151</v>
      </c>
      <c r="B201" s="44" t="s">
        <v>12098</v>
      </c>
      <c r="C201" s="45" t="s">
        <v>11611</v>
      </c>
      <c r="D201" s="46">
        <v>31</v>
      </c>
      <c r="E201" s="45" t="s">
        <v>12357</v>
      </c>
      <c r="F201" s="45"/>
      <c r="G201" s="9">
        <v>2399.3349699999999</v>
      </c>
      <c r="H201" s="9">
        <v>1539.6412399999999</v>
      </c>
      <c r="I201" s="9">
        <v>27.0122</v>
      </c>
      <c r="J201" s="9">
        <v>0</v>
      </c>
      <c r="K201" s="9">
        <v>0</v>
      </c>
      <c r="L201" s="9">
        <v>0</v>
      </c>
      <c r="M201" s="9">
        <v>-1550.35374</v>
      </c>
      <c r="N201" s="10" t="s">
        <v>12465</v>
      </c>
      <c r="P201" s="32">
        <v>45416</v>
      </c>
      <c r="R201" s="35">
        <v>18.121849999999998</v>
      </c>
      <c r="S201" s="34">
        <v>45415</v>
      </c>
      <c r="T201" s="35">
        <v>18.121849999999998</v>
      </c>
      <c r="U201" s="34">
        <v>45414</v>
      </c>
      <c r="V201" s="35">
        <v>18.200679999999998</v>
      </c>
      <c r="W201" s="34">
        <v>45413</v>
      </c>
      <c r="X201" s="35">
        <v>17.99567</v>
      </c>
      <c r="Y201" s="34">
        <v>45412</v>
      </c>
      <c r="Z201" s="35">
        <v>17.995899999999999</v>
      </c>
      <c r="AA201" s="34">
        <v>45417</v>
      </c>
      <c r="AB201" s="35">
        <v>18.121849999999998</v>
      </c>
      <c r="AC201" s="34">
        <v>45418</v>
      </c>
      <c r="AD201" s="35">
        <v>18.316289999999999</v>
      </c>
      <c r="AE201" s="34">
        <v>45419</v>
      </c>
      <c r="AF201" s="35">
        <v>18.158930000000002</v>
      </c>
      <c r="AG201" s="34">
        <v>45420</v>
      </c>
      <c r="AH201" s="35">
        <v>18.231729999999999</v>
      </c>
      <c r="AI201" s="36">
        <v>0</v>
      </c>
      <c r="AK201" s="34">
        <v>45409</v>
      </c>
      <c r="AL201" s="35">
        <v>18.064630000000001</v>
      </c>
      <c r="AM201" s="34">
        <v>45423</v>
      </c>
      <c r="AN201" s="5">
        <v>18.034870000000002</v>
      </c>
      <c r="AP201" s="36">
        <v>-1.6474181868103566E-3</v>
      </c>
      <c r="AS201" s="5" t="s">
        <v>12387</v>
      </c>
      <c r="AT201" s="5">
        <v>29</v>
      </c>
      <c r="AU201" s="5">
        <v>100</v>
      </c>
      <c r="AV201" s="5" t="s">
        <v>12400</v>
      </c>
      <c r="AW201" s="5" t="s">
        <v>12400</v>
      </c>
      <c r="AX201" s="5" t="s">
        <v>12400</v>
      </c>
      <c r="AZ201" s="49" t="s">
        <v>12435</v>
      </c>
      <c r="BA201" s="50" t="s">
        <v>12436</v>
      </c>
      <c r="BC201" s="51">
        <v>0.24989</v>
      </c>
    </row>
    <row r="202" spans="1:55" ht="15" customHeight="1" x14ac:dyDescent="0.4">
      <c r="A202" s="27" t="s">
        <v>11152</v>
      </c>
      <c r="B202" s="44" t="s">
        <v>12099</v>
      </c>
      <c r="C202" s="45" t="s">
        <v>11612</v>
      </c>
      <c r="D202" s="47">
        <v>0.754</v>
      </c>
      <c r="E202" s="45" t="s">
        <v>12358</v>
      </c>
      <c r="F202" s="45"/>
      <c r="G202" s="9">
        <v>27.004110000000001</v>
      </c>
      <c r="H202" s="9">
        <v>1.6220699999999999</v>
      </c>
      <c r="I202" s="9">
        <v>20.093599999999999</v>
      </c>
      <c r="J202" s="9">
        <v>9.2048000000000005</v>
      </c>
      <c r="K202" s="9">
        <v>9.2048000000000005</v>
      </c>
      <c r="L202" s="9">
        <v>3.6657600000000001</v>
      </c>
      <c r="M202" s="9">
        <v>-3.6518199999999998</v>
      </c>
      <c r="N202" s="10" t="s">
        <v>12470</v>
      </c>
      <c r="P202" s="32">
        <v>45415</v>
      </c>
      <c r="R202" s="35">
        <v>1.0108600000000001</v>
      </c>
      <c r="S202" s="34">
        <v>45414</v>
      </c>
      <c r="T202" s="35">
        <v>0.95387</v>
      </c>
      <c r="U202" s="34">
        <v>45413</v>
      </c>
      <c r="V202" s="35">
        <v>0.97382999999999997</v>
      </c>
      <c r="W202" s="34">
        <v>45412</v>
      </c>
      <c r="X202" s="35">
        <v>0.93894</v>
      </c>
      <c r="Y202" s="34">
        <v>45411</v>
      </c>
      <c r="Z202" s="35">
        <v>0.97006999999999999</v>
      </c>
      <c r="AA202" s="34">
        <v>45416</v>
      </c>
      <c r="AB202" s="35">
        <v>1.0108600000000001</v>
      </c>
      <c r="AC202" s="34">
        <v>45417</v>
      </c>
      <c r="AD202" s="35">
        <v>1.0108600000000001</v>
      </c>
      <c r="AE202" s="34">
        <v>45418</v>
      </c>
      <c r="AF202" s="35">
        <v>0.97511999999999999</v>
      </c>
      <c r="AG202" s="34">
        <v>45419</v>
      </c>
      <c r="AH202" s="35">
        <v>0.97518000000000005</v>
      </c>
      <c r="AI202" s="36">
        <v>5.9746086992986669E-2</v>
      </c>
      <c r="AK202" s="34">
        <v>45408</v>
      </c>
      <c r="AL202" s="35">
        <v>0.91642999999999997</v>
      </c>
      <c r="AM202" s="34">
        <v>45422</v>
      </c>
      <c r="AN202" s="5">
        <v>1.0104200000000001</v>
      </c>
      <c r="AP202" s="36">
        <v>0.10256102484641505</v>
      </c>
      <c r="AS202" s="5" t="s">
        <v>12387</v>
      </c>
      <c r="AT202" s="5">
        <v>0.754</v>
      </c>
      <c r="AU202" s="5">
        <v>100</v>
      </c>
      <c r="AV202" s="5" t="s">
        <v>12400</v>
      </c>
      <c r="AW202" s="5" t="s">
        <v>12400</v>
      </c>
      <c r="AX202" s="5" t="s">
        <v>12400</v>
      </c>
      <c r="AZ202" s="49" t="s">
        <v>12414</v>
      </c>
      <c r="BA202" s="50" t="s">
        <v>12406</v>
      </c>
      <c r="BC202" s="51">
        <v>-0.32471</v>
      </c>
    </row>
    <row r="203" spans="1:55" ht="15" customHeight="1" x14ac:dyDescent="0.4">
      <c r="A203" s="27" t="s">
        <v>11153</v>
      </c>
      <c r="B203" s="44" t="s">
        <v>12100</v>
      </c>
      <c r="C203" s="45" t="s">
        <v>11613</v>
      </c>
      <c r="D203" s="46">
        <v>1.47</v>
      </c>
      <c r="E203" s="45" t="s">
        <v>12357</v>
      </c>
      <c r="F203" s="45"/>
      <c r="G203" s="9">
        <v>801.24004000000002</v>
      </c>
      <c r="H203" s="9">
        <v>547.20000000000005</v>
      </c>
      <c r="I203" s="9">
        <v>66.263000000000005</v>
      </c>
      <c r="J203" s="9">
        <v>1932.5</v>
      </c>
      <c r="K203" s="9">
        <v>1932.5</v>
      </c>
      <c r="L203" s="9">
        <v>170.4</v>
      </c>
      <c r="M203" s="9">
        <v>318.5</v>
      </c>
      <c r="N203" s="10" t="s">
        <v>12469</v>
      </c>
      <c r="P203" s="32">
        <v>45415</v>
      </c>
      <c r="R203" s="35">
        <v>1.2630600000000001</v>
      </c>
      <c r="S203" s="34">
        <v>45414</v>
      </c>
      <c r="T203" s="35">
        <v>1.23634</v>
      </c>
      <c r="U203" s="34">
        <v>45413</v>
      </c>
      <c r="V203" s="35">
        <v>1.2211000000000001</v>
      </c>
      <c r="W203" s="34">
        <v>45412</v>
      </c>
      <c r="X203" s="35">
        <v>1.2630699999999999</v>
      </c>
      <c r="Y203" s="34">
        <v>45411</v>
      </c>
      <c r="Z203" s="35">
        <v>1.24959</v>
      </c>
      <c r="AA203" s="34">
        <v>45416</v>
      </c>
      <c r="AB203" s="35">
        <v>1.2630600000000001</v>
      </c>
      <c r="AC203" s="34">
        <v>45417</v>
      </c>
      <c r="AD203" s="35">
        <v>1.2630600000000001</v>
      </c>
      <c r="AE203" s="34">
        <v>45418</v>
      </c>
      <c r="AF203" s="35">
        <v>1.25786</v>
      </c>
      <c r="AG203" s="34">
        <v>45419</v>
      </c>
      <c r="AH203" s="35">
        <v>1.2530600000000001</v>
      </c>
      <c r="AI203" s="36">
        <v>2.1612177879871242E-2</v>
      </c>
      <c r="AK203" s="34">
        <v>45408</v>
      </c>
      <c r="AL203" s="35">
        <v>1.2651600000000001</v>
      </c>
      <c r="AM203" s="34">
        <v>45422</v>
      </c>
      <c r="AN203" s="5">
        <v>1.3007599999999999</v>
      </c>
      <c r="AP203" s="36">
        <v>2.81387334408294E-2</v>
      </c>
      <c r="AS203" s="5" t="s">
        <v>12387</v>
      </c>
      <c r="AT203" s="5">
        <v>0.70399999999999996</v>
      </c>
      <c r="AU203" s="5">
        <v>100</v>
      </c>
      <c r="AV203" s="5" t="s">
        <v>12400</v>
      </c>
      <c r="AW203" s="5" t="s">
        <v>12400</v>
      </c>
      <c r="AX203" s="5" t="s">
        <v>12400</v>
      </c>
      <c r="AZ203" s="49" t="s">
        <v>12409</v>
      </c>
      <c r="BA203" s="50" t="s">
        <v>12410</v>
      </c>
      <c r="BC203" s="51">
        <v>0.40717999999999999</v>
      </c>
    </row>
    <row r="204" spans="1:55" ht="15" customHeight="1" x14ac:dyDescent="0.4">
      <c r="A204" s="27" t="s">
        <v>11154</v>
      </c>
      <c r="B204" s="44" t="s">
        <v>12101</v>
      </c>
      <c r="C204" s="45" t="s">
        <v>11614</v>
      </c>
      <c r="D204" s="46">
        <v>19.260000000000002</v>
      </c>
      <c r="E204" s="45" t="s">
        <v>12357</v>
      </c>
      <c r="F204" s="45"/>
      <c r="G204" s="9">
        <v>135.39462</v>
      </c>
      <c r="H204" s="9">
        <v>110.07608999999999</v>
      </c>
      <c r="I204" s="9">
        <v>31.520499999999998</v>
      </c>
      <c r="J204" s="9">
        <v>1623.6968899999999</v>
      </c>
      <c r="K204" s="9">
        <v>1623.6968899999999</v>
      </c>
      <c r="L204" s="9">
        <v>85.614739999999998</v>
      </c>
      <c r="M204" s="9">
        <v>122.10789</v>
      </c>
      <c r="N204" s="10" t="s">
        <v>12465</v>
      </c>
      <c r="P204" s="32">
        <v>45414</v>
      </c>
      <c r="R204" s="35">
        <v>15.18601</v>
      </c>
      <c r="S204" s="34">
        <v>45413</v>
      </c>
      <c r="T204" s="35">
        <v>15.1568</v>
      </c>
      <c r="U204" s="34">
        <v>45412</v>
      </c>
      <c r="V204" s="35">
        <v>15.140639999999999</v>
      </c>
      <c r="W204" s="34">
        <v>45411</v>
      </c>
      <c r="X204" s="35">
        <v>15.34516</v>
      </c>
      <c r="Y204" s="34">
        <v>45410</v>
      </c>
      <c r="Z204" s="35">
        <v>14.894</v>
      </c>
      <c r="AA204" s="34">
        <v>45415</v>
      </c>
      <c r="AB204" s="35">
        <v>16.219740000000002</v>
      </c>
      <c r="AC204" s="34">
        <v>45416</v>
      </c>
      <c r="AD204" s="35">
        <v>16.219740000000002</v>
      </c>
      <c r="AE204" s="34">
        <v>45417</v>
      </c>
      <c r="AF204" s="35">
        <v>16.219740000000002</v>
      </c>
      <c r="AG204" s="34">
        <v>45418</v>
      </c>
      <c r="AH204" s="35">
        <v>16.465389999999999</v>
      </c>
      <c r="AI204" s="36">
        <v>7.0129578802913706E-2</v>
      </c>
      <c r="AK204" s="34">
        <v>45407</v>
      </c>
      <c r="AL204" s="35">
        <v>14.45158</v>
      </c>
      <c r="AM204" s="34">
        <v>45421</v>
      </c>
      <c r="AN204" s="5">
        <v>16.401289999999999</v>
      </c>
      <c r="AP204" s="36">
        <v>0.13491327591861935</v>
      </c>
      <c r="AS204" s="5" t="s">
        <v>12387</v>
      </c>
      <c r="AT204" s="5">
        <v>10.27</v>
      </c>
      <c r="AU204" s="5">
        <v>100</v>
      </c>
      <c r="AV204" s="5" t="s">
        <v>12400</v>
      </c>
      <c r="AW204" s="5" t="s">
        <v>12400</v>
      </c>
      <c r="AX204" s="5" t="s">
        <v>12400</v>
      </c>
      <c r="AZ204" s="49" t="s">
        <v>12409</v>
      </c>
      <c r="BA204" s="50" t="s">
        <v>12419</v>
      </c>
      <c r="BC204" s="51">
        <v>2.19381</v>
      </c>
    </row>
    <row r="205" spans="1:55" ht="15" customHeight="1" x14ac:dyDescent="0.4">
      <c r="A205" s="27" t="s">
        <v>11155</v>
      </c>
      <c r="B205" s="44" t="s">
        <v>12102</v>
      </c>
      <c r="C205" s="45" t="s">
        <v>11615</v>
      </c>
      <c r="D205" s="46">
        <v>3.51</v>
      </c>
      <c r="E205" s="45" t="s">
        <v>12357</v>
      </c>
      <c r="F205" s="45"/>
      <c r="G205" s="9">
        <v>73.430520000000001</v>
      </c>
      <c r="H205" s="9">
        <v>-45.847000000000001</v>
      </c>
      <c r="I205" s="9">
        <v>-11.6911</v>
      </c>
      <c r="J205" s="9">
        <v>653.52800000000002</v>
      </c>
      <c r="K205" s="9">
        <v>653.52800000000002</v>
      </c>
      <c r="L205" s="9">
        <v>166.357</v>
      </c>
      <c r="M205" s="9">
        <v>-151.69399999999999</v>
      </c>
      <c r="N205" s="10" t="s">
        <v>12468</v>
      </c>
      <c r="P205" s="32">
        <v>45414</v>
      </c>
      <c r="R205" s="35">
        <v>31.21</v>
      </c>
      <c r="S205" s="34">
        <v>45413</v>
      </c>
      <c r="T205" s="35">
        <v>31.15</v>
      </c>
      <c r="U205" s="34">
        <v>45412</v>
      </c>
      <c r="V205" s="35">
        <v>30.92</v>
      </c>
      <c r="W205" s="34">
        <v>45411</v>
      </c>
      <c r="X205" s="35">
        <v>31.87</v>
      </c>
      <c r="Y205" s="34">
        <v>45410</v>
      </c>
      <c r="Z205" s="35">
        <v>31.88</v>
      </c>
      <c r="AA205" s="34">
        <v>45415</v>
      </c>
      <c r="AB205" s="35">
        <v>31</v>
      </c>
      <c r="AC205" s="34">
        <v>45416</v>
      </c>
      <c r="AD205" s="35">
        <v>31</v>
      </c>
      <c r="AE205" s="34">
        <v>45417</v>
      </c>
      <c r="AF205" s="35">
        <v>31</v>
      </c>
      <c r="AG205" s="34">
        <v>45418</v>
      </c>
      <c r="AH205" s="35">
        <v>32.229999999999997</v>
      </c>
      <c r="AI205" s="36">
        <v>-4.8154093097912964E-3</v>
      </c>
      <c r="AK205" s="34">
        <v>45407</v>
      </c>
      <c r="AL205" s="35">
        <v>31.45</v>
      </c>
      <c r="AM205" s="34">
        <v>45421</v>
      </c>
      <c r="AN205" s="5">
        <v>36.950000000000003</v>
      </c>
      <c r="AP205" s="36">
        <v>0.17488076311605738</v>
      </c>
      <c r="AS205" s="5" t="s">
        <v>12387</v>
      </c>
      <c r="AT205" s="5">
        <v>2.15</v>
      </c>
      <c r="AU205" s="5">
        <v>100</v>
      </c>
      <c r="AV205" s="5" t="s">
        <v>12400</v>
      </c>
      <c r="AW205" s="5" t="s">
        <v>12400</v>
      </c>
      <c r="AX205" s="5" t="s">
        <v>12400</v>
      </c>
      <c r="AZ205" s="49" t="s">
        <v>12403</v>
      </c>
      <c r="BA205" s="50" t="s">
        <v>12419</v>
      </c>
      <c r="BC205" s="51">
        <v>0.68781999999999999</v>
      </c>
    </row>
    <row r="206" spans="1:55" ht="15" customHeight="1" x14ac:dyDescent="0.4">
      <c r="A206" s="27" t="s">
        <v>11156</v>
      </c>
      <c r="B206" s="44" t="s">
        <v>12103</v>
      </c>
      <c r="C206" s="45" t="s">
        <v>11616</v>
      </c>
      <c r="D206" s="46">
        <v>12.75</v>
      </c>
      <c r="E206" s="45" t="s">
        <v>12357</v>
      </c>
      <c r="F206" s="45"/>
      <c r="G206" s="9">
        <v>167.94666000000001</v>
      </c>
      <c r="H206" s="9">
        <v>13.68647</v>
      </c>
      <c r="I206" s="9">
        <v>34.5533</v>
      </c>
      <c r="J206" s="9">
        <v>108.48416</v>
      </c>
      <c r="K206" s="9">
        <v>108.48416</v>
      </c>
      <c r="L206" s="9">
        <v>20.317329999999998</v>
      </c>
      <c r="M206" s="9">
        <v>-17.839690000000001</v>
      </c>
      <c r="N206" s="10" t="s">
        <v>12468</v>
      </c>
      <c r="P206" s="32">
        <v>45414</v>
      </c>
      <c r="R206" s="35">
        <v>2.5435400000000001</v>
      </c>
      <c r="S206" s="34">
        <v>45413</v>
      </c>
      <c r="T206" s="35">
        <v>2.4393099999999999</v>
      </c>
      <c r="U206" s="34">
        <v>45412</v>
      </c>
      <c r="V206" s="35">
        <v>2.43872</v>
      </c>
      <c r="W206" s="34">
        <v>45411</v>
      </c>
      <c r="X206" s="35">
        <v>2.4558800000000001</v>
      </c>
      <c r="Y206" s="34">
        <v>45410</v>
      </c>
      <c r="Z206" s="35">
        <v>2.4266899999999998</v>
      </c>
      <c r="AA206" s="34">
        <v>45415</v>
      </c>
      <c r="AB206" s="35">
        <v>2.5734400000000002</v>
      </c>
      <c r="AC206" s="34">
        <v>45416</v>
      </c>
      <c r="AD206" s="35">
        <v>2.5734400000000002</v>
      </c>
      <c r="AE206" s="34">
        <v>45417</v>
      </c>
      <c r="AF206" s="35">
        <v>2.5734400000000002</v>
      </c>
      <c r="AG206" s="34">
        <v>45418</v>
      </c>
      <c r="AH206" s="35">
        <v>2.61233</v>
      </c>
      <c r="AI206" s="36">
        <v>5.4986861038572421E-2</v>
      </c>
      <c r="AK206" s="34">
        <v>45407</v>
      </c>
      <c r="AL206" s="35">
        <v>2.4118200000000001</v>
      </c>
      <c r="AM206" s="34">
        <v>45421</v>
      </c>
      <c r="AN206" s="5">
        <v>2.57368</v>
      </c>
      <c r="AP206" s="36">
        <v>6.7111144281082336E-2</v>
      </c>
      <c r="AS206" s="5" t="s">
        <v>12389</v>
      </c>
      <c r="AT206" s="5" t="s">
        <v>12400</v>
      </c>
      <c r="AU206" s="5" t="s">
        <v>12400</v>
      </c>
      <c r="AV206" s="5" t="s">
        <v>12400</v>
      </c>
      <c r="AW206" s="5" t="s">
        <v>12400</v>
      </c>
      <c r="AX206" s="5" t="s">
        <v>12400</v>
      </c>
      <c r="AZ206" s="49" t="s">
        <v>12408</v>
      </c>
      <c r="BA206" s="50" t="s">
        <v>12415</v>
      </c>
      <c r="BC206" s="51">
        <v>0.45701999999999998</v>
      </c>
    </row>
    <row r="207" spans="1:55" ht="15" customHeight="1" x14ac:dyDescent="0.4">
      <c r="A207" s="27" t="s">
        <v>11157</v>
      </c>
      <c r="B207" s="44" t="s">
        <v>12104</v>
      </c>
      <c r="C207" s="45" t="s">
        <v>11617</v>
      </c>
      <c r="D207" s="46">
        <v>3.21</v>
      </c>
      <c r="E207" s="45" t="s">
        <v>12357</v>
      </c>
      <c r="F207" s="45"/>
      <c r="G207" s="9">
        <v>18.032</v>
      </c>
      <c r="H207" s="9">
        <v>4.1571400000000001</v>
      </c>
      <c r="I207" s="9">
        <v>23.6221</v>
      </c>
      <c r="J207" s="9">
        <v>8.7299100000000003</v>
      </c>
      <c r="K207" s="9">
        <v>8.7299100000000003</v>
      </c>
      <c r="L207" s="9">
        <v>1.02813</v>
      </c>
      <c r="M207" s="9">
        <v>0.65600999999999998</v>
      </c>
      <c r="N207" s="10" t="s">
        <v>12474</v>
      </c>
      <c r="P207" s="32">
        <v>45414</v>
      </c>
      <c r="R207" s="35">
        <v>1.0377700000000001</v>
      </c>
      <c r="S207" s="34">
        <v>45413</v>
      </c>
      <c r="T207" s="35">
        <v>1.03599</v>
      </c>
      <c r="U207" s="34">
        <v>45412</v>
      </c>
      <c r="V207" s="35">
        <v>1.03721</v>
      </c>
      <c r="W207" s="34">
        <v>45411</v>
      </c>
      <c r="X207" s="35">
        <v>1.0821799999999999</v>
      </c>
      <c r="Y207" s="34">
        <v>45410</v>
      </c>
      <c r="Z207" s="35">
        <v>1.0622400000000001</v>
      </c>
      <c r="AA207" s="34">
        <v>45415</v>
      </c>
      <c r="AB207" s="35">
        <v>1.07185</v>
      </c>
      <c r="AC207" s="34">
        <v>45416</v>
      </c>
      <c r="AD207" s="35">
        <v>1.07185</v>
      </c>
      <c r="AE207" s="34">
        <v>45417</v>
      </c>
      <c r="AF207" s="35">
        <v>1.07185</v>
      </c>
      <c r="AG207" s="34">
        <v>45418</v>
      </c>
      <c r="AH207" s="35">
        <v>1.1097900000000001</v>
      </c>
      <c r="AI207" s="36">
        <v>3.4614233728124777E-2</v>
      </c>
      <c r="AK207" s="34">
        <v>45407</v>
      </c>
      <c r="AL207" s="35">
        <v>1.1676500000000001</v>
      </c>
      <c r="AM207" s="34">
        <v>45421</v>
      </c>
      <c r="AN207" s="5">
        <v>1.16367</v>
      </c>
      <c r="AP207" s="36">
        <v>-3.4085556459556576E-3</v>
      </c>
      <c r="AS207" s="5" t="s">
        <v>12387</v>
      </c>
      <c r="AT207" s="5">
        <v>1.6</v>
      </c>
      <c r="AU207" s="5">
        <v>100</v>
      </c>
      <c r="AV207" s="5" t="s">
        <v>12400</v>
      </c>
      <c r="AW207" s="5" t="s">
        <v>12400</v>
      </c>
      <c r="AX207" s="5" t="s">
        <v>12400</v>
      </c>
      <c r="AZ207" s="49" t="s">
        <v>12416</v>
      </c>
      <c r="BA207" s="50" t="s">
        <v>12413</v>
      </c>
      <c r="BC207" s="51">
        <v>2.18248</v>
      </c>
    </row>
    <row r="208" spans="1:55" ht="15" customHeight="1" x14ac:dyDescent="0.4">
      <c r="A208" s="27" t="s">
        <v>11158</v>
      </c>
      <c r="B208" s="44" t="s">
        <v>12105</v>
      </c>
      <c r="C208" s="45" t="s">
        <v>11618</v>
      </c>
      <c r="D208" s="47">
        <v>0.77300000000000002</v>
      </c>
      <c r="E208" s="45" t="s">
        <v>12357</v>
      </c>
      <c r="F208" s="45"/>
      <c r="G208" s="9">
        <v>1.38123</v>
      </c>
      <c r="H208" s="9">
        <v>7.5108499999999996</v>
      </c>
      <c r="I208" s="9">
        <v>15.457599999999999</v>
      </c>
      <c r="J208" s="9">
        <v>71.833910000000003</v>
      </c>
      <c r="K208" s="9">
        <v>71.833910000000003</v>
      </c>
      <c r="L208" s="9">
        <v>26.296869999999998</v>
      </c>
      <c r="M208" s="9">
        <v>-14.95966</v>
      </c>
      <c r="N208" s="10" t="s">
        <v>12468</v>
      </c>
      <c r="P208" s="32">
        <v>45414</v>
      </c>
      <c r="R208" s="35">
        <v>175.9923</v>
      </c>
      <c r="S208" s="34">
        <v>45413</v>
      </c>
      <c r="T208" s="35">
        <v>166.61327</v>
      </c>
      <c r="U208" s="34">
        <v>45412</v>
      </c>
      <c r="V208" s="35">
        <v>166.80923999999999</v>
      </c>
      <c r="W208" s="34">
        <v>45411</v>
      </c>
      <c r="X208" s="35">
        <v>166.07736</v>
      </c>
      <c r="Y208" s="34">
        <v>45410</v>
      </c>
      <c r="Z208" s="35">
        <v>172.41379000000001</v>
      </c>
      <c r="AA208" s="34">
        <v>45415</v>
      </c>
      <c r="AB208" s="35">
        <v>179.89874</v>
      </c>
      <c r="AC208" s="34">
        <v>45416</v>
      </c>
      <c r="AD208" s="35">
        <v>179.89874</v>
      </c>
      <c r="AE208" s="34">
        <v>45417</v>
      </c>
      <c r="AF208" s="35">
        <v>179.89874</v>
      </c>
      <c r="AG208" s="34">
        <v>45418</v>
      </c>
      <c r="AH208" s="35">
        <v>181.01498000000001</v>
      </c>
      <c r="AI208" s="36">
        <v>7.9738366577884134E-2</v>
      </c>
      <c r="AK208" s="34">
        <v>45407</v>
      </c>
      <c r="AL208" s="35">
        <v>175.68290999999999</v>
      </c>
      <c r="AM208" s="34">
        <v>45421</v>
      </c>
      <c r="AN208" s="5">
        <v>182.09245000000001</v>
      </c>
      <c r="AP208" s="36">
        <v>3.648357145268144E-2</v>
      </c>
      <c r="AS208" s="5" t="s">
        <v>12387</v>
      </c>
      <c r="AT208" s="5">
        <v>0.77300000000000002</v>
      </c>
      <c r="AU208" s="5">
        <v>100</v>
      </c>
      <c r="AV208" s="5" t="s">
        <v>12400</v>
      </c>
      <c r="AW208" s="5" t="s">
        <v>12400</v>
      </c>
      <c r="AX208" s="5" t="s">
        <v>12400</v>
      </c>
      <c r="AZ208" s="49" t="s">
        <v>12410</v>
      </c>
      <c r="BA208" s="50" t="s">
        <v>12406</v>
      </c>
      <c r="BC208" s="51">
        <v>0.73939999999999995</v>
      </c>
    </row>
    <row r="209" spans="1:55" ht="15" customHeight="1" x14ac:dyDescent="0.4">
      <c r="A209" s="27" t="s">
        <v>11159</v>
      </c>
      <c r="B209" s="44" t="s">
        <v>12106</v>
      </c>
      <c r="C209" s="45" t="s">
        <v>11619</v>
      </c>
      <c r="D209" s="46">
        <v>112.65</v>
      </c>
      <c r="E209" s="45" t="s">
        <v>12357</v>
      </c>
      <c r="F209" s="45"/>
      <c r="G209" s="9">
        <v>67.412210000000002</v>
      </c>
      <c r="H209" s="9">
        <v>505.03149999999999</v>
      </c>
      <c r="I209" s="9">
        <v>26.116399999999999</v>
      </c>
      <c r="J209" s="9">
        <v>4559.9800999999998</v>
      </c>
      <c r="K209" s="9">
        <v>4559.9800999999998</v>
      </c>
      <c r="L209" s="9">
        <v>52.743450000000003</v>
      </c>
      <c r="M209" s="9">
        <v>2684.6457399999999</v>
      </c>
      <c r="N209" s="10" t="s">
        <v>12470</v>
      </c>
      <c r="P209" s="32">
        <v>45414</v>
      </c>
      <c r="R209" s="35">
        <v>15.085050000000001</v>
      </c>
      <c r="S209" s="34">
        <v>45413</v>
      </c>
      <c r="T209" s="35">
        <v>15.059279999999999</v>
      </c>
      <c r="U209" s="34">
        <v>45412</v>
      </c>
      <c r="V209" s="35">
        <v>15.07699</v>
      </c>
      <c r="W209" s="34">
        <v>45411</v>
      </c>
      <c r="X209" s="35">
        <v>15.129110000000001</v>
      </c>
      <c r="Y209" s="34">
        <v>45410</v>
      </c>
      <c r="Z209" s="35">
        <v>15.43717</v>
      </c>
      <c r="AA209" s="34">
        <v>45415</v>
      </c>
      <c r="AB209" s="35">
        <v>15.18906</v>
      </c>
      <c r="AC209" s="34">
        <v>45416</v>
      </c>
      <c r="AD209" s="35">
        <v>15.18906</v>
      </c>
      <c r="AE209" s="34">
        <v>45417</v>
      </c>
      <c r="AF209" s="35">
        <v>15.18906</v>
      </c>
      <c r="AG209" s="34">
        <v>45418</v>
      </c>
      <c r="AH209" s="35">
        <v>15.36472</v>
      </c>
      <c r="AI209" s="36">
        <v>8.6179418936362939E-3</v>
      </c>
      <c r="AK209" s="34">
        <v>45407</v>
      </c>
      <c r="AL209" s="35">
        <v>15.21157</v>
      </c>
      <c r="AM209" s="34">
        <v>45421</v>
      </c>
      <c r="AN209" s="5">
        <v>15.343170000000001</v>
      </c>
      <c r="AP209" s="36">
        <v>8.6513094966529369E-3</v>
      </c>
      <c r="AS209" s="5" t="s">
        <v>721</v>
      </c>
      <c r="AT209" s="5" t="s">
        <v>12400</v>
      </c>
      <c r="AU209" s="5" t="s">
        <v>12400</v>
      </c>
      <c r="AV209" s="5" t="s">
        <v>12400</v>
      </c>
      <c r="AW209" s="5" t="s">
        <v>12400</v>
      </c>
      <c r="AX209" s="5">
        <v>100</v>
      </c>
      <c r="AZ209" s="49" t="s">
        <v>12441</v>
      </c>
      <c r="BA209" s="50" t="s">
        <v>12441</v>
      </c>
      <c r="BC209" s="51">
        <v>0.32472000000000001</v>
      </c>
    </row>
    <row r="210" spans="1:55" ht="15" customHeight="1" x14ac:dyDescent="0.4">
      <c r="A210" s="27" t="s">
        <v>11160</v>
      </c>
      <c r="B210" s="44" t="s">
        <v>12107</v>
      </c>
      <c r="C210" s="45" t="s">
        <v>11620</v>
      </c>
      <c r="D210" s="46">
        <v>2.14</v>
      </c>
      <c r="E210" s="45" t="s">
        <v>12357</v>
      </c>
      <c r="F210" s="45"/>
      <c r="G210" s="9">
        <v>1957.4222199999999</v>
      </c>
      <c r="H210" s="9">
        <v>-5.8659100000000004</v>
      </c>
      <c r="I210" s="9" t="s">
        <v>11413</v>
      </c>
      <c r="J210" s="9">
        <v>3.8769999999999999E-2</v>
      </c>
      <c r="K210" s="9">
        <v>3.8769999999999999E-2</v>
      </c>
      <c r="L210" s="9">
        <v>2.6970000000000001E-2</v>
      </c>
      <c r="M210" s="9">
        <v>0.70877000000000001</v>
      </c>
      <c r="N210" s="10" t="s">
        <v>12466</v>
      </c>
      <c r="P210" s="32">
        <v>45413</v>
      </c>
      <c r="R210" s="35">
        <v>0</v>
      </c>
      <c r="S210" s="34">
        <v>45412</v>
      </c>
      <c r="T210" s="35">
        <v>0</v>
      </c>
      <c r="U210" s="34">
        <v>45411</v>
      </c>
      <c r="V210" s="35">
        <v>0</v>
      </c>
      <c r="W210" s="34">
        <v>45410</v>
      </c>
      <c r="X210" s="35">
        <v>0</v>
      </c>
      <c r="Y210" s="34">
        <v>45409</v>
      </c>
      <c r="Z210" s="35">
        <v>0</v>
      </c>
      <c r="AA210" s="34">
        <v>45414</v>
      </c>
      <c r="AB210" s="35">
        <v>0</v>
      </c>
      <c r="AC210" s="34">
        <v>45415</v>
      </c>
      <c r="AD210" s="35">
        <v>0</v>
      </c>
      <c r="AE210" s="34">
        <v>45416</v>
      </c>
      <c r="AF210" s="35">
        <v>0</v>
      </c>
      <c r="AG210" s="34">
        <v>45417</v>
      </c>
      <c r="AH210" s="35">
        <v>0</v>
      </c>
      <c r="AI210" s="36" t="s">
        <v>318</v>
      </c>
      <c r="AK210" s="34">
        <v>45406</v>
      </c>
      <c r="AL210" s="35">
        <v>0</v>
      </c>
      <c r="AM210" s="34">
        <v>45420</v>
      </c>
      <c r="AN210" s="5">
        <v>0</v>
      </c>
      <c r="AP210" s="36" t="s">
        <v>318</v>
      </c>
      <c r="AS210" s="5" t="s">
        <v>12387</v>
      </c>
      <c r="AT210" s="5">
        <v>2.14</v>
      </c>
      <c r="AU210" s="5">
        <v>100</v>
      </c>
      <c r="AV210" s="5" t="s">
        <v>12400</v>
      </c>
      <c r="AW210" s="5" t="s">
        <v>12400</v>
      </c>
      <c r="AX210" s="5" t="s">
        <v>12400</v>
      </c>
      <c r="AZ210" s="49" t="s">
        <v>12415</v>
      </c>
      <c r="BA210" s="50" t="s">
        <v>12413</v>
      </c>
      <c r="BC210" s="51">
        <v>70.104810000000001</v>
      </c>
    </row>
    <row r="211" spans="1:55" ht="15" customHeight="1" x14ac:dyDescent="0.4">
      <c r="A211" s="27" t="s">
        <v>11161</v>
      </c>
      <c r="B211" s="44" t="s">
        <v>12108</v>
      </c>
      <c r="C211" s="45" t="s">
        <v>11621</v>
      </c>
      <c r="D211" s="46">
        <v>54.95</v>
      </c>
      <c r="E211" s="45" t="s">
        <v>12357</v>
      </c>
      <c r="F211" s="45"/>
      <c r="G211" s="9">
        <v>377.17405000000002</v>
      </c>
      <c r="H211" s="9">
        <v>551.91827999999998</v>
      </c>
      <c r="I211" s="9">
        <v>21.8733</v>
      </c>
      <c r="J211" s="9">
        <v>3821.1392500000002</v>
      </c>
      <c r="K211" s="9">
        <v>3821.1392500000002</v>
      </c>
      <c r="L211" s="9">
        <v>181.76491999999999</v>
      </c>
      <c r="M211" s="9">
        <v>832.01711999999998</v>
      </c>
      <c r="N211" s="10" t="s">
        <v>12468</v>
      </c>
      <c r="P211" s="32">
        <v>45413</v>
      </c>
      <c r="R211" s="35">
        <v>27.549859999999999</v>
      </c>
      <c r="S211" s="34">
        <v>45412</v>
      </c>
      <c r="T211" s="35">
        <v>27.641749999999998</v>
      </c>
      <c r="U211" s="34">
        <v>45411</v>
      </c>
      <c r="V211" s="35">
        <v>28.100960000000001</v>
      </c>
      <c r="W211" s="34">
        <v>45410</v>
      </c>
      <c r="X211" s="35">
        <v>27.639379999999999</v>
      </c>
      <c r="Y211" s="34">
        <v>45409</v>
      </c>
      <c r="Z211" s="35">
        <v>27.639379999999999</v>
      </c>
      <c r="AA211" s="34">
        <v>45414</v>
      </c>
      <c r="AB211" s="35">
        <v>27.702459999999999</v>
      </c>
      <c r="AC211" s="34">
        <v>45415</v>
      </c>
      <c r="AD211" s="35">
        <v>28.126059999999999</v>
      </c>
      <c r="AE211" s="34">
        <v>45416</v>
      </c>
      <c r="AF211" s="35">
        <v>28.126059999999999</v>
      </c>
      <c r="AG211" s="34">
        <v>45417</v>
      </c>
      <c r="AH211" s="35">
        <v>28.126059999999999</v>
      </c>
      <c r="AI211" s="36">
        <v>2.1963153562998272E-3</v>
      </c>
      <c r="AK211" s="34">
        <v>45406</v>
      </c>
      <c r="AL211" s="35">
        <v>27.54814</v>
      </c>
      <c r="AM211" s="34">
        <v>45420</v>
      </c>
      <c r="AN211" s="5">
        <v>29.083639999999999</v>
      </c>
      <c r="AP211" s="36">
        <v>5.5738790350273959E-2</v>
      </c>
      <c r="AS211" s="5" t="s">
        <v>12387</v>
      </c>
      <c r="AT211" s="5">
        <v>54.95</v>
      </c>
      <c r="AU211" s="5">
        <v>100</v>
      </c>
      <c r="AV211" s="5" t="s">
        <v>12400</v>
      </c>
      <c r="AW211" s="5" t="s">
        <v>12400</v>
      </c>
      <c r="AX211" s="5" t="s">
        <v>12400</v>
      </c>
      <c r="AZ211" s="49" t="s">
        <v>12415</v>
      </c>
      <c r="BA211" s="50" t="s">
        <v>12415</v>
      </c>
      <c r="BC211" s="51">
        <v>0.90878999999999999</v>
      </c>
    </row>
    <row r="212" spans="1:55" ht="15" customHeight="1" x14ac:dyDescent="0.4">
      <c r="A212" s="27" t="s">
        <v>10993</v>
      </c>
      <c r="B212" s="44" t="s">
        <v>11938</v>
      </c>
      <c r="C212" s="45" t="s">
        <v>11622</v>
      </c>
      <c r="D212" s="46">
        <v>7.49</v>
      </c>
      <c r="E212" s="45" t="s">
        <v>12358</v>
      </c>
      <c r="F212" s="45"/>
      <c r="G212" s="9">
        <v>27.413399999999999</v>
      </c>
      <c r="H212" s="9">
        <v>-0.29550999999999999</v>
      </c>
      <c r="I212" s="9">
        <v>-0.36959999999999998</v>
      </c>
      <c r="J212" s="9">
        <v>39.274979999999999</v>
      </c>
      <c r="K212" s="9">
        <v>39.274979999999999</v>
      </c>
      <c r="L212" s="9">
        <v>3.2277</v>
      </c>
      <c r="M212" s="9">
        <v>-3.2277</v>
      </c>
      <c r="N212" s="10" t="s">
        <v>12468</v>
      </c>
      <c r="P212" s="32">
        <v>45412</v>
      </c>
      <c r="R212" s="35">
        <v>0.51351000000000002</v>
      </c>
      <c r="S212" s="34">
        <v>45411</v>
      </c>
      <c r="T212" s="35">
        <v>0.43926999999999999</v>
      </c>
      <c r="U212" s="34">
        <v>45410</v>
      </c>
      <c r="V212" s="35">
        <v>0.43595</v>
      </c>
      <c r="W212" s="34">
        <v>45409</v>
      </c>
      <c r="X212" s="35">
        <v>0.43595</v>
      </c>
      <c r="Y212" s="34">
        <v>45408</v>
      </c>
      <c r="Z212" s="35">
        <v>0.43595</v>
      </c>
      <c r="AA212" s="34">
        <v>45413</v>
      </c>
      <c r="AB212" s="35">
        <v>0.48081000000000002</v>
      </c>
      <c r="AC212" s="34">
        <v>45414</v>
      </c>
      <c r="AD212" s="35">
        <v>0.48108000000000001</v>
      </c>
      <c r="AE212" s="34">
        <v>45415</v>
      </c>
      <c r="AF212" s="35">
        <v>0.48320000000000002</v>
      </c>
      <c r="AG212" s="34">
        <v>45416</v>
      </c>
      <c r="AH212" s="35">
        <v>0.48320000000000002</v>
      </c>
      <c r="AI212" s="36">
        <v>9.4565984474241471E-2</v>
      </c>
      <c r="AK212" s="34">
        <v>45405</v>
      </c>
      <c r="AL212" s="35">
        <v>0.43540000000000001</v>
      </c>
      <c r="AM212" s="34">
        <v>45419</v>
      </c>
      <c r="AN212" s="5">
        <v>0.48288999999999999</v>
      </c>
      <c r="AP212" s="36">
        <v>0.10907211759301783</v>
      </c>
      <c r="AS212" s="5" t="s">
        <v>12388</v>
      </c>
      <c r="AT212" s="5">
        <v>4.1100000000000003</v>
      </c>
      <c r="AU212" s="5">
        <v>98.1</v>
      </c>
      <c r="AV212" s="5" t="s">
        <v>12400</v>
      </c>
      <c r="AW212" s="5" t="s">
        <v>12400</v>
      </c>
      <c r="AX212" s="5">
        <v>1.9</v>
      </c>
      <c r="AZ212" s="49" t="s">
        <v>12415</v>
      </c>
      <c r="BA212" s="50" t="s">
        <v>12415</v>
      </c>
      <c r="BC212" s="51">
        <v>-4.3270000000000003E-2</v>
      </c>
    </row>
    <row r="213" spans="1:55" ht="15" customHeight="1" x14ac:dyDescent="0.4">
      <c r="A213" s="27" t="s">
        <v>11162</v>
      </c>
      <c r="B213" s="44" t="s">
        <v>12109</v>
      </c>
      <c r="C213" s="45" t="s">
        <v>11623</v>
      </c>
      <c r="D213" s="46">
        <v>32.69</v>
      </c>
      <c r="E213" s="45" t="s">
        <v>12357</v>
      </c>
      <c r="F213" s="45"/>
      <c r="G213" s="9">
        <v>10.446960000000001</v>
      </c>
      <c r="H213" s="9">
        <v>42.224539999999998</v>
      </c>
      <c r="I213" s="9">
        <v>17.3779</v>
      </c>
      <c r="J213" s="9">
        <v>276.16818999999998</v>
      </c>
      <c r="K213" s="9">
        <v>276.16818999999998</v>
      </c>
      <c r="L213" s="9">
        <v>4.4350100000000001</v>
      </c>
      <c r="M213" s="9">
        <v>89.115039999999993</v>
      </c>
      <c r="N213" s="10" t="s">
        <v>12467</v>
      </c>
      <c r="P213" s="32">
        <v>45412</v>
      </c>
      <c r="R213" s="35">
        <v>25.13824</v>
      </c>
      <c r="S213" s="34">
        <v>45411</v>
      </c>
      <c r="T213" s="35">
        <v>25.65455</v>
      </c>
      <c r="U213" s="34">
        <v>45410</v>
      </c>
      <c r="V213" s="35">
        <v>25.85961</v>
      </c>
      <c r="W213" s="34">
        <v>45409</v>
      </c>
      <c r="X213" s="35">
        <v>25.85961</v>
      </c>
      <c r="Y213" s="34">
        <v>45408</v>
      </c>
      <c r="Z213" s="35">
        <v>25.85961</v>
      </c>
      <c r="AA213" s="34">
        <v>45413</v>
      </c>
      <c r="AB213" s="35">
        <v>25.479469999999999</v>
      </c>
      <c r="AC213" s="34">
        <v>45414</v>
      </c>
      <c r="AD213" s="35">
        <v>25.467759999999998</v>
      </c>
      <c r="AE213" s="34">
        <v>45415</v>
      </c>
      <c r="AF213" s="35">
        <v>25.40286</v>
      </c>
      <c r="AG213" s="34">
        <v>45416</v>
      </c>
      <c r="AH213" s="35">
        <v>25.40286</v>
      </c>
      <c r="AI213" s="36">
        <v>-6.8245204067115539E-3</v>
      </c>
      <c r="AK213" s="34">
        <v>45405</v>
      </c>
      <c r="AL213" s="35">
        <v>25.418579999999999</v>
      </c>
      <c r="AM213" s="34">
        <v>45419</v>
      </c>
      <c r="AN213" s="5">
        <v>25.73293</v>
      </c>
      <c r="AP213" s="36">
        <v>1.2366937885593954E-2</v>
      </c>
      <c r="AS213" s="5" t="s">
        <v>12387</v>
      </c>
      <c r="AT213" s="5">
        <v>30.18</v>
      </c>
      <c r="AU213" s="5">
        <v>100</v>
      </c>
      <c r="AV213" s="5" t="s">
        <v>12400</v>
      </c>
      <c r="AW213" s="5" t="s">
        <v>12400</v>
      </c>
      <c r="AX213" s="5" t="s">
        <v>12400</v>
      </c>
      <c r="AZ213" s="49" t="s">
        <v>12417</v>
      </c>
      <c r="BA213" s="50" t="s">
        <v>12415</v>
      </c>
      <c r="BC213" s="51">
        <v>0.45883000000000002</v>
      </c>
    </row>
    <row r="214" spans="1:55" ht="15" customHeight="1" x14ac:dyDescent="0.4">
      <c r="A214" s="27" t="s">
        <v>11163</v>
      </c>
      <c r="B214" s="44" t="s">
        <v>12110</v>
      </c>
      <c r="C214" s="45" t="s">
        <v>11624</v>
      </c>
      <c r="D214" s="46">
        <v>4.8099999999999996</v>
      </c>
      <c r="E214" s="45" t="s">
        <v>12358</v>
      </c>
      <c r="F214" s="45"/>
      <c r="G214" s="9">
        <v>5.2162899999999999</v>
      </c>
      <c r="H214" s="9">
        <v>82.90701</v>
      </c>
      <c r="I214" s="9">
        <v>42.836599999999997</v>
      </c>
      <c r="J214" s="9">
        <v>258.80527000000001</v>
      </c>
      <c r="K214" s="9">
        <v>258.80527000000001</v>
      </c>
      <c r="L214" s="9">
        <v>103.02293</v>
      </c>
      <c r="M214" s="9">
        <v>-80.156440000000003</v>
      </c>
      <c r="N214" s="10" t="s">
        <v>12465</v>
      </c>
      <c r="P214" s="32">
        <v>45412</v>
      </c>
      <c r="R214" s="35">
        <v>13.54</v>
      </c>
      <c r="S214" s="34">
        <v>45411</v>
      </c>
      <c r="T214" s="35">
        <v>13.98</v>
      </c>
      <c r="U214" s="34">
        <v>45410</v>
      </c>
      <c r="V214" s="35">
        <v>14.99</v>
      </c>
      <c r="W214" s="34">
        <v>45409</v>
      </c>
      <c r="X214" s="35">
        <v>14.99</v>
      </c>
      <c r="Y214" s="34">
        <v>45408</v>
      </c>
      <c r="Z214" s="35">
        <v>14.99</v>
      </c>
      <c r="AA214" s="34">
        <v>45413</v>
      </c>
      <c r="AB214" s="35">
        <v>13.6</v>
      </c>
      <c r="AC214" s="34">
        <v>45414</v>
      </c>
      <c r="AD214" s="35">
        <v>13.72</v>
      </c>
      <c r="AE214" s="34">
        <v>45415</v>
      </c>
      <c r="AF214" s="35">
        <v>14.3</v>
      </c>
      <c r="AG214" s="34">
        <v>45416</v>
      </c>
      <c r="AH214" s="35">
        <v>14.3</v>
      </c>
      <c r="AI214" s="36">
        <v>-2.7181688125894166E-2</v>
      </c>
      <c r="AK214" s="34">
        <v>45405</v>
      </c>
      <c r="AL214" s="35">
        <v>14.37</v>
      </c>
      <c r="AM214" s="34">
        <v>45419</v>
      </c>
      <c r="AN214" s="5">
        <v>13.02</v>
      </c>
      <c r="AP214" s="36">
        <v>-9.3945720250521947E-2</v>
      </c>
      <c r="AS214" s="5" t="s">
        <v>12387</v>
      </c>
      <c r="AT214" s="5">
        <v>4.8099999999999996</v>
      </c>
      <c r="AU214" s="5">
        <v>100</v>
      </c>
      <c r="AV214" s="5" t="s">
        <v>12400</v>
      </c>
      <c r="AW214" s="5" t="s">
        <v>12400</v>
      </c>
      <c r="AX214" s="5" t="s">
        <v>12400</v>
      </c>
      <c r="AZ214" s="49" t="s">
        <v>12416</v>
      </c>
      <c r="BA214" s="50" t="s">
        <v>12407</v>
      </c>
      <c r="BC214" s="51">
        <v>1.22498</v>
      </c>
    </row>
    <row r="215" spans="1:55" ht="15" customHeight="1" x14ac:dyDescent="0.4">
      <c r="A215" s="27" t="s">
        <v>11164</v>
      </c>
      <c r="B215" s="44" t="s">
        <v>12111</v>
      </c>
      <c r="C215" s="45" t="s">
        <v>11625</v>
      </c>
      <c r="D215" s="47">
        <v>0.125</v>
      </c>
      <c r="E215" s="45" t="s">
        <v>12357</v>
      </c>
      <c r="F215" s="45"/>
      <c r="G215" s="9">
        <v>47.741059999999997</v>
      </c>
      <c r="H215" s="9">
        <v>-1.2628699999999999</v>
      </c>
      <c r="I215" s="9">
        <v>0</v>
      </c>
      <c r="J215" s="9">
        <v>9.2672899999999991</v>
      </c>
      <c r="K215" s="9">
        <v>9.2672899999999991</v>
      </c>
      <c r="L215" s="9">
        <v>2.5157099999999999</v>
      </c>
      <c r="M215" s="9">
        <v>-2.4189699999999998</v>
      </c>
      <c r="N215" s="10" t="s">
        <v>12466</v>
      </c>
      <c r="P215" s="32">
        <v>45411</v>
      </c>
      <c r="R215" s="35">
        <v>0.28570000000000001</v>
      </c>
      <c r="S215" s="34">
        <v>45410</v>
      </c>
      <c r="T215" s="35">
        <v>0.26297999999999999</v>
      </c>
      <c r="U215" s="34">
        <v>45409</v>
      </c>
      <c r="V215" s="35">
        <v>0.26297999999999999</v>
      </c>
      <c r="W215" s="34">
        <v>45408</v>
      </c>
      <c r="X215" s="35">
        <v>0.26297999999999999</v>
      </c>
      <c r="Y215" s="34">
        <v>45407</v>
      </c>
      <c r="Z215" s="35">
        <v>0.25913999999999998</v>
      </c>
      <c r="AA215" s="34">
        <v>45412</v>
      </c>
      <c r="AB215" s="35">
        <v>0.28376000000000001</v>
      </c>
      <c r="AC215" s="34">
        <v>45413</v>
      </c>
      <c r="AD215" s="35">
        <v>0.26162999999999997</v>
      </c>
      <c r="AE215" s="34">
        <v>45414</v>
      </c>
      <c r="AF215" s="35">
        <v>0.26634999999999998</v>
      </c>
      <c r="AG215" s="34">
        <v>45415</v>
      </c>
      <c r="AH215" s="35">
        <v>0.24482000000000001</v>
      </c>
      <c r="AI215" s="36">
        <v>7.901741577306276E-2</v>
      </c>
      <c r="AK215" s="34">
        <v>45404</v>
      </c>
      <c r="AL215" s="35">
        <v>0.26225999999999999</v>
      </c>
      <c r="AM215" s="34">
        <v>45418</v>
      </c>
      <c r="AN215" s="5">
        <v>0.24525</v>
      </c>
      <c r="AP215" s="36">
        <v>-6.4859299931365855E-2</v>
      </c>
      <c r="AS215" s="5" t="s">
        <v>12387</v>
      </c>
      <c r="AT215" s="5">
        <v>0.125</v>
      </c>
      <c r="AU215" s="5">
        <v>100</v>
      </c>
      <c r="AV215" s="5" t="s">
        <v>12400</v>
      </c>
      <c r="AW215" s="5" t="s">
        <v>12400</v>
      </c>
      <c r="AX215" s="5" t="s">
        <v>12400</v>
      </c>
      <c r="AZ215" s="49" t="s">
        <v>12417</v>
      </c>
      <c r="BA215" s="50" t="s">
        <v>12411</v>
      </c>
      <c r="BC215" s="51">
        <v>0.67983000000000005</v>
      </c>
    </row>
    <row r="216" spans="1:55" ht="15" customHeight="1" x14ac:dyDescent="0.4">
      <c r="A216" s="27" t="s">
        <v>11165</v>
      </c>
      <c r="B216" s="44" t="s">
        <v>12112</v>
      </c>
      <c r="C216" s="45" t="s">
        <v>11626</v>
      </c>
      <c r="D216" s="47">
        <v>6.0999999999999999E-2</v>
      </c>
      <c r="E216" s="45" t="s">
        <v>12357</v>
      </c>
      <c r="F216" s="45"/>
      <c r="G216" s="9">
        <v>23.831040000000002</v>
      </c>
      <c r="H216" s="9">
        <v>0</v>
      </c>
      <c r="I216" s="9">
        <v>0</v>
      </c>
      <c r="J216" s="9">
        <v>5.1970000000000001</v>
      </c>
      <c r="K216" s="9">
        <v>5.1970000000000001</v>
      </c>
      <c r="L216" s="9">
        <v>0.76600000000000001</v>
      </c>
      <c r="M216" s="9">
        <v>-0.56299999999999994</v>
      </c>
      <c r="N216" s="10" t="s">
        <v>12471</v>
      </c>
      <c r="P216" s="32">
        <v>45411</v>
      </c>
      <c r="R216" s="35">
        <v>2.6360000000000001E-2</v>
      </c>
      <c r="S216" s="34">
        <v>45410</v>
      </c>
      <c r="T216" s="35">
        <v>2.6159999999999999E-2</v>
      </c>
      <c r="U216" s="34">
        <v>45409</v>
      </c>
      <c r="V216" s="35">
        <v>2.6159999999999999E-2</v>
      </c>
      <c r="W216" s="34">
        <v>45408</v>
      </c>
      <c r="X216" s="35">
        <v>2.6159999999999999E-2</v>
      </c>
      <c r="Y216" s="34">
        <v>45407</v>
      </c>
      <c r="Z216" s="35">
        <v>2.6239999999999999E-2</v>
      </c>
      <c r="AA216" s="34">
        <v>45412</v>
      </c>
      <c r="AB216" s="35">
        <v>2.63E-2</v>
      </c>
      <c r="AC216" s="34">
        <v>45413</v>
      </c>
      <c r="AD216" s="35">
        <v>2.622E-2</v>
      </c>
      <c r="AE216" s="34">
        <v>45414</v>
      </c>
      <c r="AF216" s="35">
        <v>2.6239999999999999E-2</v>
      </c>
      <c r="AG216" s="34">
        <v>45415</v>
      </c>
      <c r="AH216" s="35">
        <v>2.6360000000000001E-2</v>
      </c>
      <c r="AI216" s="36">
        <v>5.3516819571866048E-3</v>
      </c>
      <c r="AK216" s="34">
        <v>45404</v>
      </c>
      <c r="AL216" s="35">
        <v>2.5899999999999999E-2</v>
      </c>
      <c r="AM216" s="34">
        <v>45418</v>
      </c>
      <c r="AN216" s="5">
        <v>2.64E-2</v>
      </c>
      <c r="AP216" s="36">
        <v>1.9305019305019266E-2</v>
      </c>
      <c r="AS216" s="5" t="s">
        <v>721</v>
      </c>
      <c r="AT216" s="5" t="s">
        <v>12400</v>
      </c>
      <c r="AU216" s="5" t="s">
        <v>12400</v>
      </c>
      <c r="AV216" s="5" t="s">
        <v>12400</v>
      </c>
      <c r="AW216" s="5" t="s">
        <v>12400</v>
      </c>
      <c r="AX216" s="5">
        <v>100</v>
      </c>
      <c r="AZ216" s="49" t="s">
        <v>12415</v>
      </c>
      <c r="BA216" s="50" t="s">
        <v>12415</v>
      </c>
      <c r="BC216" s="51">
        <v>0.11342000000000001</v>
      </c>
    </row>
    <row r="217" spans="1:55" ht="15" customHeight="1" x14ac:dyDescent="0.4">
      <c r="A217" s="27" t="s">
        <v>11166</v>
      </c>
      <c r="B217" s="44" t="s">
        <v>12113</v>
      </c>
      <c r="C217" s="45" t="s">
        <v>11627</v>
      </c>
      <c r="D217" s="46">
        <v>313.89999999999998</v>
      </c>
      <c r="E217" s="45" t="s">
        <v>12357</v>
      </c>
      <c r="F217" s="45"/>
      <c r="G217" s="9">
        <v>233.37694999999999</v>
      </c>
      <c r="H217" s="9">
        <v>1222.7</v>
      </c>
      <c r="I217" s="9">
        <v>30.803899999999999</v>
      </c>
      <c r="J217" s="9">
        <v>8469.5</v>
      </c>
      <c r="K217" s="9">
        <v>8469.5</v>
      </c>
      <c r="L217" s="9">
        <v>1932.1</v>
      </c>
      <c r="M217" s="9">
        <v>639.9</v>
      </c>
      <c r="N217" s="10" t="s">
        <v>12465</v>
      </c>
      <c r="P217" s="32">
        <v>45411</v>
      </c>
      <c r="R217" s="35">
        <v>76.63</v>
      </c>
      <c r="S217" s="34">
        <v>45410</v>
      </c>
      <c r="T217" s="35">
        <v>75.98</v>
      </c>
      <c r="U217" s="34">
        <v>45409</v>
      </c>
      <c r="V217" s="35">
        <v>75.98</v>
      </c>
      <c r="W217" s="34">
        <v>45408</v>
      </c>
      <c r="X217" s="35">
        <v>75.98</v>
      </c>
      <c r="Y217" s="34">
        <v>45407</v>
      </c>
      <c r="Z217" s="35">
        <v>75.709999999999994</v>
      </c>
      <c r="AA217" s="34">
        <v>45412</v>
      </c>
      <c r="AB217" s="35">
        <v>75.77</v>
      </c>
      <c r="AC217" s="34">
        <v>45413</v>
      </c>
      <c r="AD217" s="35">
        <v>76.28</v>
      </c>
      <c r="AE217" s="34">
        <v>45414</v>
      </c>
      <c r="AF217" s="35">
        <v>75.91</v>
      </c>
      <c r="AG217" s="34">
        <v>45415</v>
      </c>
      <c r="AH217" s="35">
        <v>76.540000000000006</v>
      </c>
      <c r="AI217" s="36">
        <v>-2.7638852329561203E-3</v>
      </c>
      <c r="AK217" s="34">
        <v>45404</v>
      </c>
      <c r="AL217" s="35">
        <v>76.22</v>
      </c>
      <c r="AM217" s="34">
        <v>45418</v>
      </c>
      <c r="AN217" s="5">
        <v>75.930000000000007</v>
      </c>
      <c r="AP217" s="36">
        <v>-3.8047756494357099E-3</v>
      </c>
      <c r="AS217" s="5" t="s">
        <v>12387</v>
      </c>
      <c r="AT217" s="5">
        <v>313.89999999999998</v>
      </c>
      <c r="AU217" s="5">
        <v>100</v>
      </c>
      <c r="AV217" s="5" t="s">
        <v>12400</v>
      </c>
      <c r="AW217" s="5" t="s">
        <v>12400</v>
      </c>
      <c r="AX217" s="5" t="s">
        <v>12400</v>
      </c>
      <c r="AZ217" s="49" t="s">
        <v>12403</v>
      </c>
      <c r="BA217" s="50" t="s">
        <v>12415</v>
      </c>
      <c r="BC217" s="51">
        <v>0.70387999999999995</v>
      </c>
    </row>
    <row r="218" spans="1:55" ht="15" customHeight="1" x14ac:dyDescent="0.4">
      <c r="A218" s="27" t="s">
        <v>11167</v>
      </c>
      <c r="B218" s="44" t="s">
        <v>12114</v>
      </c>
      <c r="C218" s="45" t="s">
        <v>11628</v>
      </c>
      <c r="D218" s="47">
        <v>0.308</v>
      </c>
      <c r="E218" s="45" t="s">
        <v>12357</v>
      </c>
      <c r="F218" s="45"/>
      <c r="G218" s="9">
        <v>394.34890999999999</v>
      </c>
      <c r="H218" s="9">
        <v>1013.7696</v>
      </c>
      <c r="I218" s="9">
        <v>14.3895</v>
      </c>
      <c r="J218" s="9">
        <v>9295.3646900000003</v>
      </c>
      <c r="K218" s="9">
        <v>9295.3646900000003</v>
      </c>
      <c r="L218" s="9">
        <v>726.99387000000002</v>
      </c>
      <c r="M218" s="9">
        <v>3248.3299200000001</v>
      </c>
      <c r="N218" s="10" t="s">
        <v>12467</v>
      </c>
      <c r="P218" s="32">
        <v>45411</v>
      </c>
      <c r="R218" s="35">
        <v>25.188590000000001</v>
      </c>
      <c r="S218" s="34">
        <v>45410</v>
      </c>
      <c r="T218" s="35">
        <v>24.996739999999999</v>
      </c>
      <c r="U218" s="34">
        <v>45409</v>
      </c>
      <c r="V218" s="35">
        <v>24.996739999999999</v>
      </c>
      <c r="W218" s="34">
        <v>45408</v>
      </c>
      <c r="X218" s="35">
        <v>24.996739999999999</v>
      </c>
      <c r="Y218" s="34">
        <v>45407</v>
      </c>
      <c r="Z218" s="35">
        <v>25.15936</v>
      </c>
      <c r="AA218" s="34">
        <v>45412</v>
      </c>
      <c r="AB218" s="35">
        <v>24.709399999999999</v>
      </c>
      <c r="AC218" s="34">
        <v>45413</v>
      </c>
      <c r="AD218" s="35">
        <v>24.519359999999999</v>
      </c>
      <c r="AE218" s="34">
        <v>45414</v>
      </c>
      <c r="AF218" s="35">
        <v>24.60915</v>
      </c>
      <c r="AG218" s="34">
        <v>45415</v>
      </c>
      <c r="AH218" s="35">
        <v>25.829920000000001</v>
      </c>
      <c r="AI218" s="36">
        <v>-1.1495098960904504E-2</v>
      </c>
      <c r="AK218" s="34">
        <v>45404</v>
      </c>
      <c r="AL218" s="35">
        <v>24.29684</v>
      </c>
      <c r="AM218" s="34">
        <v>45418</v>
      </c>
      <c r="AN218" s="5">
        <v>25.52797</v>
      </c>
      <c r="AP218" s="36">
        <v>5.0670375242212629E-2</v>
      </c>
      <c r="AS218" s="5" t="s">
        <v>12387</v>
      </c>
      <c r="AT218" s="5">
        <v>0.308</v>
      </c>
      <c r="AU218" s="5">
        <v>100</v>
      </c>
      <c r="AV218" s="5" t="s">
        <v>12400</v>
      </c>
      <c r="AW218" s="5" t="s">
        <v>12400</v>
      </c>
      <c r="AX218" s="5" t="s">
        <v>12400</v>
      </c>
      <c r="AZ218" s="49" t="s">
        <v>12452</v>
      </c>
      <c r="BA218" s="50" t="s">
        <v>12452</v>
      </c>
      <c r="BC218" s="51">
        <v>0.83825000000000005</v>
      </c>
    </row>
    <row r="219" spans="1:55" ht="15" customHeight="1" x14ac:dyDescent="0.4">
      <c r="A219" s="27" t="s">
        <v>11168</v>
      </c>
      <c r="B219" s="44" t="s">
        <v>12115</v>
      </c>
      <c r="C219" s="45" t="s">
        <v>11629</v>
      </c>
      <c r="D219" s="46">
        <v>94.29</v>
      </c>
      <c r="E219" s="45" t="s">
        <v>12358</v>
      </c>
      <c r="F219" s="45"/>
      <c r="G219" s="9">
        <v>33.967979999999997</v>
      </c>
      <c r="H219" s="9">
        <v>0</v>
      </c>
      <c r="I219" s="9">
        <v>0</v>
      </c>
      <c r="J219" s="9">
        <v>27.251239999999999</v>
      </c>
      <c r="K219" s="9">
        <v>27.251239999999999</v>
      </c>
      <c r="L219" s="9">
        <v>0.50007000000000001</v>
      </c>
      <c r="M219" s="9">
        <v>-0.50007000000000001</v>
      </c>
      <c r="N219" s="10" t="s">
        <v>12466</v>
      </c>
      <c r="P219" s="32">
        <v>45411</v>
      </c>
      <c r="R219" s="35">
        <v>0.26006000000000001</v>
      </c>
      <c r="S219" s="34">
        <v>45410</v>
      </c>
      <c r="T219" s="35">
        <v>0.25567000000000001</v>
      </c>
      <c r="U219" s="34">
        <v>45409</v>
      </c>
      <c r="V219" s="35">
        <v>0.25567000000000001</v>
      </c>
      <c r="W219" s="34">
        <v>45408</v>
      </c>
      <c r="X219" s="35">
        <v>0.25567000000000001</v>
      </c>
      <c r="Y219" s="34">
        <v>45407</v>
      </c>
      <c r="Z219" s="35">
        <v>0.26644000000000001</v>
      </c>
      <c r="AA219" s="34">
        <v>45412</v>
      </c>
      <c r="AB219" s="35">
        <v>0.22192000000000001</v>
      </c>
      <c r="AC219" s="34">
        <v>45413</v>
      </c>
      <c r="AD219" s="35">
        <v>0.26889000000000002</v>
      </c>
      <c r="AE219" s="34">
        <v>45414</v>
      </c>
      <c r="AF219" s="35">
        <v>0.27</v>
      </c>
      <c r="AG219" s="34">
        <v>45415</v>
      </c>
      <c r="AH219" s="35">
        <v>0.25944</v>
      </c>
      <c r="AI219" s="36">
        <v>-0.13200610161536352</v>
      </c>
      <c r="AK219" s="34">
        <v>45404</v>
      </c>
      <c r="AL219" s="35">
        <v>0.26225999999999999</v>
      </c>
      <c r="AM219" s="34">
        <v>45418</v>
      </c>
      <c r="AN219" s="5">
        <v>0.25623000000000001</v>
      </c>
      <c r="AP219" s="36">
        <v>-2.2992450240219564E-2</v>
      </c>
      <c r="AS219" s="5" t="s">
        <v>12387</v>
      </c>
      <c r="AT219" s="5">
        <v>94.29</v>
      </c>
      <c r="AU219" s="5">
        <v>100</v>
      </c>
      <c r="AV219" s="5" t="s">
        <v>12400</v>
      </c>
      <c r="AW219" s="5" t="s">
        <v>12400</v>
      </c>
      <c r="AX219" s="5" t="s">
        <v>12400</v>
      </c>
      <c r="AZ219" s="49" t="s">
        <v>12418</v>
      </c>
      <c r="BA219" s="50" t="s">
        <v>12430</v>
      </c>
      <c r="BC219" s="51">
        <v>-0.37781999999999999</v>
      </c>
    </row>
    <row r="220" spans="1:55" ht="15" customHeight="1" x14ac:dyDescent="0.4">
      <c r="A220" s="27" t="s">
        <v>11169</v>
      </c>
      <c r="B220" s="44" t="s">
        <v>12116</v>
      </c>
      <c r="C220" s="45" t="s">
        <v>11630</v>
      </c>
      <c r="D220" s="46">
        <v>5.36</v>
      </c>
      <c r="E220" s="45" t="s">
        <v>12357</v>
      </c>
      <c r="F220" s="45"/>
      <c r="G220" s="9">
        <v>49.926380000000002</v>
      </c>
      <c r="H220" s="9">
        <v>11.0022</v>
      </c>
      <c r="I220" s="9">
        <v>5.8728999999999996</v>
      </c>
      <c r="J220" s="9">
        <v>66.881219999999999</v>
      </c>
      <c r="K220" s="9">
        <v>66.881219999999999</v>
      </c>
      <c r="L220" s="9">
        <v>8.2656600000000005</v>
      </c>
      <c r="M220" s="9">
        <v>-0.15853</v>
      </c>
      <c r="N220" s="10" t="s">
        <v>12468</v>
      </c>
      <c r="P220" s="32">
        <v>45411</v>
      </c>
      <c r="R220" s="35">
        <v>3.42869</v>
      </c>
      <c r="S220" s="34">
        <v>45410</v>
      </c>
      <c r="T220" s="35">
        <v>3.3521899999999998</v>
      </c>
      <c r="U220" s="34">
        <v>45409</v>
      </c>
      <c r="V220" s="35">
        <v>3.3521899999999998</v>
      </c>
      <c r="W220" s="34">
        <v>45408</v>
      </c>
      <c r="X220" s="35">
        <v>3.3521899999999998</v>
      </c>
      <c r="Y220" s="34">
        <v>45407</v>
      </c>
      <c r="Z220" s="35">
        <v>3.3636900000000001</v>
      </c>
      <c r="AA220" s="34">
        <v>45412</v>
      </c>
      <c r="AB220" s="35">
        <v>3.5714299999999999</v>
      </c>
      <c r="AC220" s="34">
        <v>45413</v>
      </c>
      <c r="AD220" s="35">
        <v>3.5672299999999999</v>
      </c>
      <c r="AE220" s="34">
        <v>45414</v>
      </c>
      <c r="AF220" s="35">
        <v>3.7231200000000002</v>
      </c>
      <c r="AG220" s="34">
        <v>45415</v>
      </c>
      <c r="AH220" s="35">
        <v>3.8349700000000002</v>
      </c>
      <c r="AI220" s="36">
        <v>6.5402020768512648E-2</v>
      </c>
      <c r="AK220" s="34">
        <v>45404</v>
      </c>
      <c r="AL220" s="35">
        <v>3.0654599999999999</v>
      </c>
      <c r="AM220" s="34">
        <v>45418</v>
      </c>
      <c r="AN220" s="5">
        <v>3.9219900000000001</v>
      </c>
      <c r="AP220" s="36">
        <v>0.27941320389109636</v>
      </c>
      <c r="AS220" s="5" t="s">
        <v>12387</v>
      </c>
      <c r="AT220" s="5">
        <v>5.36</v>
      </c>
      <c r="AU220" s="5">
        <v>100</v>
      </c>
      <c r="AV220" s="5" t="s">
        <v>12400</v>
      </c>
      <c r="AW220" s="5" t="s">
        <v>12400</v>
      </c>
      <c r="AX220" s="5" t="s">
        <v>12400</v>
      </c>
      <c r="AZ220" s="49" t="s">
        <v>12413</v>
      </c>
      <c r="BA220" s="50" t="s">
        <v>12406</v>
      </c>
      <c r="BC220" s="51">
        <v>-0.56532000000000004</v>
      </c>
    </row>
    <row r="221" spans="1:55" ht="15" customHeight="1" x14ac:dyDescent="0.4">
      <c r="A221" s="27" t="s">
        <v>11170</v>
      </c>
      <c r="B221" s="44" t="s">
        <v>12117</v>
      </c>
      <c r="C221" s="45" t="s">
        <v>11631</v>
      </c>
      <c r="D221" s="46">
        <v>6.88</v>
      </c>
      <c r="E221" s="45" t="s">
        <v>12357</v>
      </c>
      <c r="F221" s="45"/>
      <c r="G221" s="9">
        <v>2.9582899999999999</v>
      </c>
      <c r="H221" s="9">
        <v>162.46471</v>
      </c>
      <c r="I221" s="9">
        <v>23.0243</v>
      </c>
      <c r="J221" s="9">
        <v>712.30395999999996</v>
      </c>
      <c r="K221" s="9">
        <v>712.30395999999996</v>
      </c>
      <c r="L221" s="9">
        <v>110.39145000000001</v>
      </c>
      <c r="M221" s="9">
        <v>175.24024</v>
      </c>
      <c r="N221" s="10" t="s">
        <v>12467</v>
      </c>
      <c r="P221" s="32">
        <v>45411</v>
      </c>
      <c r="R221" s="35">
        <v>690.25450000000001</v>
      </c>
      <c r="S221" s="34">
        <v>45410</v>
      </c>
      <c r="T221" s="35">
        <v>674.35713999999996</v>
      </c>
      <c r="U221" s="34">
        <v>45409</v>
      </c>
      <c r="V221" s="35">
        <v>674.35713999999996</v>
      </c>
      <c r="W221" s="34">
        <v>45408</v>
      </c>
      <c r="X221" s="35">
        <v>674.35713999999996</v>
      </c>
      <c r="Y221" s="34">
        <v>45407</v>
      </c>
      <c r="Z221" s="35">
        <v>672.08968000000004</v>
      </c>
      <c r="AA221" s="34">
        <v>45412</v>
      </c>
      <c r="AB221" s="35">
        <v>682.15521999999999</v>
      </c>
      <c r="AC221" s="34">
        <v>45413</v>
      </c>
      <c r="AD221" s="35">
        <v>681.16192999999998</v>
      </c>
      <c r="AE221" s="34">
        <v>45414</v>
      </c>
      <c r="AF221" s="35">
        <v>676.52651000000003</v>
      </c>
      <c r="AG221" s="34">
        <v>45415</v>
      </c>
      <c r="AH221" s="35">
        <v>681.96525999999994</v>
      </c>
      <c r="AI221" s="36">
        <v>1.1563724230754024E-2</v>
      </c>
      <c r="AK221" s="34">
        <v>45404</v>
      </c>
      <c r="AL221" s="35">
        <v>676.69173000000001</v>
      </c>
      <c r="AM221" s="34">
        <v>45418</v>
      </c>
      <c r="AN221" s="5">
        <v>720.39621999999997</v>
      </c>
      <c r="AP221" s="36">
        <v>6.4585524046525622E-2</v>
      </c>
      <c r="AS221" s="5" t="s">
        <v>12387</v>
      </c>
      <c r="AT221" s="5">
        <v>6.88</v>
      </c>
      <c r="AU221" s="5">
        <v>100</v>
      </c>
      <c r="AV221" s="5" t="s">
        <v>12400</v>
      </c>
      <c r="AW221" s="5" t="s">
        <v>12400</v>
      </c>
      <c r="AX221" s="5" t="s">
        <v>12400</v>
      </c>
      <c r="AZ221" s="49" t="s">
        <v>12425</v>
      </c>
      <c r="BA221" s="50" t="s">
        <v>12425</v>
      </c>
      <c r="BC221" s="51">
        <v>0.81176999999999999</v>
      </c>
    </row>
    <row r="222" spans="1:55" ht="15" customHeight="1" x14ac:dyDescent="0.4">
      <c r="A222" s="27" t="s">
        <v>11171</v>
      </c>
      <c r="B222" s="44" t="s">
        <v>12118</v>
      </c>
      <c r="C222" s="45" t="s">
        <v>11632</v>
      </c>
      <c r="D222" s="46">
        <v>13.56</v>
      </c>
      <c r="E222" s="45" t="s">
        <v>12359</v>
      </c>
      <c r="F222" s="45"/>
      <c r="G222" s="9">
        <v>120.28143</v>
      </c>
      <c r="H222" s="9">
        <v>53.277329999999999</v>
      </c>
      <c r="I222" s="9">
        <v>9.3591999999999995</v>
      </c>
      <c r="J222" s="9">
        <v>720.68088999999998</v>
      </c>
      <c r="K222" s="9">
        <v>720.68088999999998</v>
      </c>
      <c r="L222" s="9">
        <v>44.54515</v>
      </c>
      <c r="M222" s="9">
        <v>159.50039000000001</v>
      </c>
      <c r="N222" s="10" t="s">
        <v>12470</v>
      </c>
      <c r="P222" s="32">
        <v>45408</v>
      </c>
      <c r="R222" s="35">
        <v>1.7807200000000001</v>
      </c>
      <c r="S222" s="34">
        <v>45407</v>
      </c>
      <c r="T222" s="35">
        <v>1.7889699999999999</v>
      </c>
      <c r="U222" s="34">
        <v>45406</v>
      </c>
      <c r="V222" s="35">
        <v>1.8059400000000001</v>
      </c>
      <c r="W222" s="34">
        <v>45405</v>
      </c>
      <c r="X222" s="35">
        <v>1.8189599999999999</v>
      </c>
      <c r="Y222" s="34">
        <v>45404</v>
      </c>
      <c r="Z222" s="35">
        <v>1.7881899999999999</v>
      </c>
      <c r="AA222" s="34">
        <v>45409</v>
      </c>
      <c r="AB222" s="35">
        <v>1.7807200000000001</v>
      </c>
      <c r="AC222" s="34">
        <v>45410</v>
      </c>
      <c r="AD222" s="35">
        <v>1.7807200000000001</v>
      </c>
      <c r="AE222" s="34">
        <v>45411</v>
      </c>
      <c r="AF222" s="35">
        <v>1.8214900000000001</v>
      </c>
      <c r="AG222" s="34">
        <v>45412</v>
      </c>
      <c r="AH222" s="35">
        <v>1.8349</v>
      </c>
      <c r="AI222" s="36">
        <v>-4.6115921452007935E-3</v>
      </c>
      <c r="AK222" s="34">
        <v>45401</v>
      </c>
      <c r="AL222" s="35">
        <v>1.8133300000000001</v>
      </c>
      <c r="AM222" s="34">
        <v>45415</v>
      </c>
      <c r="AN222" s="5">
        <v>1.8679300000000001</v>
      </c>
      <c r="AP222" s="36">
        <v>3.0110349467554087E-2</v>
      </c>
      <c r="AS222" s="5" t="s">
        <v>12388</v>
      </c>
      <c r="AT222" s="5">
        <v>6.7</v>
      </c>
      <c r="AU222" s="5">
        <v>67.64</v>
      </c>
      <c r="AV222" s="5" t="s">
        <v>12400</v>
      </c>
      <c r="AW222" s="5" t="s">
        <v>12400</v>
      </c>
      <c r="AX222" s="5">
        <v>32.36</v>
      </c>
      <c r="AZ222" s="49" t="s">
        <v>12419</v>
      </c>
      <c r="BA222" s="50" t="s">
        <v>12409</v>
      </c>
      <c r="BC222" s="51">
        <v>-0.50407000000000002</v>
      </c>
    </row>
    <row r="223" spans="1:55" ht="15" customHeight="1" x14ac:dyDescent="0.4">
      <c r="A223" s="27" t="s">
        <v>11172</v>
      </c>
      <c r="B223" s="44" t="s">
        <v>12119</v>
      </c>
      <c r="C223" s="45" t="s">
        <v>11633</v>
      </c>
      <c r="D223" s="46">
        <v>23.59</v>
      </c>
      <c r="E223" s="45" t="s">
        <v>12357</v>
      </c>
      <c r="F223" s="45"/>
      <c r="G223" s="9">
        <v>287.39744999999999</v>
      </c>
      <c r="H223" s="9">
        <v>147.76248000000001</v>
      </c>
      <c r="I223" s="9">
        <v>12.542199999999999</v>
      </c>
      <c r="J223" s="9">
        <v>1128.30477</v>
      </c>
      <c r="K223" s="9">
        <v>1128.30477</v>
      </c>
      <c r="L223" s="9">
        <v>95.359499999999997</v>
      </c>
      <c r="M223" s="9">
        <v>126.08535000000001</v>
      </c>
      <c r="N223" s="10" t="s">
        <v>12467</v>
      </c>
      <c r="P223" s="32">
        <v>45408</v>
      </c>
      <c r="R223" s="35">
        <v>6.3114800000000004</v>
      </c>
      <c r="S223" s="34">
        <v>45407</v>
      </c>
      <c r="T223" s="35">
        <v>6.2446200000000003</v>
      </c>
      <c r="U223" s="34">
        <v>45406</v>
      </c>
      <c r="V223" s="35">
        <v>6.5934200000000001</v>
      </c>
      <c r="W223" s="34">
        <v>45405</v>
      </c>
      <c r="X223" s="35">
        <v>5.9678699999999996</v>
      </c>
      <c r="Y223" s="34">
        <v>45404</v>
      </c>
      <c r="Z223" s="35">
        <v>5.8717600000000001</v>
      </c>
      <c r="AA223" s="34">
        <v>45409</v>
      </c>
      <c r="AB223" s="35">
        <v>6.3114800000000004</v>
      </c>
      <c r="AC223" s="34">
        <v>45410</v>
      </c>
      <c r="AD223" s="35">
        <v>6.3114800000000004</v>
      </c>
      <c r="AE223" s="34">
        <v>45411</v>
      </c>
      <c r="AF223" s="35">
        <v>6.3960999999999997</v>
      </c>
      <c r="AG223" s="34">
        <v>45412</v>
      </c>
      <c r="AH223" s="35">
        <v>6.5369700000000002</v>
      </c>
      <c r="AI223" s="36">
        <v>1.0706816427580979E-2</v>
      </c>
      <c r="AK223" s="34">
        <v>45401</v>
      </c>
      <c r="AL223" s="35">
        <v>5.9484899999999996</v>
      </c>
      <c r="AM223" s="34">
        <v>45415</v>
      </c>
      <c r="AN223" s="5">
        <v>6.7859999999999996</v>
      </c>
      <c r="AP223" s="36">
        <v>0.14079371403499041</v>
      </c>
      <c r="AS223" s="5" t="s">
        <v>12387</v>
      </c>
      <c r="AT223" s="5">
        <v>23.59</v>
      </c>
      <c r="AU223" s="5">
        <v>100</v>
      </c>
      <c r="AV223" s="5" t="s">
        <v>12400</v>
      </c>
      <c r="AW223" s="5" t="s">
        <v>12400</v>
      </c>
      <c r="AX223" s="5" t="s">
        <v>12400</v>
      </c>
      <c r="AZ223" s="49" t="s">
        <v>12409</v>
      </c>
      <c r="BA223" s="50" t="s">
        <v>12410</v>
      </c>
      <c r="BC223" s="51">
        <v>1.03295</v>
      </c>
    </row>
    <row r="224" spans="1:55" ht="15" customHeight="1" x14ac:dyDescent="0.4">
      <c r="A224" s="27" t="s">
        <v>11173</v>
      </c>
      <c r="B224" s="44" t="s">
        <v>12120</v>
      </c>
      <c r="C224" s="45" t="s">
        <v>11634</v>
      </c>
      <c r="D224" s="46">
        <v>227.3</v>
      </c>
      <c r="E224" s="45" t="s">
        <v>12357</v>
      </c>
      <c r="F224" s="45"/>
      <c r="G224" s="9">
        <v>233.24766</v>
      </c>
      <c r="H224" s="9">
        <v>111.2392</v>
      </c>
      <c r="I224" s="9">
        <v>14.8089</v>
      </c>
      <c r="J224" s="9">
        <v>5545.8856500000002</v>
      </c>
      <c r="K224" s="9">
        <v>5545.8856500000002</v>
      </c>
      <c r="L224" s="9">
        <v>126.13027</v>
      </c>
      <c r="M224" s="9">
        <v>651.75522000000001</v>
      </c>
      <c r="N224" s="10" t="s">
        <v>12470</v>
      </c>
      <c r="P224" s="32">
        <v>45408</v>
      </c>
      <c r="R224" s="35">
        <v>28.196709999999999</v>
      </c>
      <c r="S224" s="34">
        <v>45407</v>
      </c>
      <c r="T224" s="35">
        <v>28.450330000000001</v>
      </c>
      <c r="U224" s="34">
        <v>45406</v>
      </c>
      <c r="V224" s="35">
        <v>28.640740000000001</v>
      </c>
      <c r="W224" s="34">
        <v>45405</v>
      </c>
      <c r="X224" s="35">
        <v>28.94576</v>
      </c>
      <c r="Y224" s="34">
        <v>45404</v>
      </c>
      <c r="Z224" s="35">
        <v>28.3887</v>
      </c>
      <c r="AA224" s="34">
        <v>45409</v>
      </c>
      <c r="AB224" s="35">
        <v>28.196709999999999</v>
      </c>
      <c r="AC224" s="34">
        <v>45410</v>
      </c>
      <c r="AD224" s="35">
        <v>28.196709999999999</v>
      </c>
      <c r="AE224" s="34">
        <v>45411</v>
      </c>
      <c r="AF224" s="35">
        <v>27.815100000000001</v>
      </c>
      <c r="AG224" s="34">
        <v>45412</v>
      </c>
      <c r="AH224" s="35">
        <v>28.108460000000001</v>
      </c>
      <c r="AI224" s="36">
        <v>-8.9144835929847455E-3</v>
      </c>
      <c r="AK224" s="34">
        <v>45401</v>
      </c>
      <c r="AL224" s="35">
        <v>28.33793</v>
      </c>
      <c r="AM224" s="34">
        <v>45415</v>
      </c>
      <c r="AN224" s="5">
        <v>29.571549999999998</v>
      </c>
      <c r="AP224" s="36">
        <v>4.353246690919188E-2</v>
      </c>
      <c r="AS224" s="5" t="s">
        <v>721</v>
      </c>
      <c r="AT224" s="5" t="s">
        <v>12400</v>
      </c>
      <c r="AU224" s="5" t="s">
        <v>12400</v>
      </c>
      <c r="AV224" s="5" t="s">
        <v>12400</v>
      </c>
      <c r="AW224" s="5" t="s">
        <v>12400</v>
      </c>
      <c r="AX224" s="5">
        <v>100</v>
      </c>
      <c r="AZ224" s="49" t="s">
        <v>12408</v>
      </c>
      <c r="BA224" s="50" t="s">
        <v>12408</v>
      </c>
      <c r="BC224" s="51">
        <v>0.98333999999999999</v>
      </c>
    </row>
    <row r="225" spans="1:55" ht="15" customHeight="1" x14ac:dyDescent="0.4">
      <c r="A225" s="27" t="s">
        <v>11174</v>
      </c>
      <c r="B225" s="44" t="s">
        <v>12121</v>
      </c>
      <c r="C225" s="45" t="s">
        <v>11635</v>
      </c>
      <c r="D225" s="46">
        <v>34.28</v>
      </c>
      <c r="E225" s="45" t="s">
        <v>12357</v>
      </c>
      <c r="F225" s="45"/>
      <c r="G225" s="9">
        <v>41.631929999999997</v>
      </c>
      <c r="H225" s="9">
        <v>41.956339999999997</v>
      </c>
      <c r="I225" s="9">
        <v>22.148199999999999</v>
      </c>
      <c r="J225" s="9">
        <v>506.31373000000002</v>
      </c>
      <c r="K225" s="9">
        <v>506.31373000000002</v>
      </c>
      <c r="L225" s="9">
        <v>90.655630000000002</v>
      </c>
      <c r="M225" s="9">
        <v>97.082899999999995</v>
      </c>
      <c r="N225" s="10" t="s">
        <v>12465</v>
      </c>
      <c r="P225" s="32">
        <v>45408</v>
      </c>
      <c r="R225" s="35">
        <v>9.5417799999999993</v>
      </c>
      <c r="S225" s="34">
        <v>45407</v>
      </c>
      <c r="T225" s="35">
        <v>9.5161499999999997</v>
      </c>
      <c r="U225" s="34">
        <v>45406</v>
      </c>
      <c r="V225" s="35">
        <v>9.4861000000000004</v>
      </c>
      <c r="W225" s="34">
        <v>45405</v>
      </c>
      <c r="X225" s="35">
        <v>9.3552700000000009</v>
      </c>
      <c r="Y225" s="34">
        <v>45404</v>
      </c>
      <c r="Z225" s="35">
        <v>9.2591400000000004</v>
      </c>
      <c r="AA225" s="34">
        <v>45409</v>
      </c>
      <c r="AB225" s="35">
        <v>9.5417799999999993</v>
      </c>
      <c r="AC225" s="34">
        <v>45410</v>
      </c>
      <c r="AD225" s="35">
        <v>9.5417799999999993</v>
      </c>
      <c r="AE225" s="34">
        <v>45411</v>
      </c>
      <c r="AF225" s="35">
        <v>9.5861699999999992</v>
      </c>
      <c r="AG225" s="34">
        <v>45412</v>
      </c>
      <c r="AH225" s="35">
        <v>9.7934599999999996</v>
      </c>
      <c r="AI225" s="36">
        <v>2.6933160994728755E-3</v>
      </c>
      <c r="AK225" s="34">
        <v>45401</v>
      </c>
      <c r="AL225" s="35">
        <v>9.2091600000000007</v>
      </c>
      <c r="AM225" s="34">
        <v>45415</v>
      </c>
      <c r="AN225" s="5">
        <v>10.039110000000001</v>
      </c>
      <c r="AP225" s="36">
        <v>9.0122226131373662E-2</v>
      </c>
      <c r="AS225" s="5" t="s">
        <v>12387</v>
      </c>
      <c r="AT225" s="5">
        <v>16.91</v>
      </c>
      <c r="AU225" s="5">
        <v>100</v>
      </c>
      <c r="AV225" s="5" t="s">
        <v>12400</v>
      </c>
      <c r="AW225" s="5" t="s">
        <v>12400</v>
      </c>
      <c r="AX225" s="5" t="s">
        <v>12400</v>
      </c>
      <c r="AZ225" s="49" t="s">
        <v>12420</v>
      </c>
      <c r="BA225" s="50" t="s">
        <v>12410</v>
      </c>
      <c r="BC225" s="51">
        <v>-0.43519999999999998</v>
      </c>
    </row>
    <row r="226" spans="1:55" ht="15" customHeight="1" x14ac:dyDescent="0.4">
      <c r="A226" s="27" t="s">
        <v>11175</v>
      </c>
      <c r="B226" s="44" t="s">
        <v>12122</v>
      </c>
      <c r="C226" s="45" t="s">
        <v>11636</v>
      </c>
      <c r="D226" s="46">
        <v>1.87</v>
      </c>
      <c r="E226" s="45" t="s">
        <v>12357</v>
      </c>
      <c r="F226" s="45"/>
      <c r="G226" s="9">
        <v>1.50895</v>
      </c>
      <c r="H226" s="9">
        <v>4.2476000000000003</v>
      </c>
      <c r="I226" s="9">
        <v>14.296799999999999</v>
      </c>
      <c r="J226" s="9">
        <v>39.769579999999998</v>
      </c>
      <c r="K226" s="9">
        <v>39.769579999999998</v>
      </c>
      <c r="L226" s="9">
        <v>14.975669999999999</v>
      </c>
      <c r="M226" s="9">
        <v>-14.755750000000001</v>
      </c>
      <c r="N226" s="10" t="s">
        <v>12468</v>
      </c>
      <c r="P226" s="32">
        <v>45408</v>
      </c>
      <c r="R226" s="35">
        <v>15.0877</v>
      </c>
      <c r="S226" s="34">
        <v>45407</v>
      </c>
      <c r="T226" s="35">
        <v>15.257999999999999</v>
      </c>
      <c r="U226" s="34">
        <v>45406</v>
      </c>
      <c r="V226" s="35">
        <v>15.41249</v>
      </c>
      <c r="W226" s="34">
        <v>45405</v>
      </c>
      <c r="X226" s="35">
        <v>15.3703</v>
      </c>
      <c r="Y226" s="34">
        <v>45404</v>
      </c>
      <c r="Z226" s="35">
        <v>15.306979999999999</v>
      </c>
      <c r="AA226" s="34">
        <v>45409</v>
      </c>
      <c r="AB226" s="35">
        <v>15.0877</v>
      </c>
      <c r="AC226" s="34">
        <v>45410</v>
      </c>
      <c r="AD226" s="35">
        <v>15.0877</v>
      </c>
      <c r="AE226" s="34">
        <v>45411</v>
      </c>
      <c r="AF226" s="35">
        <v>15.1579</v>
      </c>
      <c r="AG226" s="34">
        <v>45412</v>
      </c>
      <c r="AH226" s="35">
        <v>15.24274</v>
      </c>
      <c r="AI226" s="36">
        <v>-1.1161357976143593E-2</v>
      </c>
      <c r="AK226" s="34">
        <v>45401</v>
      </c>
      <c r="AL226" s="35">
        <v>15.531969999999999</v>
      </c>
      <c r="AM226" s="34">
        <v>45415</v>
      </c>
      <c r="AN226" s="5">
        <v>15.38894</v>
      </c>
      <c r="AP226" s="36">
        <v>-9.2087481497838963E-3</v>
      </c>
      <c r="AS226" s="5" t="s">
        <v>12387</v>
      </c>
      <c r="AT226" s="5">
        <v>1.87</v>
      </c>
      <c r="AU226" s="5">
        <v>100</v>
      </c>
      <c r="AV226" s="5" t="s">
        <v>12400</v>
      </c>
      <c r="AW226" s="5" t="s">
        <v>12400</v>
      </c>
      <c r="AX226" s="5" t="s">
        <v>12400</v>
      </c>
      <c r="AZ226" s="49" t="s">
        <v>12420</v>
      </c>
      <c r="BA226" s="50" t="s">
        <v>12415</v>
      </c>
      <c r="BC226" s="51">
        <v>0.14383000000000001</v>
      </c>
    </row>
    <row r="227" spans="1:55" ht="15" customHeight="1" x14ac:dyDescent="0.4">
      <c r="A227" s="27" t="s">
        <v>11054</v>
      </c>
      <c r="B227" s="44" t="s">
        <v>11999</v>
      </c>
      <c r="C227" s="45" t="s">
        <v>11637</v>
      </c>
      <c r="D227" s="46">
        <v>4.45</v>
      </c>
      <c r="E227" s="45" t="s">
        <v>12357</v>
      </c>
      <c r="F227" s="45"/>
      <c r="G227" s="9">
        <v>58.56756</v>
      </c>
      <c r="H227" s="9">
        <v>-2.6896399999999998</v>
      </c>
      <c r="I227" s="9">
        <v>-145.566</v>
      </c>
      <c r="J227" s="9">
        <v>23.44547</v>
      </c>
      <c r="K227" s="9">
        <v>23.44547</v>
      </c>
      <c r="L227" s="9">
        <v>0.47732000000000002</v>
      </c>
      <c r="M227" s="9">
        <v>4.7034399999999996</v>
      </c>
      <c r="N227" s="10" t="s">
        <v>12466</v>
      </c>
      <c r="P227" s="32">
        <v>45407</v>
      </c>
      <c r="R227" s="35">
        <v>0.45506000000000002</v>
      </c>
      <c r="S227" s="34">
        <v>45406</v>
      </c>
      <c r="T227" s="35">
        <v>0.46189000000000002</v>
      </c>
      <c r="U227" s="34">
        <v>45405</v>
      </c>
      <c r="V227" s="35">
        <v>0.4501</v>
      </c>
      <c r="W227" s="34">
        <v>45404</v>
      </c>
      <c r="X227" s="35">
        <v>0.44413999999999998</v>
      </c>
      <c r="Y227" s="34">
        <v>45403</v>
      </c>
      <c r="Z227" s="35">
        <v>0.45323000000000002</v>
      </c>
      <c r="AA227" s="34">
        <v>45408</v>
      </c>
      <c r="AB227" s="35">
        <v>0.47084999999999999</v>
      </c>
      <c r="AC227" s="34">
        <v>45409</v>
      </c>
      <c r="AD227" s="35">
        <v>0.47084999999999999</v>
      </c>
      <c r="AE227" s="34">
        <v>45410</v>
      </c>
      <c r="AF227" s="35">
        <v>0.47084999999999999</v>
      </c>
      <c r="AG227" s="34">
        <v>45411</v>
      </c>
      <c r="AH227" s="35">
        <v>0.44569999999999999</v>
      </c>
      <c r="AI227" s="36">
        <v>1.9398558098248531E-2</v>
      </c>
      <c r="AK227" s="34">
        <v>45400</v>
      </c>
      <c r="AL227" s="35">
        <v>0.45006000000000002</v>
      </c>
      <c r="AM227" s="34">
        <v>45414</v>
      </c>
      <c r="AN227" s="5">
        <v>0.41004000000000002</v>
      </c>
      <c r="AP227" s="36">
        <v>-8.8921477136381766E-2</v>
      </c>
      <c r="AS227" s="5" t="s">
        <v>12392</v>
      </c>
      <c r="AT227" s="5" t="s">
        <v>12400</v>
      </c>
      <c r="AU227" s="5" t="s">
        <v>12400</v>
      </c>
      <c r="AV227" s="5" t="s">
        <v>12400</v>
      </c>
      <c r="AW227" s="5" t="s">
        <v>12400</v>
      </c>
      <c r="AX227" s="5">
        <v>100</v>
      </c>
      <c r="AZ227" s="49" t="s">
        <v>12408</v>
      </c>
      <c r="BA227" s="50" t="s">
        <v>12408</v>
      </c>
      <c r="BC227" s="51">
        <v>0.31846000000000002</v>
      </c>
    </row>
    <row r="228" spans="1:55" ht="15" customHeight="1" x14ac:dyDescent="0.4">
      <c r="A228" s="27" t="s">
        <v>11176</v>
      </c>
      <c r="B228" s="44" t="s">
        <v>12123</v>
      </c>
      <c r="C228" s="45" t="s">
        <v>11638</v>
      </c>
      <c r="D228" s="47">
        <v>0.106</v>
      </c>
      <c r="E228" s="45" t="s">
        <v>12357</v>
      </c>
      <c r="F228" s="45"/>
      <c r="G228" s="9">
        <v>54.258119999999998</v>
      </c>
      <c r="H228" s="9">
        <v>5.8789800000000003</v>
      </c>
      <c r="I228" s="9">
        <v>11.258100000000001</v>
      </c>
      <c r="J228" s="9">
        <v>83.125450000000001</v>
      </c>
      <c r="K228" s="9">
        <v>83.125450000000001</v>
      </c>
      <c r="L228" s="9">
        <v>3.9516</v>
      </c>
      <c r="M228" s="9">
        <v>-0.18942999999999999</v>
      </c>
      <c r="N228" s="10" t="s">
        <v>12468</v>
      </c>
      <c r="P228" s="32">
        <v>45407</v>
      </c>
      <c r="R228" s="35">
        <v>2.65924</v>
      </c>
      <c r="S228" s="34">
        <v>45406</v>
      </c>
      <c r="T228" s="35">
        <v>2.6630799999999999</v>
      </c>
      <c r="U228" s="34">
        <v>45405</v>
      </c>
      <c r="V228" s="35">
        <v>2.68831</v>
      </c>
      <c r="W228" s="34">
        <v>45404</v>
      </c>
      <c r="X228" s="35">
        <v>2.6381700000000001</v>
      </c>
      <c r="Y228" s="34">
        <v>45403</v>
      </c>
      <c r="Z228" s="35">
        <v>2.7130299999999998</v>
      </c>
      <c r="AA228" s="34">
        <v>45408</v>
      </c>
      <c r="AB228" s="35">
        <v>2.6176200000000001</v>
      </c>
      <c r="AC228" s="34">
        <v>45409</v>
      </c>
      <c r="AD228" s="35">
        <v>2.6176200000000001</v>
      </c>
      <c r="AE228" s="34">
        <v>45410</v>
      </c>
      <c r="AF228" s="35">
        <v>2.6176200000000001</v>
      </c>
      <c r="AG228" s="34">
        <v>45411</v>
      </c>
      <c r="AH228" s="35">
        <v>2.617</v>
      </c>
      <c r="AI228" s="36">
        <v>-1.7070459768388391E-2</v>
      </c>
      <c r="AK228" s="34">
        <v>45400</v>
      </c>
      <c r="AL228" s="35">
        <v>2.69123</v>
      </c>
      <c r="AM228" s="34">
        <v>45414</v>
      </c>
      <c r="AN228" s="5">
        <v>2.4484699999999999</v>
      </c>
      <c r="AP228" s="36">
        <v>-9.0204107415568391E-2</v>
      </c>
      <c r="AS228" s="5" t="s">
        <v>721</v>
      </c>
      <c r="AT228" s="5" t="s">
        <v>12400</v>
      </c>
      <c r="AU228" s="5" t="s">
        <v>12400</v>
      </c>
      <c r="AV228" s="5" t="s">
        <v>12400</v>
      </c>
      <c r="AW228" s="5" t="s">
        <v>12400</v>
      </c>
      <c r="AX228" s="5">
        <v>100</v>
      </c>
      <c r="AZ228" s="49" t="s">
        <v>12409</v>
      </c>
      <c r="BA228" s="50" t="s">
        <v>12410</v>
      </c>
      <c r="BC228" s="51">
        <v>0.63078999999999996</v>
      </c>
    </row>
    <row r="229" spans="1:55" ht="15" customHeight="1" x14ac:dyDescent="0.4">
      <c r="A229" s="27" t="e">
        <v>#VALUE!</v>
      </c>
      <c r="B229" s="44" t="s">
        <v>12124</v>
      </c>
      <c r="C229" s="45" t="s">
        <v>11639</v>
      </c>
      <c r="D229" s="46">
        <v>2.68</v>
      </c>
      <c r="E229" s="45" t="s">
        <v>12357</v>
      </c>
      <c r="F229" s="45"/>
      <c r="G229" s="9" t="s">
        <v>11416</v>
      </c>
      <c r="H229" s="9" t="s">
        <v>11416</v>
      </c>
      <c r="I229" s="9" t="s">
        <v>11416</v>
      </c>
      <c r="J229" s="9" t="s">
        <v>11416</v>
      </c>
      <c r="K229" s="9" t="s">
        <v>11416</v>
      </c>
      <c r="L229" s="9" t="s">
        <v>11416</v>
      </c>
      <c r="M229" s="9" t="s">
        <v>11416</v>
      </c>
      <c r="N229" s="10" t="s">
        <v>11416</v>
      </c>
      <c r="P229" s="32">
        <v>45407</v>
      </c>
      <c r="R229" s="35" t="s">
        <v>11416</v>
      </c>
      <c r="S229" s="34">
        <v>45406</v>
      </c>
      <c r="T229" s="35" t="s">
        <v>11416</v>
      </c>
      <c r="U229" s="34">
        <v>45405</v>
      </c>
      <c r="V229" s="35" t="s">
        <v>11416</v>
      </c>
      <c r="W229" s="34">
        <v>45404</v>
      </c>
      <c r="X229" s="35" t="s">
        <v>11416</v>
      </c>
      <c r="Y229" s="34">
        <v>45403</v>
      </c>
      <c r="Z229" s="35" t="s">
        <v>11416</v>
      </c>
      <c r="AA229" s="34">
        <v>45408</v>
      </c>
      <c r="AB229" s="35" t="s">
        <v>11416</v>
      </c>
      <c r="AC229" s="34">
        <v>45409</v>
      </c>
      <c r="AD229" s="35" t="s">
        <v>11416</v>
      </c>
      <c r="AE229" s="34">
        <v>45410</v>
      </c>
      <c r="AF229" s="35" t="s">
        <v>11416</v>
      </c>
      <c r="AG229" s="34">
        <v>45411</v>
      </c>
      <c r="AH229" s="35" t="s">
        <v>11416</v>
      </c>
      <c r="AI229" s="36" t="s">
        <v>318</v>
      </c>
      <c r="AK229" s="34">
        <v>45400</v>
      </c>
      <c r="AL229" s="35" t="s">
        <v>11416</v>
      </c>
      <c r="AM229" s="34">
        <v>45414</v>
      </c>
      <c r="AN229" s="5" t="s">
        <v>11416</v>
      </c>
      <c r="AP229" s="36" t="s">
        <v>318</v>
      </c>
      <c r="AS229" s="5" t="s">
        <v>12387</v>
      </c>
      <c r="AT229" s="5" t="s">
        <v>12400</v>
      </c>
      <c r="AU229" s="5" t="s">
        <v>12400</v>
      </c>
      <c r="AV229" s="5" t="s">
        <v>12400</v>
      </c>
      <c r="AW229" s="5" t="s">
        <v>12400</v>
      </c>
      <c r="AX229" s="5" t="s">
        <v>12400</v>
      </c>
      <c r="AZ229" s="49" t="s">
        <v>12444</v>
      </c>
      <c r="BA229" s="50" t="s">
        <v>12415</v>
      </c>
      <c r="BC229" s="51" t="s">
        <v>11416</v>
      </c>
    </row>
    <row r="230" spans="1:55" ht="15" customHeight="1" x14ac:dyDescent="0.4">
      <c r="A230" s="27" t="e">
        <v>#VALUE!</v>
      </c>
      <c r="B230" s="44" t="s">
        <v>12124</v>
      </c>
      <c r="C230" s="45" t="s">
        <v>11640</v>
      </c>
      <c r="D230" s="46">
        <v>7.93</v>
      </c>
      <c r="E230" s="45" t="s">
        <v>12357</v>
      </c>
      <c r="F230" s="45"/>
      <c r="G230" s="9" t="s">
        <v>11416</v>
      </c>
      <c r="H230" s="9" t="s">
        <v>11416</v>
      </c>
      <c r="I230" s="9" t="s">
        <v>11416</v>
      </c>
      <c r="J230" s="9" t="s">
        <v>11416</v>
      </c>
      <c r="K230" s="9" t="s">
        <v>11416</v>
      </c>
      <c r="L230" s="9" t="s">
        <v>11416</v>
      </c>
      <c r="M230" s="9" t="s">
        <v>11416</v>
      </c>
      <c r="N230" s="10" t="s">
        <v>11416</v>
      </c>
      <c r="P230" s="32">
        <v>45407</v>
      </c>
      <c r="R230" s="35" t="s">
        <v>11416</v>
      </c>
      <c r="S230" s="34">
        <v>45406</v>
      </c>
      <c r="T230" s="35" t="s">
        <v>11416</v>
      </c>
      <c r="U230" s="34">
        <v>45405</v>
      </c>
      <c r="V230" s="35" t="s">
        <v>11416</v>
      </c>
      <c r="W230" s="34">
        <v>45404</v>
      </c>
      <c r="X230" s="35" t="s">
        <v>11416</v>
      </c>
      <c r="Y230" s="34">
        <v>45403</v>
      </c>
      <c r="Z230" s="35" t="s">
        <v>11416</v>
      </c>
      <c r="AA230" s="34">
        <v>45408</v>
      </c>
      <c r="AB230" s="35" t="s">
        <v>11416</v>
      </c>
      <c r="AC230" s="34">
        <v>45409</v>
      </c>
      <c r="AD230" s="35" t="s">
        <v>11416</v>
      </c>
      <c r="AE230" s="34">
        <v>45410</v>
      </c>
      <c r="AF230" s="35" t="s">
        <v>11416</v>
      </c>
      <c r="AG230" s="34">
        <v>45411</v>
      </c>
      <c r="AH230" s="35" t="s">
        <v>11416</v>
      </c>
      <c r="AI230" s="36" t="s">
        <v>318</v>
      </c>
      <c r="AK230" s="34">
        <v>45400</v>
      </c>
      <c r="AL230" s="35" t="s">
        <v>11416</v>
      </c>
      <c r="AM230" s="34">
        <v>45414</v>
      </c>
      <c r="AN230" s="5" t="s">
        <v>11416</v>
      </c>
      <c r="AP230" s="36" t="s">
        <v>318</v>
      </c>
      <c r="AS230" s="5" t="s">
        <v>12387</v>
      </c>
      <c r="AT230" s="5">
        <v>7.28</v>
      </c>
      <c r="AU230" s="5">
        <v>100</v>
      </c>
      <c r="AV230" s="5" t="s">
        <v>12400</v>
      </c>
      <c r="AW230" s="5" t="s">
        <v>12400</v>
      </c>
      <c r="AX230" s="5" t="s">
        <v>12400</v>
      </c>
      <c r="AZ230" s="49" t="s">
        <v>12444</v>
      </c>
      <c r="BA230" s="50" t="s">
        <v>12414</v>
      </c>
      <c r="BC230" s="51" t="s">
        <v>11416</v>
      </c>
    </row>
    <row r="231" spans="1:55" ht="15" customHeight="1" x14ac:dyDescent="0.4">
      <c r="A231" s="27" t="s">
        <v>11177</v>
      </c>
      <c r="B231" s="44" t="s">
        <v>12125</v>
      </c>
      <c r="C231" s="45" t="s">
        <v>11641</v>
      </c>
      <c r="D231" s="46">
        <v>4.3499999999999996</v>
      </c>
      <c r="E231" s="45" t="s">
        <v>12357</v>
      </c>
      <c r="F231" s="45"/>
      <c r="G231" s="9">
        <v>85.230699999999999</v>
      </c>
      <c r="H231" s="9">
        <v>91.932519999999997</v>
      </c>
      <c r="I231" s="9">
        <v>29.940300000000001</v>
      </c>
      <c r="J231" s="9">
        <v>409.29379999999998</v>
      </c>
      <c r="K231" s="9">
        <v>409.29379999999998</v>
      </c>
      <c r="L231" s="9">
        <v>46.558959999999999</v>
      </c>
      <c r="M231" s="9">
        <v>158.80436</v>
      </c>
      <c r="N231" s="10" t="s">
        <v>12474</v>
      </c>
      <c r="P231" s="32">
        <v>45406</v>
      </c>
      <c r="R231" s="35">
        <v>9.1292500000000008</v>
      </c>
      <c r="S231" s="34">
        <v>45405</v>
      </c>
      <c r="T231" s="35">
        <v>9.1180099999999999</v>
      </c>
      <c r="U231" s="34">
        <v>45404</v>
      </c>
      <c r="V231" s="35">
        <v>8.9849999999999994</v>
      </c>
      <c r="W231" s="34">
        <v>45403</v>
      </c>
      <c r="X231" s="35">
        <v>8.8012300000000003</v>
      </c>
      <c r="Y231" s="34">
        <v>45402</v>
      </c>
      <c r="Z231" s="35">
        <v>8.8012300000000003</v>
      </c>
      <c r="AA231" s="34">
        <v>45407</v>
      </c>
      <c r="AB231" s="35">
        <v>9.1518099999999993</v>
      </c>
      <c r="AC231" s="34">
        <v>45408</v>
      </c>
      <c r="AD231" s="35">
        <v>10.336510000000001</v>
      </c>
      <c r="AE231" s="34">
        <v>45409</v>
      </c>
      <c r="AF231" s="35">
        <v>10.336510000000001</v>
      </c>
      <c r="AG231" s="34">
        <v>45410</v>
      </c>
      <c r="AH231" s="35">
        <v>10.336510000000001</v>
      </c>
      <c r="AI231" s="36">
        <v>3.7069492136989624E-3</v>
      </c>
      <c r="AK231" s="34">
        <v>45399</v>
      </c>
      <c r="AL231" s="35">
        <v>9.0769000000000002</v>
      </c>
      <c r="AM231" s="34">
        <v>45413</v>
      </c>
      <c r="AN231" s="5">
        <v>9.6778399999999998</v>
      </c>
      <c r="AP231" s="36">
        <v>6.6205422556159021E-2</v>
      </c>
      <c r="AS231" s="5" t="s">
        <v>12387</v>
      </c>
      <c r="AT231" s="5">
        <v>0</v>
      </c>
      <c r="AU231" s="5">
        <v>100</v>
      </c>
      <c r="AV231" s="5" t="s">
        <v>12400</v>
      </c>
      <c r="AW231" s="5" t="s">
        <v>12400</v>
      </c>
      <c r="AX231" s="5" t="s">
        <v>12400</v>
      </c>
      <c r="AZ231" s="49" t="s">
        <v>12405</v>
      </c>
      <c r="BA231" s="50" t="s">
        <v>12415</v>
      </c>
      <c r="BC231" s="51">
        <v>1.29532</v>
      </c>
    </row>
    <row r="232" spans="1:55" ht="15" customHeight="1" x14ac:dyDescent="0.4">
      <c r="A232" s="27" t="s">
        <v>11025</v>
      </c>
      <c r="B232" s="44" t="s">
        <v>11970</v>
      </c>
      <c r="C232" s="45" t="s">
        <v>11642</v>
      </c>
      <c r="D232" s="46">
        <v>8.93</v>
      </c>
      <c r="E232" s="45" t="s">
        <v>12357</v>
      </c>
      <c r="F232" s="45"/>
      <c r="G232" s="9">
        <v>27.176100000000002</v>
      </c>
      <c r="H232" s="9">
        <v>52.660299999999999</v>
      </c>
      <c r="I232" s="9">
        <v>6.7496</v>
      </c>
      <c r="J232" s="9">
        <v>480.83852999999999</v>
      </c>
      <c r="K232" s="9">
        <v>480.83852999999999</v>
      </c>
      <c r="L232" s="9">
        <v>13.272589999999999</v>
      </c>
      <c r="M232" s="9">
        <v>77.366600000000005</v>
      </c>
      <c r="N232" s="10" t="s">
        <v>12467</v>
      </c>
      <c r="P232" s="32">
        <v>45406</v>
      </c>
      <c r="R232" s="35">
        <v>10.245810000000001</v>
      </c>
      <c r="S232" s="34">
        <v>45405</v>
      </c>
      <c r="T232" s="35">
        <v>10.3422</v>
      </c>
      <c r="U232" s="34">
        <v>45404</v>
      </c>
      <c r="V232" s="35">
        <v>10.272019999999999</v>
      </c>
      <c r="W232" s="34">
        <v>45403</v>
      </c>
      <c r="X232" s="35">
        <v>10.4047</v>
      </c>
      <c r="Y232" s="34">
        <v>45402</v>
      </c>
      <c r="Z232" s="35">
        <v>10.4047</v>
      </c>
      <c r="AA232" s="34">
        <v>45407</v>
      </c>
      <c r="AB232" s="35">
        <v>9.9585600000000003</v>
      </c>
      <c r="AC232" s="34">
        <v>45408</v>
      </c>
      <c r="AD232" s="35">
        <v>9.9804499999999994</v>
      </c>
      <c r="AE232" s="34">
        <v>45409</v>
      </c>
      <c r="AF232" s="35">
        <v>9.9804499999999994</v>
      </c>
      <c r="AG232" s="34">
        <v>45410</v>
      </c>
      <c r="AH232" s="35">
        <v>9.9804499999999994</v>
      </c>
      <c r="AI232" s="36">
        <v>-3.7094622033996605E-2</v>
      </c>
      <c r="AK232" s="34">
        <v>45399</v>
      </c>
      <c r="AL232" s="35">
        <v>10.19557</v>
      </c>
      <c r="AM232" s="34">
        <v>45413</v>
      </c>
      <c r="AN232" s="5">
        <v>9.9531399999999994</v>
      </c>
      <c r="AP232" s="36">
        <v>-2.3777974159365334E-2</v>
      </c>
      <c r="AS232" s="5" t="s">
        <v>12387</v>
      </c>
      <c r="AT232" s="5">
        <v>8.93</v>
      </c>
      <c r="AU232" s="5">
        <v>100</v>
      </c>
      <c r="AV232" s="5" t="s">
        <v>12400</v>
      </c>
      <c r="AW232" s="5" t="s">
        <v>12400</v>
      </c>
      <c r="AX232" s="5" t="s">
        <v>12400</v>
      </c>
      <c r="AZ232" s="49" t="s">
        <v>12414</v>
      </c>
      <c r="BA232" s="50" t="s">
        <v>12409</v>
      </c>
      <c r="BC232" s="51">
        <v>1.28061</v>
      </c>
    </row>
    <row r="233" spans="1:55" ht="15" customHeight="1" x14ac:dyDescent="0.4">
      <c r="A233" s="27" t="s">
        <v>11178</v>
      </c>
      <c r="B233" s="44" t="s">
        <v>12126</v>
      </c>
      <c r="C233" s="45" t="s">
        <v>11643</v>
      </c>
      <c r="D233" s="46">
        <v>5.8</v>
      </c>
      <c r="E233" s="45" t="s">
        <v>12357</v>
      </c>
      <c r="F233" s="45"/>
      <c r="G233" s="9">
        <v>8.8965300000000003</v>
      </c>
      <c r="H233" s="9">
        <v>-9.2848500000000005</v>
      </c>
      <c r="I233" s="9">
        <v>-11.5862</v>
      </c>
      <c r="J233" s="9">
        <v>79.363330000000005</v>
      </c>
      <c r="K233" s="9">
        <v>79.363330000000005</v>
      </c>
      <c r="L233" s="9">
        <v>12.711399999999999</v>
      </c>
      <c r="M233" s="9">
        <v>36.255110000000002</v>
      </c>
      <c r="N233" s="10" t="s">
        <v>12467</v>
      </c>
      <c r="P233" s="32">
        <v>45406</v>
      </c>
      <c r="R233" s="35">
        <v>1.72045</v>
      </c>
      <c r="S233" s="34">
        <v>45405</v>
      </c>
      <c r="T233" s="35">
        <v>1.76546</v>
      </c>
      <c r="U233" s="34">
        <v>45404</v>
      </c>
      <c r="V233" s="35">
        <v>1.6870700000000001</v>
      </c>
      <c r="W233" s="34">
        <v>45403</v>
      </c>
      <c r="X233" s="35">
        <v>1.7066699999999999</v>
      </c>
      <c r="Y233" s="34">
        <v>45402</v>
      </c>
      <c r="Z233" s="35">
        <v>1.7066699999999999</v>
      </c>
      <c r="AA233" s="34">
        <v>45407</v>
      </c>
      <c r="AB233" s="35">
        <v>1.7461199999999999</v>
      </c>
      <c r="AC233" s="34">
        <v>45408</v>
      </c>
      <c r="AD233" s="35">
        <v>1.6227199999999999</v>
      </c>
      <c r="AE233" s="34">
        <v>45409</v>
      </c>
      <c r="AF233" s="35">
        <v>1.6227199999999999</v>
      </c>
      <c r="AG233" s="34">
        <v>45410</v>
      </c>
      <c r="AH233" s="35">
        <v>1.6227199999999999</v>
      </c>
      <c r="AI233" s="36">
        <v>-1.0954652045359392E-2</v>
      </c>
      <c r="AK233" s="34">
        <v>45399</v>
      </c>
      <c r="AL233" s="35">
        <v>1.67039</v>
      </c>
      <c r="AM233" s="34">
        <v>45413</v>
      </c>
      <c r="AN233" s="5">
        <v>1.91178</v>
      </c>
      <c r="AP233" s="36">
        <v>0.14451116206394921</v>
      </c>
      <c r="AS233" s="5" t="s">
        <v>12388</v>
      </c>
      <c r="AT233" s="5">
        <v>2.67</v>
      </c>
      <c r="AU233" s="5">
        <v>59.83</v>
      </c>
      <c r="AV233" s="5" t="s">
        <v>12400</v>
      </c>
      <c r="AW233" s="5" t="s">
        <v>12400</v>
      </c>
      <c r="AX233" s="5">
        <v>40.17</v>
      </c>
      <c r="AZ233" s="49" t="s">
        <v>12413</v>
      </c>
      <c r="BA233" s="50" t="s">
        <v>12413</v>
      </c>
      <c r="BC233" s="51">
        <v>0.31879000000000002</v>
      </c>
    </row>
    <row r="234" spans="1:55" ht="15" customHeight="1" x14ac:dyDescent="0.4">
      <c r="A234" s="27" t="s">
        <v>11179</v>
      </c>
      <c r="B234" s="44" t="s">
        <v>12127</v>
      </c>
      <c r="C234" s="45" t="s">
        <v>11644</v>
      </c>
      <c r="D234" s="46">
        <v>4.75</v>
      </c>
      <c r="E234" s="45" t="s">
        <v>12357</v>
      </c>
      <c r="F234" s="45"/>
      <c r="G234" s="9">
        <v>22.623660000000001</v>
      </c>
      <c r="H234" s="9">
        <v>6483.3</v>
      </c>
      <c r="I234" s="9">
        <v>20.3658</v>
      </c>
      <c r="J234" s="9">
        <v>91985.1</v>
      </c>
      <c r="K234" s="9">
        <v>91985.1</v>
      </c>
      <c r="L234" s="9">
        <v>5118.8999999999996</v>
      </c>
      <c r="M234" s="9">
        <v>5679.8</v>
      </c>
      <c r="N234" s="10" t="s">
        <v>12473</v>
      </c>
      <c r="P234" s="32">
        <v>45405</v>
      </c>
      <c r="R234" s="35">
        <v>1083.095</v>
      </c>
      <c r="S234" s="34">
        <v>45404</v>
      </c>
      <c r="T234" s="35">
        <v>1079.6241</v>
      </c>
      <c r="U234" s="34">
        <v>45403</v>
      </c>
      <c r="V234" s="35">
        <v>1101.78756</v>
      </c>
      <c r="W234" s="34">
        <v>45402</v>
      </c>
      <c r="X234" s="35">
        <v>1101.78756</v>
      </c>
      <c r="Y234" s="34">
        <v>45401</v>
      </c>
      <c r="Z234" s="35">
        <v>1101.78756</v>
      </c>
      <c r="AA234" s="34">
        <v>45406</v>
      </c>
      <c r="AB234" s="35">
        <v>1076.5480500000001</v>
      </c>
      <c r="AC234" s="34">
        <v>45407</v>
      </c>
      <c r="AD234" s="35">
        <v>1085.12176</v>
      </c>
      <c r="AE234" s="34">
        <v>45408</v>
      </c>
      <c r="AF234" s="35">
        <v>1085.66545</v>
      </c>
      <c r="AG234" s="34">
        <v>45409</v>
      </c>
      <c r="AH234" s="35">
        <v>1085.66545</v>
      </c>
      <c r="AI234" s="36">
        <v>-2.8491861195020229E-3</v>
      </c>
      <c r="AK234" s="34">
        <v>45398</v>
      </c>
      <c r="AL234" s="35">
        <v>1071.76289</v>
      </c>
      <c r="AM234" s="34">
        <v>45412</v>
      </c>
      <c r="AN234" s="5">
        <v>1088.9915599999999</v>
      </c>
      <c r="AP234" s="36">
        <v>1.6075076083293061E-2</v>
      </c>
      <c r="AS234" s="5" t="s">
        <v>12387</v>
      </c>
      <c r="AT234" s="5">
        <v>4.75</v>
      </c>
      <c r="AU234" s="5">
        <v>100</v>
      </c>
      <c r="AV234" s="5" t="s">
        <v>12400</v>
      </c>
      <c r="AW234" s="5" t="s">
        <v>12400</v>
      </c>
      <c r="AX234" s="5" t="s">
        <v>12400</v>
      </c>
      <c r="AZ234" s="49" t="s">
        <v>12417</v>
      </c>
      <c r="BA234" s="50" t="s">
        <v>12437</v>
      </c>
      <c r="BC234" s="51">
        <v>0.51302000000000003</v>
      </c>
    </row>
    <row r="235" spans="1:55" ht="15" customHeight="1" x14ac:dyDescent="0.4">
      <c r="A235" s="27" t="s">
        <v>11180</v>
      </c>
      <c r="B235" s="44" t="s">
        <v>12128</v>
      </c>
      <c r="C235" s="45" t="s">
        <v>11645</v>
      </c>
      <c r="D235" s="46">
        <v>22.47</v>
      </c>
      <c r="E235" s="45" t="s">
        <v>12357</v>
      </c>
      <c r="F235" s="45"/>
      <c r="G235" s="9">
        <v>12.736890000000001</v>
      </c>
      <c r="H235" s="9">
        <v>20.323810000000002</v>
      </c>
      <c r="I235" s="9">
        <v>13.7852</v>
      </c>
      <c r="J235" s="9">
        <v>105.43897</v>
      </c>
      <c r="K235" s="9">
        <v>105.43897</v>
      </c>
      <c r="L235" s="9">
        <v>11.16949</v>
      </c>
      <c r="M235" s="9">
        <v>-3.9354900000000002</v>
      </c>
      <c r="N235" s="10" t="s">
        <v>12468</v>
      </c>
      <c r="P235" s="32">
        <v>45405</v>
      </c>
      <c r="R235" s="35">
        <v>11.824870000000001</v>
      </c>
      <c r="S235" s="34">
        <v>45404</v>
      </c>
      <c r="T235" s="35">
        <v>10.461080000000001</v>
      </c>
      <c r="U235" s="34">
        <v>45403</v>
      </c>
      <c r="V235" s="35">
        <v>10.44881</v>
      </c>
      <c r="W235" s="34">
        <v>45402</v>
      </c>
      <c r="X235" s="35">
        <v>10.44881</v>
      </c>
      <c r="Y235" s="34">
        <v>45401</v>
      </c>
      <c r="Z235" s="35">
        <v>10.44881</v>
      </c>
      <c r="AA235" s="34">
        <v>45406</v>
      </c>
      <c r="AB235" s="35">
        <v>11.33187</v>
      </c>
      <c r="AC235" s="34">
        <v>45407</v>
      </c>
      <c r="AD235" s="35">
        <v>11.187139999999999</v>
      </c>
      <c r="AE235" s="34">
        <v>45408</v>
      </c>
      <c r="AF235" s="35">
        <v>11.108930000000001</v>
      </c>
      <c r="AG235" s="34">
        <v>45409</v>
      </c>
      <c r="AH235" s="35">
        <v>11.108930000000001</v>
      </c>
      <c r="AI235" s="36">
        <v>8.3240927322991487E-2</v>
      </c>
      <c r="AK235" s="34">
        <v>45398</v>
      </c>
      <c r="AL235" s="35">
        <v>10.601129999999999</v>
      </c>
      <c r="AM235" s="34">
        <v>45412</v>
      </c>
      <c r="AN235" s="5">
        <v>10.87067</v>
      </c>
      <c r="AP235" s="36">
        <v>2.5425591422801208E-2</v>
      </c>
      <c r="AS235" s="5" t="s">
        <v>12387</v>
      </c>
      <c r="AT235" s="5">
        <v>20.329999999999998</v>
      </c>
      <c r="AU235" s="5">
        <v>100</v>
      </c>
      <c r="AV235" s="5" t="s">
        <v>12400</v>
      </c>
      <c r="AW235" s="5" t="s">
        <v>12400</v>
      </c>
      <c r="AX235" s="5" t="s">
        <v>12400</v>
      </c>
      <c r="AZ235" s="49" t="s">
        <v>12409</v>
      </c>
      <c r="BA235" s="50" t="s">
        <v>12411</v>
      </c>
      <c r="BC235" s="51">
        <v>1.41255</v>
      </c>
    </row>
    <row r="236" spans="1:55" ht="15" customHeight="1" x14ac:dyDescent="0.4">
      <c r="A236" s="27" t="s">
        <v>11181</v>
      </c>
      <c r="B236" s="44" t="s">
        <v>12129</v>
      </c>
      <c r="C236" s="45" t="s">
        <v>11646</v>
      </c>
      <c r="D236" s="46">
        <v>938.48</v>
      </c>
      <c r="E236" s="45" t="s">
        <v>12358</v>
      </c>
      <c r="F236" s="45"/>
      <c r="G236" s="9">
        <v>1006.18625</v>
      </c>
      <c r="H236" s="9">
        <v>1714.8979999999999</v>
      </c>
      <c r="I236" s="9">
        <v>73.924000000000007</v>
      </c>
      <c r="J236" s="9">
        <v>6323.5320000000002</v>
      </c>
      <c r="K236" s="9">
        <v>6323.5320000000002</v>
      </c>
      <c r="L236" s="9">
        <v>153.215</v>
      </c>
      <c r="M236" s="9">
        <v>615.49400000000003</v>
      </c>
      <c r="N236" s="10" t="s">
        <v>12469</v>
      </c>
      <c r="P236" s="32">
        <v>45405</v>
      </c>
      <c r="R236" s="35">
        <v>1.4778899999999999</v>
      </c>
      <c r="S236" s="34">
        <v>45404</v>
      </c>
      <c r="T236" s="35">
        <v>1.4653799999999999</v>
      </c>
      <c r="U236" s="34">
        <v>45403</v>
      </c>
      <c r="V236" s="35">
        <v>1.4846600000000001</v>
      </c>
      <c r="W236" s="34">
        <v>45402</v>
      </c>
      <c r="X236" s="35">
        <v>1.4846600000000001</v>
      </c>
      <c r="Y236" s="34">
        <v>45401</v>
      </c>
      <c r="Z236" s="35">
        <v>1.4846600000000001</v>
      </c>
      <c r="AA236" s="34">
        <v>45406</v>
      </c>
      <c r="AB236" s="35">
        <v>1.4644299999999999</v>
      </c>
      <c r="AC236" s="34">
        <v>45407</v>
      </c>
      <c r="AD236" s="35">
        <v>1.4918499999999999</v>
      </c>
      <c r="AE236" s="34">
        <v>45408</v>
      </c>
      <c r="AF236" s="35">
        <v>1.4897100000000001</v>
      </c>
      <c r="AG236" s="34">
        <v>45409</v>
      </c>
      <c r="AH236" s="35">
        <v>1.4897100000000001</v>
      </c>
      <c r="AI236" s="36">
        <v>-6.4829600513183205E-4</v>
      </c>
      <c r="AK236" s="34">
        <v>45398</v>
      </c>
      <c r="AL236" s="35">
        <v>1.4349799999999999</v>
      </c>
      <c r="AM236" s="34">
        <v>45412</v>
      </c>
      <c r="AN236" s="5">
        <v>1.48542</v>
      </c>
      <c r="AP236" s="36">
        <v>3.5150315683842415E-2</v>
      </c>
      <c r="AS236" s="5" t="s">
        <v>721</v>
      </c>
      <c r="AT236" s="5" t="s">
        <v>12400</v>
      </c>
      <c r="AU236" s="5" t="s">
        <v>12400</v>
      </c>
      <c r="AV236" s="5" t="s">
        <v>12400</v>
      </c>
      <c r="AW236" s="5" t="s">
        <v>12400</v>
      </c>
      <c r="AX236" s="5">
        <v>100</v>
      </c>
      <c r="AZ236" s="49" t="s">
        <v>12415</v>
      </c>
      <c r="BA236" s="50" t="s">
        <v>12415</v>
      </c>
      <c r="BC236" s="51">
        <v>0.67103999999999997</v>
      </c>
    </row>
    <row r="237" spans="1:55" ht="15" customHeight="1" x14ac:dyDescent="0.4">
      <c r="A237" s="27" t="s">
        <v>11182</v>
      </c>
      <c r="B237" s="44" t="s">
        <v>12130</v>
      </c>
      <c r="C237" s="45" t="s">
        <v>11647</v>
      </c>
      <c r="D237" s="47">
        <v>4.7E-2</v>
      </c>
      <c r="E237" s="45" t="s">
        <v>12357</v>
      </c>
      <c r="F237" s="45"/>
      <c r="G237" s="9">
        <v>139.16328999999999</v>
      </c>
      <c r="H237" s="9">
        <v>168.15101999999999</v>
      </c>
      <c r="I237" s="9">
        <v>2.0371000000000001</v>
      </c>
      <c r="J237" s="9">
        <v>2303.5174999999999</v>
      </c>
      <c r="K237" s="9">
        <v>2303.5174999999999</v>
      </c>
      <c r="L237" s="9">
        <v>69.630679999999998</v>
      </c>
      <c r="M237" s="9">
        <v>616.29280000000006</v>
      </c>
      <c r="N237" s="10" t="s">
        <v>12471</v>
      </c>
      <c r="P237" s="32">
        <v>45404</v>
      </c>
      <c r="R237" s="35">
        <v>3.52521</v>
      </c>
      <c r="S237" s="34">
        <v>45403</v>
      </c>
      <c r="T237" s="35">
        <v>3.2641499999999999</v>
      </c>
      <c r="U237" s="34">
        <v>45402</v>
      </c>
      <c r="V237" s="35">
        <v>3.2641499999999999</v>
      </c>
      <c r="W237" s="34">
        <v>45401</v>
      </c>
      <c r="X237" s="35">
        <v>3.2641499999999999</v>
      </c>
      <c r="Y237" s="34">
        <v>45400</v>
      </c>
      <c r="Z237" s="35">
        <v>3.4148299999999998</v>
      </c>
      <c r="AA237" s="34">
        <v>45405</v>
      </c>
      <c r="AB237" s="35">
        <v>3.5498799999999999</v>
      </c>
      <c r="AC237" s="34">
        <v>45406</v>
      </c>
      <c r="AD237" s="35">
        <v>3.4418899999999999</v>
      </c>
      <c r="AE237" s="34">
        <v>45407</v>
      </c>
      <c r="AF237" s="35">
        <v>3.3257300000000001</v>
      </c>
      <c r="AG237" s="34">
        <v>45408</v>
      </c>
      <c r="AH237" s="35">
        <v>3.3446099999999999</v>
      </c>
      <c r="AI237" s="36">
        <v>8.7535805646186571E-2</v>
      </c>
      <c r="AK237" s="34">
        <v>45397</v>
      </c>
      <c r="AL237" s="35">
        <v>3.3398400000000001</v>
      </c>
      <c r="AM237" s="34">
        <v>45411</v>
      </c>
      <c r="AN237" s="5">
        <v>3.4065799999999999</v>
      </c>
      <c r="AP237" s="36">
        <v>1.9982993197278809E-2</v>
      </c>
      <c r="AS237" s="5" t="s">
        <v>721</v>
      </c>
      <c r="AT237" s="5" t="s">
        <v>12400</v>
      </c>
      <c r="AU237" s="5" t="s">
        <v>12400</v>
      </c>
      <c r="AV237" s="5" t="s">
        <v>12400</v>
      </c>
      <c r="AW237" s="5" t="s">
        <v>12400</v>
      </c>
      <c r="AX237" s="5">
        <v>100</v>
      </c>
      <c r="AZ237" s="49" t="s">
        <v>12405</v>
      </c>
      <c r="BA237" s="50" t="s">
        <v>12438</v>
      </c>
      <c r="BC237" s="51">
        <v>0.64817999999999998</v>
      </c>
    </row>
    <row r="238" spans="1:55" ht="15" customHeight="1" x14ac:dyDescent="0.4">
      <c r="A238" s="27" t="s">
        <v>11059</v>
      </c>
      <c r="B238" s="44" t="s">
        <v>12004</v>
      </c>
      <c r="C238" s="45" t="s">
        <v>11648</v>
      </c>
      <c r="D238" s="46">
        <v>62.48</v>
      </c>
      <c r="E238" s="45" t="s">
        <v>12357</v>
      </c>
      <c r="F238" s="45"/>
      <c r="G238" s="9">
        <v>19.668019999999999</v>
      </c>
      <c r="H238" s="9">
        <v>0.29679</v>
      </c>
      <c r="I238" s="9">
        <v>4.1643999999999997</v>
      </c>
      <c r="J238" s="9">
        <v>8.7010199999999998</v>
      </c>
      <c r="K238" s="9">
        <v>8.7010199999999998</v>
      </c>
      <c r="L238" s="9">
        <v>0</v>
      </c>
      <c r="M238" s="9">
        <v>1.4992099999999999</v>
      </c>
      <c r="N238" s="10" t="s">
        <v>12468</v>
      </c>
      <c r="P238" s="32">
        <v>45404</v>
      </c>
      <c r="R238" s="35">
        <v>0.11101</v>
      </c>
      <c r="S238" s="34">
        <v>45403</v>
      </c>
      <c r="T238" s="35">
        <v>0.11172</v>
      </c>
      <c r="U238" s="34">
        <v>45402</v>
      </c>
      <c r="V238" s="35">
        <v>0.11172</v>
      </c>
      <c r="W238" s="34">
        <v>45401</v>
      </c>
      <c r="X238" s="35">
        <v>0.11172</v>
      </c>
      <c r="Y238" s="34">
        <v>45400</v>
      </c>
      <c r="Z238" s="35">
        <v>0.11218</v>
      </c>
      <c r="AA238" s="34">
        <v>45405</v>
      </c>
      <c r="AB238" s="35">
        <v>0.11196</v>
      </c>
      <c r="AC238" s="34">
        <v>45406</v>
      </c>
      <c r="AD238" s="35">
        <v>0.11187999999999999</v>
      </c>
      <c r="AE238" s="34">
        <v>45407</v>
      </c>
      <c r="AF238" s="35">
        <v>0.1187</v>
      </c>
      <c r="AG238" s="34">
        <v>45408</v>
      </c>
      <c r="AH238" s="35">
        <v>0.14324000000000001</v>
      </c>
      <c r="AI238" s="36">
        <v>2.1482277121376292E-3</v>
      </c>
      <c r="AK238" s="34">
        <v>45397</v>
      </c>
      <c r="AL238" s="35">
        <v>0.11212999999999999</v>
      </c>
      <c r="AM238" s="34">
        <v>45411</v>
      </c>
      <c r="AN238" s="5">
        <v>0.14433000000000001</v>
      </c>
      <c r="AP238" s="36">
        <v>0.28716668153036684</v>
      </c>
      <c r="AS238" s="5" t="s">
        <v>12387</v>
      </c>
      <c r="AT238" s="5">
        <v>58.78</v>
      </c>
      <c r="AU238" s="5">
        <v>100</v>
      </c>
      <c r="AV238" s="5" t="s">
        <v>12400</v>
      </c>
      <c r="AW238" s="5" t="s">
        <v>12400</v>
      </c>
      <c r="AX238" s="5" t="s">
        <v>12400</v>
      </c>
      <c r="AZ238" s="49" t="s">
        <v>12417</v>
      </c>
      <c r="BA238" s="50" t="s">
        <v>12438</v>
      </c>
      <c r="BC238" s="51">
        <v>0.34106999999999998</v>
      </c>
    </row>
    <row r="239" spans="1:55" ht="15" customHeight="1" x14ac:dyDescent="0.4">
      <c r="A239" s="27" t="s">
        <v>11183</v>
      </c>
      <c r="B239" s="44" t="s">
        <v>12131</v>
      </c>
      <c r="C239" s="45" t="s">
        <v>11649</v>
      </c>
      <c r="D239" s="46">
        <v>949.3</v>
      </c>
      <c r="E239" s="45" t="s">
        <v>12357</v>
      </c>
      <c r="F239" s="45"/>
      <c r="G239" s="9">
        <v>32.875790000000002</v>
      </c>
      <c r="H239" s="9">
        <v>148.001</v>
      </c>
      <c r="I239" s="9">
        <v>13.0906</v>
      </c>
      <c r="J239" s="9">
        <v>831.14300000000003</v>
      </c>
      <c r="K239" s="9">
        <v>831.14300000000003</v>
      </c>
      <c r="L239" s="9">
        <v>58.473999999999997</v>
      </c>
      <c r="M239" s="9">
        <v>57.911000000000001</v>
      </c>
      <c r="N239" s="10" t="s">
        <v>12467</v>
      </c>
      <c r="P239" s="32">
        <v>45404</v>
      </c>
      <c r="R239" s="35">
        <v>33.69</v>
      </c>
      <c r="S239" s="34">
        <v>45403</v>
      </c>
      <c r="T239" s="35">
        <v>34.64</v>
      </c>
      <c r="U239" s="34">
        <v>45402</v>
      </c>
      <c r="V239" s="35">
        <v>34.64</v>
      </c>
      <c r="W239" s="34">
        <v>45401</v>
      </c>
      <c r="X239" s="35">
        <v>34.64</v>
      </c>
      <c r="Y239" s="34">
        <v>45400</v>
      </c>
      <c r="Z239" s="35">
        <v>34.24</v>
      </c>
      <c r="AA239" s="34">
        <v>45405</v>
      </c>
      <c r="AB239" s="35">
        <v>34.75</v>
      </c>
      <c r="AC239" s="34">
        <v>45406</v>
      </c>
      <c r="AD239" s="35">
        <v>33.700000000000003</v>
      </c>
      <c r="AE239" s="34">
        <v>45407</v>
      </c>
      <c r="AF239" s="35">
        <v>33.659999999999997</v>
      </c>
      <c r="AG239" s="34">
        <v>45408</v>
      </c>
      <c r="AH239" s="35">
        <v>33.81</v>
      </c>
      <c r="AI239" s="36">
        <v>3.1755196304850131E-3</v>
      </c>
      <c r="AK239" s="34">
        <v>45397</v>
      </c>
      <c r="AL239" s="35">
        <v>35.450000000000003</v>
      </c>
      <c r="AM239" s="34">
        <v>45411</v>
      </c>
      <c r="AN239" s="5">
        <v>33.82</v>
      </c>
      <c r="AP239" s="36">
        <v>-4.5980253878702415E-2</v>
      </c>
      <c r="AS239" s="5" t="s">
        <v>12397</v>
      </c>
      <c r="AT239" s="5">
        <v>632.67999999999995</v>
      </c>
      <c r="AU239" s="5">
        <v>66.650000000000006</v>
      </c>
      <c r="AV239" s="5" t="s">
        <v>12400</v>
      </c>
      <c r="AW239" s="5" t="s">
        <v>12400</v>
      </c>
      <c r="AX239" s="5">
        <v>33.35</v>
      </c>
      <c r="AZ239" s="49" t="s">
        <v>12403</v>
      </c>
      <c r="BA239" s="50" t="s">
        <v>12415</v>
      </c>
      <c r="BC239" s="51">
        <v>0.97328999999999999</v>
      </c>
    </row>
    <row r="240" spans="1:55" ht="15" customHeight="1" x14ac:dyDescent="0.4">
      <c r="A240" s="27" t="s">
        <v>11184</v>
      </c>
      <c r="B240" s="44" t="s">
        <v>12132</v>
      </c>
      <c r="C240" s="45" t="s">
        <v>11650</v>
      </c>
      <c r="D240" s="46">
        <v>3.39</v>
      </c>
      <c r="E240" s="45" t="s">
        <v>12357</v>
      </c>
      <c r="F240" s="45"/>
      <c r="G240" s="9">
        <v>122.88338</v>
      </c>
      <c r="H240" s="9">
        <v>6.7368899999999998</v>
      </c>
      <c r="I240" s="9">
        <v>16.1205</v>
      </c>
      <c r="J240" s="9">
        <v>67.680999999999997</v>
      </c>
      <c r="K240" s="9">
        <v>67.680999999999997</v>
      </c>
      <c r="L240" s="9">
        <v>3.0888599999999999</v>
      </c>
      <c r="M240" s="9">
        <v>-1.85968</v>
      </c>
      <c r="N240" s="10" t="s">
        <v>12473</v>
      </c>
      <c r="P240" s="32">
        <v>45404</v>
      </c>
      <c r="R240" s="35">
        <v>0.65991999999999995</v>
      </c>
      <c r="S240" s="34">
        <v>45403</v>
      </c>
      <c r="T240" s="35">
        <v>0.63929999999999998</v>
      </c>
      <c r="U240" s="34">
        <v>45402</v>
      </c>
      <c r="V240" s="35">
        <v>0.63929999999999998</v>
      </c>
      <c r="W240" s="34">
        <v>45401</v>
      </c>
      <c r="X240" s="35">
        <v>0.63929999999999998</v>
      </c>
      <c r="Y240" s="34">
        <v>45400</v>
      </c>
      <c r="Z240" s="35">
        <v>0.63566</v>
      </c>
      <c r="AA240" s="34">
        <v>45405</v>
      </c>
      <c r="AB240" s="35">
        <v>0.66554999999999997</v>
      </c>
      <c r="AC240" s="34">
        <v>45406</v>
      </c>
      <c r="AD240" s="35">
        <v>0.66508</v>
      </c>
      <c r="AE240" s="34">
        <v>45407</v>
      </c>
      <c r="AF240" s="35">
        <v>0.66846000000000005</v>
      </c>
      <c r="AG240" s="34">
        <v>45408</v>
      </c>
      <c r="AH240" s="35">
        <v>0.66637999999999997</v>
      </c>
      <c r="AI240" s="36">
        <v>4.1060534960112527E-2</v>
      </c>
      <c r="AK240" s="34">
        <v>45397</v>
      </c>
      <c r="AL240" s="35">
        <v>0.63541000000000003</v>
      </c>
      <c r="AM240" s="34">
        <v>45411</v>
      </c>
      <c r="AN240" s="5">
        <v>0.67145999999999995</v>
      </c>
      <c r="AP240" s="36">
        <v>5.6735021482192449E-2</v>
      </c>
      <c r="AS240" s="5" t="s">
        <v>12387</v>
      </c>
      <c r="AT240" s="5">
        <v>2.04</v>
      </c>
      <c r="AU240" s="5">
        <v>100</v>
      </c>
      <c r="AV240" s="5" t="s">
        <v>12400</v>
      </c>
      <c r="AW240" s="5" t="s">
        <v>12400</v>
      </c>
      <c r="AX240" s="5" t="s">
        <v>12400</v>
      </c>
      <c r="AZ240" s="49" t="s">
        <v>12415</v>
      </c>
      <c r="BA240" s="50" t="s">
        <v>12415</v>
      </c>
      <c r="BC240" s="51">
        <v>6.7150000000000001E-2</v>
      </c>
    </row>
    <row r="241" spans="1:55" ht="15" customHeight="1" x14ac:dyDescent="0.4">
      <c r="A241" s="27" t="s">
        <v>11185</v>
      </c>
      <c r="B241" s="44" t="s">
        <v>12133</v>
      </c>
      <c r="C241" s="45" t="s">
        <v>11651</v>
      </c>
      <c r="D241" s="46">
        <v>64.16</v>
      </c>
      <c r="E241" s="45" t="s">
        <v>12357</v>
      </c>
      <c r="F241" s="45"/>
      <c r="G241" s="9">
        <v>346.54201</v>
      </c>
      <c r="H241" s="9">
        <v>177.86559</v>
      </c>
      <c r="I241" s="9">
        <v>55.997300000000003</v>
      </c>
      <c r="J241" s="9">
        <v>2193.8200499999998</v>
      </c>
      <c r="K241" s="9">
        <v>2193.8200499999998</v>
      </c>
      <c r="L241" s="9">
        <v>334.79163999999997</v>
      </c>
      <c r="M241" s="9">
        <v>246.23301000000001</v>
      </c>
      <c r="N241" s="10" t="s">
        <v>12467</v>
      </c>
      <c r="P241" s="32">
        <v>45401</v>
      </c>
      <c r="R241" s="35">
        <v>2.7040000000000002</v>
      </c>
      <c r="S241" s="34">
        <v>45400</v>
      </c>
      <c r="T241" s="35">
        <v>2.6871399999999999</v>
      </c>
      <c r="U241" s="34">
        <v>45399</v>
      </c>
      <c r="V241" s="35">
        <v>2.6545399999999999</v>
      </c>
      <c r="W241" s="34">
        <v>45398</v>
      </c>
      <c r="X241" s="35">
        <v>2.6517200000000001</v>
      </c>
      <c r="Y241" s="34">
        <v>45397</v>
      </c>
      <c r="Z241" s="35">
        <v>2.6475300000000002</v>
      </c>
      <c r="AA241" s="34">
        <v>45402</v>
      </c>
      <c r="AB241" s="35">
        <v>2.7040000000000002</v>
      </c>
      <c r="AC241" s="34">
        <v>45403</v>
      </c>
      <c r="AD241" s="35">
        <v>2.7040000000000002</v>
      </c>
      <c r="AE241" s="34">
        <v>45404</v>
      </c>
      <c r="AF241" s="35">
        <v>2.7727499999999998</v>
      </c>
      <c r="AG241" s="34">
        <v>45405</v>
      </c>
      <c r="AH241" s="35">
        <v>2.7498399999999998</v>
      </c>
      <c r="AI241" s="36">
        <v>6.2743288403284136E-3</v>
      </c>
      <c r="AK241" s="34">
        <v>45394</v>
      </c>
      <c r="AL241" s="35">
        <v>2.6061100000000001</v>
      </c>
      <c r="AM241" s="34">
        <v>45408</v>
      </c>
      <c r="AN241" s="5">
        <v>2.79705</v>
      </c>
      <c r="AP241" s="36">
        <v>7.32662857669093E-2</v>
      </c>
      <c r="AS241" s="5" t="s">
        <v>12387</v>
      </c>
      <c r="AT241" s="5">
        <v>64.16</v>
      </c>
      <c r="AU241" s="5">
        <v>100</v>
      </c>
      <c r="AV241" s="5" t="s">
        <v>12400</v>
      </c>
      <c r="AW241" s="5" t="s">
        <v>12400</v>
      </c>
      <c r="AX241" s="5" t="s">
        <v>12400</v>
      </c>
      <c r="AZ241" s="49" t="s">
        <v>12442</v>
      </c>
      <c r="BA241" s="50" t="s">
        <v>12442</v>
      </c>
      <c r="BC241" s="51">
        <v>0.47404000000000002</v>
      </c>
    </row>
    <row r="242" spans="1:55" ht="15" customHeight="1" x14ac:dyDescent="0.4">
      <c r="A242" s="27" t="s">
        <v>11186</v>
      </c>
      <c r="B242" s="44" t="s">
        <v>12134</v>
      </c>
      <c r="C242" s="45" t="s">
        <v>11652</v>
      </c>
      <c r="D242" s="46">
        <v>1.37</v>
      </c>
      <c r="E242" s="45" t="s">
        <v>12357</v>
      </c>
      <c r="F242" s="45"/>
      <c r="G242" s="9">
        <v>7.0411799999999998</v>
      </c>
      <c r="H242" s="9">
        <v>-24.835329999999999</v>
      </c>
      <c r="I242" s="9">
        <v>-132.51949999999999</v>
      </c>
      <c r="J242" s="9">
        <v>37.226500000000001</v>
      </c>
      <c r="K242" s="9">
        <v>37.226500000000001</v>
      </c>
      <c r="L242" s="9">
        <v>27.052859999999999</v>
      </c>
      <c r="M242" s="9">
        <v>-27.052859999999999</v>
      </c>
      <c r="N242" s="10" t="s">
        <v>12470</v>
      </c>
      <c r="P242" s="32">
        <v>45401</v>
      </c>
      <c r="R242" s="35">
        <v>1.51233</v>
      </c>
      <c r="S242" s="34">
        <v>45400</v>
      </c>
      <c r="T242" s="35">
        <v>1.59277</v>
      </c>
      <c r="U242" s="34">
        <v>45399</v>
      </c>
      <c r="V242" s="35">
        <v>1.69204</v>
      </c>
      <c r="W242" s="34">
        <v>45398</v>
      </c>
      <c r="X242" s="35">
        <v>1.49695</v>
      </c>
      <c r="Y242" s="34">
        <v>45397</v>
      </c>
      <c r="Z242" s="35">
        <v>1.528</v>
      </c>
      <c r="AA242" s="34">
        <v>45402</v>
      </c>
      <c r="AB242" s="35">
        <v>1.51233</v>
      </c>
      <c r="AC242" s="34">
        <v>45403</v>
      </c>
      <c r="AD242" s="35">
        <v>1.51233</v>
      </c>
      <c r="AE242" s="34">
        <v>45404</v>
      </c>
      <c r="AF242" s="35">
        <v>1.8329800000000001</v>
      </c>
      <c r="AG242" s="34">
        <v>45405</v>
      </c>
      <c r="AH242" s="35">
        <v>2.0785900000000002</v>
      </c>
      <c r="AI242" s="36">
        <v>-5.0503211386452529E-2</v>
      </c>
      <c r="AK242" s="34">
        <v>45394</v>
      </c>
      <c r="AL242" s="35">
        <v>1.62415</v>
      </c>
      <c r="AM242" s="34">
        <v>45408</v>
      </c>
      <c r="AN242" s="5">
        <v>1.7402200000000001</v>
      </c>
      <c r="AP242" s="36">
        <v>7.1465074038727927E-2</v>
      </c>
      <c r="AS242" s="5" t="s">
        <v>12387</v>
      </c>
      <c r="AT242" s="5">
        <v>1.37</v>
      </c>
      <c r="AU242" s="5">
        <v>100</v>
      </c>
      <c r="AV242" s="5" t="s">
        <v>12400</v>
      </c>
      <c r="AW242" s="5" t="s">
        <v>12400</v>
      </c>
      <c r="AX242" s="5" t="s">
        <v>12400</v>
      </c>
      <c r="AZ242" s="49" t="s">
        <v>12409</v>
      </c>
      <c r="BA242" s="50" t="s">
        <v>12415</v>
      </c>
      <c r="BC242" s="51">
        <v>1.75166</v>
      </c>
    </row>
    <row r="243" spans="1:55" ht="15" customHeight="1" x14ac:dyDescent="0.4">
      <c r="A243" s="27" t="s">
        <v>11187</v>
      </c>
      <c r="B243" s="44" t="s">
        <v>12135</v>
      </c>
      <c r="C243" s="45" t="s">
        <v>11653</v>
      </c>
      <c r="D243" s="47">
        <v>2.7E-2</v>
      </c>
      <c r="E243" s="45" t="s">
        <v>12357</v>
      </c>
      <c r="F243" s="45"/>
      <c r="G243" s="9">
        <v>15.31001</v>
      </c>
      <c r="H243" s="9">
        <v>6.9704899999999999</v>
      </c>
      <c r="I243" s="9">
        <v>2.2879</v>
      </c>
      <c r="J243" s="9">
        <v>176.60898</v>
      </c>
      <c r="K243" s="9">
        <v>176.60898</v>
      </c>
      <c r="L243" s="9">
        <v>7.0699300000000003</v>
      </c>
      <c r="M243" s="9">
        <v>62.625039999999998</v>
      </c>
      <c r="N243" s="10" t="s">
        <v>12474</v>
      </c>
      <c r="P243" s="32">
        <v>45401</v>
      </c>
      <c r="R243" s="35">
        <v>11.69534</v>
      </c>
      <c r="S243" s="34">
        <v>45400</v>
      </c>
      <c r="T243" s="35">
        <v>11.936590000000001</v>
      </c>
      <c r="U243" s="34">
        <v>45399</v>
      </c>
      <c r="V243" s="35">
        <v>11.91705</v>
      </c>
      <c r="W243" s="34">
        <v>45398</v>
      </c>
      <c r="X243" s="35">
        <v>12.57513</v>
      </c>
      <c r="Y243" s="34">
        <v>45397</v>
      </c>
      <c r="Z243" s="35">
        <v>12.871270000000001</v>
      </c>
      <c r="AA243" s="34">
        <v>45402</v>
      </c>
      <c r="AB243" s="35">
        <v>11.69534</v>
      </c>
      <c r="AC243" s="34">
        <v>45403</v>
      </c>
      <c r="AD243" s="35">
        <v>11.69534</v>
      </c>
      <c r="AE243" s="34">
        <v>45404</v>
      </c>
      <c r="AF243" s="35">
        <v>11.688560000000001</v>
      </c>
      <c r="AG243" s="34">
        <v>45405</v>
      </c>
      <c r="AH243" s="35">
        <v>12.083539999999999</v>
      </c>
      <c r="AI243" s="36">
        <v>-2.0210964773021534E-2</v>
      </c>
      <c r="AK243" s="34">
        <v>45394</v>
      </c>
      <c r="AL243" s="35">
        <v>12.9932</v>
      </c>
      <c r="AM243" s="34">
        <v>45408</v>
      </c>
      <c r="AN243" s="5">
        <v>10.85355</v>
      </c>
      <c r="AP243" s="36">
        <v>-0.16467459902102632</v>
      </c>
      <c r="AS243" s="5" t="s">
        <v>12387</v>
      </c>
      <c r="AT243" s="5">
        <v>2.7E-2</v>
      </c>
      <c r="AU243" s="5">
        <v>100</v>
      </c>
      <c r="AV243" s="5" t="s">
        <v>12400</v>
      </c>
      <c r="AW243" s="5" t="s">
        <v>12400</v>
      </c>
      <c r="AX243" s="5" t="s">
        <v>12400</v>
      </c>
      <c r="AZ243" s="49" t="s">
        <v>12409</v>
      </c>
      <c r="BA243" s="50" t="s">
        <v>12409</v>
      </c>
      <c r="BC243" s="51">
        <v>1.66435</v>
      </c>
    </row>
    <row r="244" spans="1:55" ht="15" customHeight="1" x14ac:dyDescent="0.4">
      <c r="A244" s="27" t="s">
        <v>11188</v>
      </c>
      <c r="B244" s="44" t="s">
        <v>12136</v>
      </c>
      <c r="C244" s="45" t="s">
        <v>11654</v>
      </c>
      <c r="D244" s="46">
        <v>67.8</v>
      </c>
      <c r="E244" s="45" t="s">
        <v>12357</v>
      </c>
      <c r="F244" s="45"/>
      <c r="G244" s="9">
        <v>120.40521</v>
      </c>
      <c r="H244" s="9">
        <v>593.79999999999995</v>
      </c>
      <c r="I244" s="9">
        <v>17.312899999999999</v>
      </c>
      <c r="J244" s="9">
        <v>2768.6</v>
      </c>
      <c r="K244" s="9">
        <v>2768.6</v>
      </c>
      <c r="L244" s="9">
        <v>217.8</v>
      </c>
      <c r="M244" s="9">
        <v>433.6</v>
      </c>
      <c r="N244" s="10" t="s">
        <v>12467</v>
      </c>
      <c r="P244" s="32">
        <v>45401</v>
      </c>
      <c r="R244" s="35">
        <v>71.91</v>
      </c>
      <c r="S244" s="34">
        <v>45400</v>
      </c>
      <c r="T244" s="35">
        <v>71.650000000000006</v>
      </c>
      <c r="U244" s="34">
        <v>45399</v>
      </c>
      <c r="V244" s="35">
        <v>71.959999999999994</v>
      </c>
      <c r="W244" s="34">
        <v>45398</v>
      </c>
      <c r="X244" s="35">
        <v>72.45</v>
      </c>
      <c r="Y244" s="34">
        <v>45397</v>
      </c>
      <c r="Z244" s="35">
        <v>72.45</v>
      </c>
      <c r="AA244" s="34">
        <v>45402</v>
      </c>
      <c r="AB244" s="35">
        <v>71.91</v>
      </c>
      <c r="AC244" s="34">
        <v>45403</v>
      </c>
      <c r="AD244" s="35">
        <v>71.91</v>
      </c>
      <c r="AE244" s="34">
        <v>45404</v>
      </c>
      <c r="AF244" s="35">
        <v>72.05</v>
      </c>
      <c r="AG244" s="34">
        <v>45405</v>
      </c>
      <c r="AH244" s="35">
        <v>72.44</v>
      </c>
      <c r="AI244" s="36">
        <v>3.6287508722958606E-3</v>
      </c>
      <c r="AK244" s="34">
        <v>45394</v>
      </c>
      <c r="AL244" s="35">
        <v>73.47</v>
      </c>
      <c r="AM244" s="34">
        <v>45408</v>
      </c>
      <c r="AN244" s="5">
        <v>72.27</v>
      </c>
      <c r="AP244" s="36">
        <v>-1.6333197223356466E-2</v>
      </c>
      <c r="AS244" s="5" t="s">
        <v>12387</v>
      </c>
      <c r="AT244" s="5">
        <v>67.8</v>
      </c>
      <c r="AU244" s="5">
        <v>100</v>
      </c>
      <c r="AV244" s="5" t="s">
        <v>12400</v>
      </c>
      <c r="AW244" s="5" t="s">
        <v>12400</v>
      </c>
      <c r="AX244" s="5" t="s">
        <v>12400</v>
      </c>
      <c r="AZ244" s="49" t="s">
        <v>12403</v>
      </c>
      <c r="BA244" s="50" t="s">
        <v>12416</v>
      </c>
      <c r="BC244" s="51">
        <v>0.99334</v>
      </c>
    </row>
    <row r="245" spans="1:55" ht="15" customHeight="1" x14ac:dyDescent="0.4">
      <c r="A245" s="27" t="s">
        <v>11189</v>
      </c>
      <c r="B245" s="44" t="s">
        <v>12137</v>
      </c>
      <c r="C245" s="45" t="s">
        <v>11655</v>
      </c>
      <c r="D245" s="46">
        <v>23.47</v>
      </c>
      <c r="E245" s="45" t="s">
        <v>12357</v>
      </c>
      <c r="F245" s="45"/>
      <c r="G245" s="9">
        <v>9.92807</v>
      </c>
      <c r="H245" s="9">
        <v>97.142700000000005</v>
      </c>
      <c r="I245" s="9">
        <v>10.3712</v>
      </c>
      <c r="J245" s="9">
        <v>806.61545000000001</v>
      </c>
      <c r="K245" s="9">
        <v>806.61545000000001</v>
      </c>
      <c r="L245" s="9">
        <v>163.64209</v>
      </c>
      <c r="M245" s="9">
        <v>-51.959769999999999</v>
      </c>
      <c r="N245" s="10" t="s">
        <v>12468</v>
      </c>
      <c r="P245" s="32">
        <v>45401</v>
      </c>
      <c r="R245" s="35">
        <v>56.96</v>
      </c>
      <c r="S245" s="34">
        <v>45400</v>
      </c>
      <c r="T245" s="35">
        <v>55.55556</v>
      </c>
      <c r="U245" s="34">
        <v>45399</v>
      </c>
      <c r="V245" s="35">
        <v>55.112250000000003</v>
      </c>
      <c r="W245" s="34">
        <v>45398</v>
      </c>
      <c r="X245" s="35">
        <v>53.990859999999998</v>
      </c>
      <c r="Y245" s="34">
        <v>45397</v>
      </c>
      <c r="Z245" s="35">
        <v>54.332799999999999</v>
      </c>
      <c r="AA245" s="34">
        <v>45402</v>
      </c>
      <c r="AB245" s="35">
        <v>56.96</v>
      </c>
      <c r="AC245" s="34">
        <v>45403</v>
      </c>
      <c r="AD245" s="35">
        <v>56.96</v>
      </c>
      <c r="AE245" s="34">
        <v>45404</v>
      </c>
      <c r="AF245" s="35">
        <v>58.00958</v>
      </c>
      <c r="AG245" s="34">
        <v>45405</v>
      </c>
      <c r="AH245" s="35">
        <v>60.346670000000003</v>
      </c>
      <c r="AI245" s="36">
        <v>2.5279917977606647E-2</v>
      </c>
      <c r="AK245" s="34">
        <v>45394</v>
      </c>
      <c r="AL245" s="35">
        <v>54.249549999999999</v>
      </c>
      <c r="AM245" s="34">
        <v>45408</v>
      </c>
      <c r="AN245" s="5">
        <v>59.357320000000001</v>
      </c>
      <c r="AP245" s="36">
        <v>9.4153223390793128E-2</v>
      </c>
      <c r="AS245" s="5" t="s">
        <v>12387</v>
      </c>
      <c r="AT245" s="5">
        <v>10.67</v>
      </c>
      <c r="AU245" s="5">
        <v>100</v>
      </c>
      <c r="AV245" s="5" t="s">
        <v>12400</v>
      </c>
      <c r="AW245" s="5" t="s">
        <v>12400</v>
      </c>
      <c r="AX245" s="5" t="s">
        <v>12400</v>
      </c>
      <c r="AZ245" s="49" t="s">
        <v>12416</v>
      </c>
      <c r="BA245" s="50" t="s">
        <v>12416</v>
      </c>
      <c r="BC245" s="51">
        <v>1.49481</v>
      </c>
    </row>
    <row r="246" spans="1:55" ht="15" customHeight="1" x14ac:dyDescent="0.4">
      <c r="A246" s="27" t="s">
        <v>11190</v>
      </c>
      <c r="B246" s="44" t="s">
        <v>12138</v>
      </c>
      <c r="C246" s="45" t="s">
        <v>11656</v>
      </c>
      <c r="D246" s="46">
        <v>37.159999999999997</v>
      </c>
      <c r="E246" s="45" t="s">
        <v>12357</v>
      </c>
      <c r="F246" s="45"/>
      <c r="G246" s="9">
        <v>210.6</v>
      </c>
      <c r="H246" s="9">
        <v>55.673209999999997</v>
      </c>
      <c r="I246" s="9">
        <v>12.3786</v>
      </c>
      <c r="J246" s="9">
        <v>803.49005</v>
      </c>
      <c r="K246" s="9">
        <v>803.49005</v>
      </c>
      <c r="L246" s="9">
        <v>60.497630000000001</v>
      </c>
      <c r="M246" s="9">
        <v>15.111330000000001</v>
      </c>
      <c r="N246" s="10" t="s">
        <v>12466</v>
      </c>
      <c r="P246" s="32">
        <v>45401</v>
      </c>
      <c r="R246" s="35">
        <v>3.0827499999999999</v>
      </c>
      <c r="S246" s="34">
        <v>45400</v>
      </c>
      <c r="T246" s="35">
        <v>3.2106499999999998</v>
      </c>
      <c r="U246" s="34">
        <v>45399</v>
      </c>
      <c r="V246" s="35">
        <v>3.3168000000000002</v>
      </c>
      <c r="W246" s="34">
        <v>45398</v>
      </c>
      <c r="X246" s="35">
        <v>2.9826999999999999</v>
      </c>
      <c r="Y246" s="34">
        <v>45397</v>
      </c>
      <c r="Z246" s="35">
        <v>3.4329800000000001</v>
      </c>
      <c r="AA246" s="34">
        <v>45402</v>
      </c>
      <c r="AB246" s="35">
        <v>3.0827499999999999</v>
      </c>
      <c r="AC246" s="34">
        <v>45403</v>
      </c>
      <c r="AD246" s="35">
        <v>3.0827499999999999</v>
      </c>
      <c r="AE246" s="34">
        <v>45404</v>
      </c>
      <c r="AF246" s="35">
        <v>3.0094699999999999</v>
      </c>
      <c r="AG246" s="34">
        <v>45405</v>
      </c>
      <c r="AH246" s="35">
        <v>3.1124100000000001</v>
      </c>
      <c r="AI246" s="36">
        <v>-3.983617024590036E-2</v>
      </c>
      <c r="AK246" s="34">
        <v>45394</v>
      </c>
      <c r="AL246" s="35">
        <v>3.5243099999999998</v>
      </c>
      <c r="AM246" s="34">
        <v>45408</v>
      </c>
      <c r="AN246" s="5">
        <v>3.2402299999999999</v>
      </c>
      <c r="AP246" s="36">
        <v>-8.060584908819024E-2</v>
      </c>
      <c r="AS246" s="5" t="s">
        <v>12387</v>
      </c>
      <c r="AT246" s="5">
        <v>37.159999999999997</v>
      </c>
      <c r="AU246" s="5">
        <v>100</v>
      </c>
      <c r="AV246" s="5" t="s">
        <v>12400</v>
      </c>
      <c r="AW246" s="5" t="s">
        <v>12400</v>
      </c>
      <c r="AX246" s="5" t="s">
        <v>12400</v>
      </c>
      <c r="AZ246" s="49" t="s">
        <v>12433</v>
      </c>
      <c r="BA246" s="50" t="s">
        <v>12406</v>
      </c>
      <c r="BC246" s="51">
        <v>2.0502199999999999</v>
      </c>
    </row>
    <row r="247" spans="1:55" ht="15" customHeight="1" x14ac:dyDescent="0.4">
      <c r="A247" s="27" t="s">
        <v>11191</v>
      </c>
      <c r="B247" s="44" t="s">
        <v>12139</v>
      </c>
      <c r="C247" s="45" t="s">
        <v>11657</v>
      </c>
      <c r="D247" s="46">
        <v>3.86</v>
      </c>
      <c r="E247" s="45" t="s">
        <v>12357</v>
      </c>
      <c r="F247" s="45"/>
      <c r="G247" s="9">
        <v>78.164320000000004</v>
      </c>
      <c r="H247" s="9">
        <v>776.8741</v>
      </c>
      <c r="I247" s="9">
        <v>18.4573</v>
      </c>
      <c r="J247" s="9">
        <v>5177.5793100000001</v>
      </c>
      <c r="K247" s="9">
        <v>5177.5793100000001</v>
      </c>
      <c r="L247" s="9">
        <v>179.60428999999999</v>
      </c>
      <c r="M247" s="9">
        <v>1148.4193700000001</v>
      </c>
      <c r="N247" s="10" t="s">
        <v>12467</v>
      </c>
      <c r="P247" s="32">
        <v>45401</v>
      </c>
      <c r="R247" s="35">
        <v>17.066669999999998</v>
      </c>
      <c r="S247" s="34">
        <v>45400</v>
      </c>
      <c r="T247" s="35">
        <v>17.061209999999999</v>
      </c>
      <c r="U247" s="34">
        <v>45399</v>
      </c>
      <c r="V247" s="35">
        <v>17.02309</v>
      </c>
      <c r="W247" s="34">
        <v>45398</v>
      </c>
      <c r="X247" s="35">
        <v>17.004999999999999</v>
      </c>
      <c r="Y247" s="34">
        <v>45397</v>
      </c>
      <c r="Z247" s="35">
        <v>17.543859999999999</v>
      </c>
      <c r="AA247" s="34">
        <v>45402</v>
      </c>
      <c r="AB247" s="35">
        <v>17.066669999999998</v>
      </c>
      <c r="AC247" s="34">
        <v>45403</v>
      </c>
      <c r="AD247" s="35">
        <v>17.066669999999998</v>
      </c>
      <c r="AE247" s="34">
        <v>45404</v>
      </c>
      <c r="AF247" s="35">
        <v>17.030339999999999</v>
      </c>
      <c r="AG247" s="34">
        <v>45405</v>
      </c>
      <c r="AH247" s="35">
        <v>17.119620000000001</v>
      </c>
      <c r="AI247" s="36">
        <v>3.2002419523591286E-4</v>
      </c>
      <c r="AK247" s="34">
        <v>45394</v>
      </c>
      <c r="AL247" s="35">
        <v>17.55132</v>
      </c>
      <c r="AM247" s="34">
        <v>45408</v>
      </c>
      <c r="AN247" s="5">
        <v>17.081240000000001</v>
      </c>
      <c r="AP247" s="36">
        <v>-2.6783170724481109E-2</v>
      </c>
      <c r="AS247" s="5" t="s">
        <v>12387</v>
      </c>
      <c r="AT247" s="5">
        <v>3.86</v>
      </c>
      <c r="AU247" s="5">
        <v>100</v>
      </c>
      <c r="AV247" s="5" t="s">
        <v>12400</v>
      </c>
      <c r="AW247" s="5" t="s">
        <v>12400</v>
      </c>
      <c r="AX247" s="5" t="s">
        <v>12400</v>
      </c>
      <c r="AZ247" s="49" t="s">
        <v>12441</v>
      </c>
      <c r="BA247" s="50" t="s">
        <v>12430</v>
      </c>
      <c r="BC247" s="51">
        <v>3.2480000000000002E-2</v>
      </c>
    </row>
    <row r="248" spans="1:55" ht="15" customHeight="1" x14ac:dyDescent="0.4">
      <c r="A248" s="27" t="s">
        <v>11192</v>
      </c>
      <c r="B248" s="44" t="s">
        <v>12140</v>
      </c>
      <c r="C248" s="45" t="s">
        <v>11658</v>
      </c>
      <c r="D248" s="46">
        <v>217.45</v>
      </c>
      <c r="E248" s="45" t="s">
        <v>12357</v>
      </c>
      <c r="F248" s="45"/>
      <c r="G248" s="9">
        <v>7.71143</v>
      </c>
      <c r="H248" s="9">
        <v>32.539349999999999</v>
      </c>
      <c r="I248" s="9">
        <v>91.762</v>
      </c>
      <c r="J248" s="9">
        <v>942.57501000000002</v>
      </c>
      <c r="K248" s="9">
        <v>942.57501000000002</v>
      </c>
      <c r="L248" s="9">
        <v>3.0394299999999999</v>
      </c>
      <c r="M248" s="9">
        <v>504.24597</v>
      </c>
      <c r="N248" s="10" t="s">
        <v>12475</v>
      </c>
      <c r="P248" s="32">
        <v>45400</v>
      </c>
      <c r="R248" s="35">
        <v>36.542009999999998</v>
      </c>
      <c r="S248" s="34">
        <v>45399</v>
      </c>
      <c r="T248" s="35">
        <v>37.274979999999999</v>
      </c>
      <c r="U248" s="34">
        <v>45398</v>
      </c>
      <c r="V248" s="35">
        <v>36.802160000000001</v>
      </c>
      <c r="W248" s="34">
        <v>45397</v>
      </c>
      <c r="X248" s="35">
        <v>36.675750000000001</v>
      </c>
      <c r="Y248" s="34">
        <v>45396</v>
      </c>
      <c r="Z248" s="35">
        <v>36.746960000000001</v>
      </c>
      <c r="AA248" s="34">
        <v>45401</v>
      </c>
      <c r="AB248" s="35">
        <v>38.289729999999999</v>
      </c>
      <c r="AC248" s="34">
        <v>45402</v>
      </c>
      <c r="AD248" s="35">
        <v>38.289729999999999</v>
      </c>
      <c r="AE248" s="34">
        <v>45403</v>
      </c>
      <c r="AF248" s="35">
        <v>38.289729999999999</v>
      </c>
      <c r="AG248" s="34">
        <v>45404</v>
      </c>
      <c r="AH248" s="35">
        <v>38.056170000000002</v>
      </c>
      <c r="AI248" s="36">
        <v>2.7223354647004427E-2</v>
      </c>
      <c r="AK248" s="34">
        <v>45393</v>
      </c>
      <c r="AL248" s="35">
        <v>36.321739999999998</v>
      </c>
      <c r="AM248" s="34">
        <v>45407</v>
      </c>
      <c r="AN248" s="5">
        <v>37.777169999999998</v>
      </c>
      <c r="AP248" s="36">
        <v>4.00704922176085E-2</v>
      </c>
      <c r="AS248" s="5" t="s">
        <v>721</v>
      </c>
      <c r="AT248" s="5" t="s">
        <v>12400</v>
      </c>
      <c r="AU248" s="5" t="s">
        <v>12400</v>
      </c>
      <c r="AV248" s="5" t="s">
        <v>12400</v>
      </c>
      <c r="AW248" s="5" t="s">
        <v>12400</v>
      </c>
      <c r="AX248" s="5">
        <v>100</v>
      </c>
      <c r="AZ248" s="49" t="s">
        <v>12412</v>
      </c>
      <c r="BA248" s="50" t="s">
        <v>12412</v>
      </c>
      <c r="BC248" s="51">
        <v>5.4730000000000001E-2</v>
      </c>
    </row>
    <row r="249" spans="1:55" ht="15" customHeight="1" x14ac:dyDescent="0.4">
      <c r="A249" s="27" t="s">
        <v>11193</v>
      </c>
      <c r="B249" s="44" t="s">
        <v>12141</v>
      </c>
      <c r="C249" s="45" t="s">
        <v>11659</v>
      </c>
      <c r="D249" s="46">
        <v>2.14</v>
      </c>
      <c r="E249" s="45" t="s">
        <v>12357</v>
      </c>
      <c r="F249" s="45"/>
      <c r="G249" s="9">
        <v>7.7283999999999997</v>
      </c>
      <c r="H249" s="9">
        <v>0.93323</v>
      </c>
      <c r="I249" s="9">
        <v>8.9338999999999995</v>
      </c>
      <c r="J249" s="9">
        <v>4.4742699999999997</v>
      </c>
      <c r="K249" s="9">
        <v>4.4742699999999997</v>
      </c>
      <c r="L249" s="9">
        <v>0.37697000000000003</v>
      </c>
      <c r="M249" s="9">
        <v>-7.1480000000000002E-2</v>
      </c>
      <c r="N249" s="10" t="s">
        <v>12468</v>
      </c>
      <c r="P249" s="32">
        <v>45400</v>
      </c>
      <c r="R249" s="35">
        <v>1.4861500000000001</v>
      </c>
      <c r="S249" s="34">
        <v>45399</v>
      </c>
      <c r="T249" s="35">
        <v>1.56142</v>
      </c>
      <c r="U249" s="34">
        <v>45398</v>
      </c>
      <c r="V249" s="35">
        <v>1.4957</v>
      </c>
      <c r="W249" s="34">
        <v>45397</v>
      </c>
      <c r="X249" s="35">
        <v>1.48281</v>
      </c>
      <c r="Y249" s="34">
        <v>45396</v>
      </c>
      <c r="Z249" s="35">
        <v>1.54037</v>
      </c>
      <c r="AA249" s="34">
        <v>45401</v>
      </c>
      <c r="AB249" s="35">
        <v>1.46495</v>
      </c>
      <c r="AC249" s="34">
        <v>45402</v>
      </c>
      <c r="AD249" s="35">
        <v>1.46495</v>
      </c>
      <c r="AE249" s="34">
        <v>45403</v>
      </c>
      <c r="AF249" s="35">
        <v>1.46495</v>
      </c>
      <c r="AG249" s="34">
        <v>45404</v>
      </c>
      <c r="AH249" s="35">
        <v>1.4552</v>
      </c>
      <c r="AI249" s="36">
        <v>-6.1783504758489149E-2</v>
      </c>
      <c r="AK249" s="34">
        <v>45393</v>
      </c>
      <c r="AL249" s="35">
        <v>1.49255</v>
      </c>
      <c r="AM249" s="34">
        <v>45407</v>
      </c>
      <c r="AN249" s="5">
        <v>1.5376099999999999</v>
      </c>
      <c r="AP249" s="36">
        <v>3.0189943385481088E-2</v>
      </c>
      <c r="AS249" s="5" t="s">
        <v>12388</v>
      </c>
      <c r="AT249" s="5">
        <v>1.02</v>
      </c>
      <c r="AU249" s="5">
        <v>78.34</v>
      </c>
      <c r="AV249" s="5" t="s">
        <v>12400</v>
      </c>
      <c r="AW249" s="5" t="s">
        <v>12400</v>
      </c>
      <c r="AX249" s="5">
        <v>21.66</v>
      </c>
      <c r="AZ249" s="49" t="s">
        <v>12414</v>
      </c>
      <c r="BA249" s="50" t="s">
        <v>12429</v>
      </c>
      <c r="BC249" s="51">
        <v>0.40869</v>
      </c>
    </row>
    <row r="250" spans="1:55" ht="15" customHeight="1" x14ac:dyDescent="0.4">
      <c r="A250" s="27" t="s">
        <v>11194</v>
      </c>
      <c r="B250" s="44" t="s">
        <v>12142</v>
      </c>
      <c r="C250" s="45" t="s">
        <v>11660</v>
      </c>
      <c r="D250" s="46">
        <v>5.64</v>
      </c>
      <c r="E250" s="45" t="s">
        <v>12357</v>
      </c>
      <c r="F250" s="45"/>
      <c r="G250" s="9">
        <v>31.593070000000001</v>
      </c>
      <c r="H250" s="9">
        <v>422.00065999999998</v>
      </c>
      <c r="I250" s="9">
        <v>8.0114000000000001</v>
      </c>
      <c r="J250" s="9">
        <v>4948.7222300000003</v>
      </c>
      <c r="K250" s="9">
        <v>4948.7222300000003</v>
      </c>
      <c r="L250" s="9">
        <v>495.59411999999998</v>
      </c>
      <c r="M250" s="9">
        <v>-341.13407999999998</v>
      </c>
      <c r="N250" s="10" t="s">
        <v>12467</v>
      </c>
      <c r="P250" s="32">
        <v>45399</v>
      </c>
      <c r="R250" s="35">
        <v>131.50335000000001</v>
      </c>
      <c r="S250" s="34">
        <v>45398</v>
      </c>
      <c r="T250" s="35">
        <v>131.57615000000001</v>
      </c>
      <c r="U250" s="34">
        <v>45397</v>
      </c>
      <c r="V250" s="35">
        <v>133.97129000000001</v>
      </c>
      <c r="W250" s="34">
        <v>45396</v>
      </c>
      <c r="X250" s="35">
        <v>135.94298000000001</v>
      </c>
      <c r="Y250" s="34">
        <v>45395</v>
      </c>
      <c r="Z250" s="35">
        <v>135.94298000000001</v>
      </c>
      <c r="AA250" s="34">
        <v>45400</v>
      </c>
      <c r="AB250" s="35">
        <v>132.01109</v>
      </c>
      <c r="AC250" s="34">
        <v>45401</v>
      </c>
      <c r="AD250" s="35">
        <v>130.98667</v>
      </c>
      <c r="AE250" s="34">
        <v>45402</v>
      </c>
      <c r="AF250" s="35">
        <v>130.98667</v>
      </c>
      <c r="AG250" s="34">
        <v>45403</v>
      </c>
      <c r="AH250" s="35">
        <v>130.98667</v>
      </c>
      <c r="AI250" s="36">
        <v>3.3056142773593145E-3</v>
      </c>
      <c r="AK250" s="34">
        <v>45392</v>
      </c>
      <c r="AL250" s="35">
        <v>136.25618</v>
      </c>
      <c r="AM250" s="34">
        <v>45406</v>
      </c>
      <c r="AN250" s="5">
        <v>132.0795</v>
      </c>
      <c r="AP250" s="36">
        <v>-3.0653141751075141E-2</v>
      </c>
      <c r="AS250" s="5" t="s">
        <v>12387</v>
      </c>
      <c r="AT250" s="5">
        <v>5.64</v>
      </c>
      <c r="AU250" s="5">
        <v>100</v>
      </c>
      <c r="AV250" s="5" t="s">
        <v>12400</v>
      </c>
      <c r="AW250" s="5" t="s">
        <v>12400</v>
      </c>
      <c r="AX250" s="5" t="s">
        <v>12400</v>
      </c>
      <c r="AZ250" s="49" t="s">
        <v>12406</v>
      </c>
      <c r="BA250" s="50" t="s">
        <v>12429</v>
      </c>
      <c r="BC250" s="51">
        <v>0.96074000000000004</v>
      </c>
    </row>
    <row r="251" spans="1:55" ht="15" customHeight="1" x14ac:dyDescent="0.4">
      <c r="A251" s="27" t="s">
        <v>11195</v>
      </c>
      <c r="B251" s="44" t="s">
        <v>12143</v>
      </c>
      <c r="C251" s="45" t="s">
        <v>11661</v>
      </c>
      <c r="D251" s="46">
        <v>477.8</v>
      </c>
      <c r="E251" s="45" t="s">
        <v>12358</v>
      </c>
      <c r="F251" s="45"/>
      <c r="G251" s="9">
        <v>151.33593999999999</v>
      </c>
      <c r="H251" s="9">
        <v>604</v>
      </c>
      <c r="I251" s="9">
        <v>20.374400000000001</v>
      </c>
      <c r="J251" s="9">
        <v>4249.8999999999996</v>
      </c>
      <c r="K251" s="9">
        <v>4249.8999999999996</v>
      </c>
      <c r="L251" s="9">
        <v>488.3</v>
      </c>
      <c r="M251" s="9">
        <v>879.3</v>
      </c>
      <c r="N251" s="10" t="s">
        <v>12465</v>
      </c>
      <c r="P251" s="32">
        <v>45399</v>
      </c>
      <c r="R251" s="35">
        <v>82.94</v>
      </c>
      <c r="S251" s="34">
        <v>45398</v>
      </c>
      <c r="T251" s="35">
        <v>83.89</v>
      </c>
      <c r="U251" s="34">
        <v>45397</v>
      </c>
      <c r="V251" s="35">
        <v>85.75</v>
      </c>
      <c r="W251" s="34">
        <v>45396</v>
      </c>
      <c r="X251" s="35">
        <v>87.58</v>
      </c>
      <c r="Y251" s="34">
        <v>45395</v>
      </c>
      <c r="Z251" s="35">
        <v>87.58</v>
      </c>
      <c r="AA251" s="34">
        <v>45400</v>
      </c>
      <c r="AB251" s="35">
        <v>78.56</v>
      </c>
      <c r="AC251" s="34">
        <v>45401</v>
      </c>
      <c r="AD251" s="35">
        <v>77.760000000000005</v>
      </c>
      <c r="AE251" s="34">
        <v>45402</v>
      </c>
      <c r="AF251" s="35">
        <v>77.760000000000005</v>
      </c>
      <c r="AG251" s="34">
        <v>45403</v>
      </c>
      <c r="AH251" s="35">
        <v>77.760000000000005</v>
      </c>
      <c r="AI251" s="36">
        <v>-6.3535582310168093E-2</v>
      </c>
      <c r="AK251" s="34">
        <v>45392</v>
      </c>
      <c r="AL251" s="35">
        <v>88.53</v>
      </c>
      <c r="AM251" s="34">
        <v>45406</v>
      </c>
      <c r="AN251" s="5">
        <v>82.2</v>
      </c>
      <c r="AP251" s="36">
        <v>-7.1501186038630982E-2</v>
      </c>
      <c r="AS251" s="5" t="s">
        <v>12387</v>
      </c>
      <c r="AT251" s="5">
        <v>392.6</v>
      </c>
      <c r="AU251" s="5">
        <v>100</v>
      </c>
      <c r="AV251" s="5" t="s">
        <v>12400</v>
      </c>
      <c r="AW251" s="5" t="s">
        <v>12400</v>
      </c>
      <c r="AX251" s="5" t="s">
        <v>12400</v>
      </c>
      <c r="AZ251" s="49" t="s">
        <v>12403</v>
      </c>
      <c r="BA251" s="50" t="s">
        <v>12419</v>
      </c>
      <c r="BC251" s="51">
        <v>1.17363</v>
      </c>
    </row>
    <row r="252" spans="1:55" ht="15" customHeight="1" x14ac:dyDescent="0.4">
      <c r="A252" s="27" t="s">
        <v>11196</v>
      </c>
      <c r="B252" s="44" t="s">
        <v>12144</v>
      </c>
      <c r="C252" s="45" t="s">
        <v>11662</v>
      </c>
      <c r="D252" s="46">
        <v>35.729999999999997</v>
      </c>
      <c r="E252" s="45" t="s">
        <v>12357</v>
      </c>
      <c r="F252" s="45"/>
      <c r="G252" s="9">
        <v>1789.73441</v>
      </c>
      <c r="H252" s="9">
        <v>-2.5011399999999999</v>
      </c>
      <c r="I252" s="9">
        <v>0</v>
      </c>
      <c r="J252" s="9">
        <v>57.22777</v>
      </c>
      <c r="K252" s="9">
        <v>57.22777</v>
      </c>
      <c r="L252" s="9">
        <v>19.035589999999999</v>
      </c>
      <c r="M252" s="9">
        <v>-18.871729999999999</v>
      </c>
      <c r="N252" s="10" t="s">
        <v>12466</v>
      </c>
      <c r="P252" s="32">
        <v>45399</v>
      </c>
      <c r="R252" s="35">
        <v>8.6660000000000001E-2</v>
      </c>
      <c r="S252" s="34">
        <v>45398</v>
      </c>
      <c r="T252" s="35">
        <v>7.6910000000000006E-2</v>
      </c>
      <c r="U252" s="34">
        <v>45397</v>
      </c>
      <c r="V252" s="35">
        <v>7.7539999999999998E-2</v>
      </c>
      <c r="W252" s="34">
        <v>45396</v>
      </c>
      <c r="X252" s="35">
        <v>7.7679999999999999E-2</v>
      </c>
      <c r="Y252" s="34">
        <v>45395</v>
      </c>
      <c r="Z252" s="35">
        <v>7.7679999999999999E-2</v>
      </c>
      <c r="AA252" s="34">
        <v>45400</v>
      </c>
      <c r="AB252" s="35">
        <v>7.7270000000000005E-2</v>
      </c>
      <c r="AC252" s="34">
        <v>45401</v>
      </c>
      <c r="AD252" s="35">
        <v>8.6730000000000002E-2</v>
      </c>
      <c r="AE252" s="34">
        <v>45402</v>
      </c>
      <c r="AF252" s="35">
        <v>8.6730000000000002E-2</v>
      </c>
      <c r="AG252" s="34">
        <v>45403</v>
      </c>
      <c r="AH252" s="35">
        <v>8.6730000000000002E-2</v>
      </c>
      <c r="AI252" s="36">
        <v>4.6807957352750229E-3</v>
      </c>
      <c r="AK252" s="34">
        <v>45392</v>
      </c>
      <c r="AL252" s="35">
        <v>7.8219999999999998E-2</v>
      </c>
      <c r="AM252" s="34">
        <v>45406</v>
      </c>
      <c r="AN252" s="5">
        <v>8.4349999999999994E-2</v>
      </c>
      <c r="AP252" s="36">
        <v>7.8368703656353844E-2</v>
      </c>
      <c r="AS252" s="5" t="s">
        <v>12389</v>
      </c>
      <c r="AT252" s="5">
        <v>0.48099999999999998</v>
      </c>
      <c r="AU252" s="5">
        <v>1.41</v>
      </c>
      <c r="AV252" s="5" t="s">
        <v>12400</v>
      </c>
      <c r="AW252" s="5" t="s">
        <v>12400</v>
      </c>
      <c r="AX252" s="5">
        <v>85.87</v>
      </c>
      <c r="AZ252" s="49" t="s">
        <v>12405</v>
      </c>
      <c r="BA252" s="50" t="s">
        <v>12439</v>
      </c>
      <c r="BC252" s="51">
        <v>1.285E-2</v>
      </c>
    </row>
    <row r="253" spans="1:55" ht="15" customHeight="1" x14ac:dyDescent="0.4">
      <c r="A253" s="27" t="s">
        <v>11168</v>
      </c>
      <c r="B253" s="44" t="s">
        <v>12145</v>
      </c>
      <c r="C253" s="45" t="s">
        <v>11663</v>
      </c>
      <c r="D253" s="46">
        <v>20.440000000000001</v>
      </c>
      <c r="E253" s="45" t="s">
        <v>12358</v>
      </c>
      <c r="F253" s="45"/>
      <c r="G253" s="9">
        <v>33.967979999999997</v>
      </c>
      <c r="H253" s="9">
        <v>0</v>
      </c>
      <c r="I253" s="9">
        <v>0</v>
      </c>
      <c r="J253" s="9">
        <v>27.251239999999999</v>
      </c>
      <c r="K253" s="9">
        <v>27.251239999999999</v>
      </c>
      <c r="L253" s="9">
        <v>0.50007000000000001</v>
      </c>
      <c r="M253" s="9">
        <v>-0.50007000000000001</v>
      </c>
      <c r="N253" s="10" t="s">
        <v>12466</v>
      </c>
      <c r="P253" s="32">
        <v>45399</v>
      </c>
      <c r="R253" s="35">
        <v>0.26079000000000002</v>
      </c>
      <c r="S253" s="34">
        <v>45398</v>
      </c>
      <c r="T253" s="35">
        <v>0.26766000000000001</v>
      </c>
      <c r="U253" s="34">
        <v>45397</v>
      </c>
      <c r="V253" s="35">
        <v>0.26887</v>
      </c>
      <c r="W253" s="34">
        <v>45396</v>
      </c>
      <c r="X253" s="35">
        <v>0.26889000000000002</v>
      </c>
      <c r="Y253" s="34">
        <v>45395</v>
      </c>
      <c r="Z253" s="35">
        <v>0.26889000000000002</v>
      </c>
      <c r="AA253" s="34">
        <v>45400</v>
      </c>
      <c r="AB253" s="35">
        <v>0.25456000000000001</v>
      </c>
      <c r="AC253" s="34">
        <v>45401</v>
      </c>
      <c r="AD253" s="35">
        <v>0.28022000000000002</v>
      </c>
      <c r="AE253" s="34">
        <v>45402</v>
      </c>
      <c r="AF253" s="35">
        <v>0.28022000000000002</v>
      </c>
      <c r="AG253" s="34">
        <v>45403</v>
      </c>
      <c r="AH253" s="35">
        <v>0.28022000000000002</v>
      </c>
      <c r="AI253" s="36">
        <v>-4.8942688485391961E-2</v>
      </c>
      <c r="AK253" s="34">
        <v>45392</v>
      </c>
      <c r="AL253" s="35">
        <v>0.29585</v>
      </c>
      <c r="AM253" s="34">
        <v>45406</v>
      </c>
      <c r="AN253" s="5">
        <v>0.29149999999999998</v>
      </c>
      <c r="AP253" s="36">
        <v>-1.4703396991718853E-2</v>
      </c>
      <c r="AS253" s="5" t="s">
        <v>12387</v>
      </c>
      <c r="AT253" s="5">
        <v>20.440000000000001</v>
      </c>
      <c r="AU253" s="5">
        <v>100</v>
      </c>
      <c r="AV253" s="5" t="s">
        <v>12400</v>
      </c>
      <c r="AW253" s="5" t="s">
        <v>12400</v>
      </c>
      <c r="AX253" s="5" t="s">
        <v>12400</v>
      </c>
      <c r="AZ253" s="49" t="s">
        <v>12440</v>
      </c>
      <c r="BA253" s="50" t="s">
        <v>12430</v>
      </c>
      <c r="BC253" s="51">
        <v>-0.37781999999999999</v>
      </c>
    </row>
    <row r="254" spans="1:55" ht="15" customHeight="1" x14ac:dyDescent="0.4">
      <c r="A254" s="27" t="s">
        <v>11197</v>
      </c>
      <c r="B254" s="44" t="s">
        <v>12146</v>
      </c>
      <c r="C254" s="45" t="s">
        <v>11664</v>
      </c>
      <c r="D254" s="46">
        <v>3.14</v>
      </c>
      <c r="E254" s="45" t="s">
        <v>12359</v>
      </c>
      <c r="F254" s="45"/>
      <c r="G254" s="9">
        <v>0</v>
      </c>
      <c r="H254" s="9">
        <v>0</v>
      </c>
      <c r="I254" s="9">
        <v>0</v>
      </c>
      <c r="J254" s="9">
        <v>0</v>
      </c>
      <c r="K254" s="9">
        <v>0</v>
      </c>
      <c r="L254" s="9">
        <v>0</v>
      </c>
      <c r="M254" s="9">
        <v>0</v>
      </c>
      <c r="N254" s="10" t="s">
        <v>12465</v>
      </c>
      <c r="P254" s="32">
        <v>45399</v>
      </c>
      <c r="R254" s="35">
        <v>0</v>
      </c>
      <c r="S254" s="34">
        <v>45398</v>
      </c>
      <c r="T254" s="35">
        <v>0</v>
      </c>
      <c r="U254" s="34">
        <v>45397</v>
      </c>
      <c r="V254" s="35">
        <v>0</v>
      </c>
      <c r="W254" s="34">
        <v>45396</v>
      </c>
      <c r="X254" s="35">
        <v>0</v>
      </c>
      <c r="Y254" s="34">
        <v>45395</v>
      </c>
      <c r="Z254" s="35">
        <v>0</v>
      </c>
      <c r="AA254" s="34">
        <v>45400</v>
      </c>
      <c r="AB254" s="35">
        <v>0</v>
      </c>
      <c r="AC254" s="34">
        <v>45401</v>
      </c>
      <c r="AD254" s="35">
        <v>0</v>
      </c>
      <c r="AE254" s="34">
        <v>45402</v>
      </c>
      <c r="AF254" s="35">
        <v>0</v>
      </c>
      <c r="AG254" s="34">
        <v>45403</v>
      </c>
      <c r="AH254" s="35">
        <v>0</v>
      </c>
      <c r="AI254" s="36" t="s">
        <v>318</v>
      </c>
      <c r="AK254" s="34">
        <v>45392</v>
      </c>
      <c r="AL254" s="35">
        <v>0</v>
      </c>
      <c r="AM254" s="34">
        <v>45406</v>
      </c>
      <c r="AN254" s="5">
        <v>0</v>
      </c>
      <c r="AP254" s="36" t="s">
        <v>318</v>
      </c>
      <c r="AS254" s="5" t="s">
        <v>721</v>
      </c>
      <c r="AT254" s="5" t="s">
        <v>12400</v>
      </c>
      <c r="AU254" s="5" t="s">
        <v>12400</v>
      </c>
      <c r="AV254" s="5" t="s">
        <v>12400</v>
      </c>
      <c r="AW254" s="5" t="s">
        <v>12400</v>
      </c>
      <c r="AX254" s="5">
        <v>100</v>
      </c>
      <c r="AZ254" s="49" t="s">
        <v>12409</v>
      </c>
      <c r="BA254" s="50" t="s">
        <v>12409</v>
      </c>
      <c r="BC254" s="51">
        <v>0</v>
      </c>
    </row>
    <row r="255" spans="1:55" ht="15" customHeight="1" x14ac:dyDescent="0.4">
      <c r="A255" s="27" t="s">
        <v>11158</v>
      </c>
      <c r="B255" s="44" t="s">
        <v>12105</v>
      </c>
      <c r="C255" s="45" t="s">
        <v>11665</v>
      </c>
      <c r="D255" s="46">
        <v>1.59</v>
      </c>
      <c r="E255" s="45" t="s">
        <v>12357</v>
      </c>
      <c r="F255" s="45"/>
      <c r="G255" s="9">
        <v>1.38123</v>
      </c>
      <c r="H255" s="9">
        <v>7.5108499999999996</v>
      </c>
      <c r="I255" s="9">
        <v>15.457599999999999</v>
      </c>
      <c r="J255" s="9">
        <v>71.833910000000003</v>
      </c>
      <c r="K255" s="9">
        <v>71.833910000000003</v>
      </c>
      <c r="L255" s="9">
        <v>26.296869999999998</v>
      </c>
      <c r="M255" s="9">
        <v>-14.95966</v>
      </c>
      <c r="N255" s="10" t="s">
        <v>12468</v>
      </c>
      <c r="P255" s="32">
        <v>45398</v>
      </c>
      <c r="R255" s="35">
        <v>174.30119999999999</v>
      </c>
      <c r="S255" s="34">
        <v>45397</v>
      </c>
      <c r="T255" s="35">
        <v>170.65391</v>
      </c>
      <c r="U255" s="34">
        <v>45396</v>
      </c>
      <c r="V255" s="35">
        <v>169.6628</v>
      </c>
      <c r="W255" s="34">
        <v>45395</v>
      </c>
      <c r="X255" s="35">
        <v>169.6628</v>
      </c>
      <c r="Y255" s="34">
        <v>45394</v>
      </c>
      <c r="Z255" s="35">
        <v>169.6628</v>
      </c>
      <c r="AA255" s="34">
        <v>45399</v>
      </c>
      <c r="AB255" s="35">
        <v>173.42269999999999</v>
      </c>
      <c r="AC255" s="34">
        <v>45400</v>
      </c>
      <c r="AD255" s="35">
        <v>174.87737000000001</v>
      </c>
      <c r="AE255" s="34">
        <v>45401</v>
      </c>
      <c r="AF255" s="35">
        <v>174.93333000000001</v>
      </c>
      <c r="AG255" s="34">
        <v>45402</v>
      </c>
      <c r="AH255" s="35">
        <v>174.93333000000001</v>
      </c>
      <c r="AI255" s="36">
        <v>1.6224591631097018E-2</v>
      </c>
      <c r="AK255" s="34">
        <v>45391</v>
      </c>
      <c r="AL255" s="35">
        <v>171.51541</v>
      </c>
      <c r="AM255" s="34">
        <v>45405</v>
      </c>
      <c r="AN255" s="5">
        <v>174.40616</v>
      </c>
      <c r="AP255" s="36">
        <v>1.685417071270745E-2</v>
      </c>
      <c r="AS255" s="5" t="s">
        <v>12387</v>
      </c>
      <c r="AT255" s="5">
        <v>1.59</v>
      </c>
      <c r="AU255" s="5">
        <v>100</v>
      </c>
      <c r="AV255" s="5" t="s">
        <v>12400</v>
      </c>
      <c r="AW255" s="5" t="s">
        <v>12400</v>
      </c>
      <c r="AX255" s="5" t="s">
        <v>12400</v>
      </c>
      <c r="AZ255" s="49" t="s">
        <v>12410</v>
      </c>
      <c r="BA255" s="50" t="s">
        <v>12406</v>
      </c>
      <c r="BC255" s="51">
        <v>0.73939999999999995</v>
      </c>
    </row>
    <row r="256" spans="1:55" ht="15" customHeight="1" x14ac:dyDescent="0.4">
      <c r="A256" s="27" t="s">
        <v>11198</v>
      </c>
      <c r="B256" s="44" t="s">
        <v>12147</v>
      </c>
      <c r="C256" s="45" t="s">
        <v>11666</v>
      </c>
      <c r="D256" s="46">
        <v>2.2799999999999998</v>
      </c>
      <c r="E256" s="45" t="s">
        <v>12357</v>
      </c>
      <c r="F256" s="45"/>
      <c r="G256" s="9">
        <v>32.746949999999998</v>
      </c>
      <c r="H256" s="9">
        <v>-0.29611999999999999</v>
      </c>
      <c r="I256" s="9">
        <v>-3.5874999999999999</v>
      </c>
      <c r="J256" s="9">
        <v>21.804110000000001</v>
      </c>
      <c r="K256" s="9">
        <v>21.804110000000001</v>
      </c>
      <c r="L256" s="9">
        <v>1.5276400000000001</v>
      </c>
      <c r="M256" s="9">
        <v>4.0582000000000003</v>
      </c>
      <c r="N256" s="10" t="s">
        <v>12467</v>
      </c>
      <c r="P256" s="32">
        <v>45398</v>
      </c>
      <c r="R256" s="35">
        <v>1.8641700000000001</v>
      </c>
      <c r="S256" s="34">
        <v>45397</v>
      </c>
      <c r="T256" s="35">
        <v>1.9330099999999999</v>
      </c>
      <c r="U256" s="34">
        <v>45396</v>
      </c>
      <c r="V256" s="35">
        <v>1.9827699999999999</v>
      </c>
      <c r="W256" s="34">
        <v>45395</v>
      </c>
      <c r="X256" s="35">
        <v>1.9827699999999999</v>
      </c>
      <c r="Y256" s="34">
        <v>45394</v>
      </c>
      <c r="Z256" s="35">
        <v>1.9827699999999999</v>
      </c>
      <c r="AA256" s="34">
        <v>45399</v>
      </c>
      <c r="AB256" s="35">
        <v>1.8299799999999999</v>
      </c>
      <c r="AC256" s="34">
        <v>45400</v>
      </c>
      <c r="AD256" s="35">
        <v>1.80636</v>
      </c>
      <c r="AE256" s="34">
        <v>45401</v>
      </c>
      <c r="AF256" s="35">
        <v>1.7343999999999999</v>
      </c>
      <c r="AG256" s="34">
        <v>45402</v>
      </c>
      <c r="AH256" s="35">
        <v>1.7343999999999999</v>
      </c>
      <c r="AI256" s="36">
        <v>-5.3300293324918147E-2</v>
      </c>
      <c r="AK256" s="34">
        <v>45391</v>
      </c>
      <c r="AL256" s="35">
        <v>2.3339099999999999</v>
      </c>
      <c r="AM256" s="34">
        <v>45405</v>
      </c>
      <c r="AN256" s="5">
        <v>1.6777200000000001</v>
      </c>
      <c r="AP256" s="36">
        <v>-0.28115480031363671</v>
      </c>
      <c r="AS256" s="5" t="s">
        <v>12387</v>
      </c>
      <c r="AT256" s="5">
        <v>1.83</v>
      </c>
      <c r="AU256" s="5">
        <v>100</v>
      </c>
      <c r="AV256" s="5" t="s">
        <v>12400</v>
      </c>
      <c r="AW256" s="5" t="s">
        <v>12400</v>
      </c>
      <c r="AX256" s="5" t="s">
        <v>12400</v>
      </c>
      <c r="AZ256" s="49" t="s">
        <v>12409</v>
      </c>
      <c r="BA256" s="50" t="s">
        <v>12409</v>
      </c>
      <c r="BC256" s="51">
        <v>1.0673299999999999</v>
      </c>
    </row>
    <row r="257" spans="1:55" ht="15" customHeight="1" x14ac:dyDescent="0.4">
      <c r="A257" s="27" t="s">
        <v>11158</v>
      </c>
      <c r="B257" s="44" t="s">
        <v>12105</v>
      </c>
      <c r="C257" s="45" t="s">
        <v>11667</v>
      </c>
      <c r="D257" s="46">
        <v>3.44</v>
      </c>
      <c r="E257" s="45" t="s">
        <v>12357</v>
      </c>
      <c r="F257" s="45"/>
      <c r="G257" s="9">
        <v>1.38123</v>
      </c>
      <c r="H257" s="9">
        <v>7.5108499999999996</v>
      </c>
      <c r="I257" s="9">
        <v>15.457599999999999</v>
      </c>
      <c r="J257" s="9">
        <v>71.833910000000003</v>
      </c>
      <c r="K257" s="9">
        <v>71.833910000000003</v>
      </c>
      <c r="L257" s="9">
        <v>26.296869999999998</v>
      </c>
      <c r="M257" s="9">
        <v>-14.95966</v>
      </c>
      <c r="N257" s="10" t="s">
        <v>12468</v>
      </c>
      <c r="P257" s="32">
        <v>45397</v>
      </c>
      <c r="R257" s="35">
        <v>170.65391</v>
      </c>
      <c r="S257" s="34">
        <v>45396</v>
      </c>
      <c r="T257" s="35">
        <v>169.6628</v>
      </c>
      <c r="U257" s="34">
        <v>45395</v>
      </c>
      <c r="V257" s="35">
        <v>169.6628</v>
      </c>
      <c r="W257" s="34">
        <v>45394</v>
      </c>
      <c r="X257" s="35">
        <v>169.6628</v>
      </c>
      <c r="Y257" s="34">
        <v>45393</v>
      </c>
      <c r="Z257" s="35">
        <v>170.29024000000001</v>
      </c>
      <c r="AA257" s="34">
        <v>45398</v>
      </c>
      <c r="AB257" s="35">
        <v>174.30119999999999</v>
      </c>
      <c r="AC257" s="34">
        <v>45399</v>
      </c>
      <c r="AD257" s="35">
        <v>173.42269999999999</v>
      </c>
      <c r="AE257" s="34">
        <v>45400</v>
      </c>
      <c r="AF257" s="35">
        <v>174.87737000000001</v>
      </c>
      <c r="AG257" s="34">
        <v>45401</v>
      </c>
      <c r="AH257" s="35">
        <v>174.93333000000001</v>
      </c>
      <c r="AI257" s="36">
        <v>2.7338933460959058E-2</v>
      </c>
      <c r="AK257" s="34">
        <v>45390</v>
      </c>
      <c r="AL257" s="35">
        <v>172.60095999999999</v>
      </c>
      <c r="AM257" s="34">
        <v>45404</v>
      </c>
      <c r="AN257" s="5">
        <v>172.96433999999999</v>
      </c>
      <c r="AP257" s="36">
        <v>2.1053185335702107E-3</v>
      </c>
      <c r="AS257" s="5" t="s">
        <v>12387</v>
      </c>
      <c r="AT257" s="5">
        <v>3.44</v>
      </c>
      <c r="AU257" s="5">
        <v>100</v>
      </c>
      <c r="AV257" s="5" t="s">
        <v>12400</v>
      </c>
      <c r="AW257" s="5" t="s">
        <v>12400</v>
      </c>
      <c r="AX257" s="5" t="s">
        <v>12400</v>
      </c>
      <c r="AZ257" s="49" t="s">
        <v>12410</v>
      </c>
      <c r="BA257" s="50" t="s">
        <v>12406</v>
      </c>
      <c r="BC257" s="51">
        <v>0.73939999999999995</v>
      </c>
    </row>
    <row r="258" spans="1:55" ht="15" customHeight="1" x14ac:dyDescent="0.4">
      <c r="A258" s="27" t="s">
        <v>11199</v>
      </c>
      <c r="B258" s="44" t="s">
        <v>12148</v>
      </c>
      <c r="C258" s="45" t="s">
        <v>11668</v>
      </c>
      <c r="D258" s="46">
        <v>431.08</v>
      </c>
      <c r="E258" s="45" t="s">
        <v>12358</v>
      </c>
      <c r="F258" s="45"/>
      <c r="G258" s="9">
        <v>13.21434</v>
      </c>
      <c r="H258" s="9">
        <v>1096.9000000000001</v>
      </c>
      <c r="I258" s="9">
        <v>6.1368999999999998</v>
      </c>
      <c r="J258" s="9">
        <v>7774.1</v>
      </c>
      <c r="K258" s="9">
        <v>7774.1</v>
      </c>
      <c r="L258" s="9">
        <v>57.2</v>
      </c>
      <c r="M258" s="9">
        <v>3836.1</v>
      </c>
      <c r="N258" s="10" t="s">
        <v>12474</v>
      </c>
      <c r="P258" s="32">
        <v>45397</v>
      </c>
      <c r="R258" s="35">
        <v>267.91000000000003</v>
      </c>
      <c r="S258" s="34">
        <v>45396</v>
      </c>
      <c r="T258" s="35">
        <v>269.44</v>
      </c>
      <c r="U258" s="34">
        <v>45395</v>
      </c>
      <c r="V258" s="35">
        <v>269.44</v>
      </c>
      <c r="W258" s="34">
        <v>45394</v>
      </c>
      <c r="X258" s="35">
        <v>269.44</v>
      </c>
      <c r="Y258" s="34">
        <v>45393</v>
      </c>
      <c r="Z258" s="35">
        <v>270.57</v>
      </c>
      <c r="AA258" s="34">
        <v>45398</v>
      </c>
      <c r="AB258" s="35">
        <v>269.64</v>
      </c>
      <c r="AC258" s="34">
        <v>45399</v>
      </c>
      <c r="AD258" s="35">
        <v>265.74</v>
      </c>
      <c r="AE258" s="34">
        <v>45400</v>
      </c>
      <c r="AF258" s="35">
        <v>263.16000000000003</v>
      </c>
      <c r="AG258" s="34">
        <v>45401</v>
      </c>
      <c r="AH258" s="35">
        <v>265.52999999999997</v>
      </c>
      <c r="AI258" s="36">
        <v>7.422802850356458E-4</v>
      </c>
      <c r="AK258" s="34">
        <v>45390</v>
      </c>
      <c r="AL258" s="35">
        <v>278.64</v>
      </c>
      <c r="AM258" s="34">
        <v>45404</v>
      </c>
      <c r="AN258" s="5">
        <v>268.42</v>
      </c>
      <c r="AP258" s="36">
        <v>-3.6678151019236216E-2</v>
      </c>
      <c r="AS258" s="5" t="s">
        <v>12387</v>
      </c>
      <c r="AT258" s="5">
        <v>431.08</v>
      </c>
      <c r="AU258" s="5">
        <v>100</v>
      </c>
      <c r="AV258" s="5" t="s">
        <v>12400</v>
      </c>
      <c r="AW258" s="5" t="s">
        <v>12400</v>
      </c>
      <c r="AX258" s="5" t="s">
        <v>12400</v>
      </c>
      <c r="AZ258" s="49" t="s">
        <v>12403</v>
      </c>
      <c r="BA258" s="50" t="s">
        <v>12415</v>
      </c>
      <c r="BC258" s="51">
        <v>0.90444999999999998</v>
      </c>
    </row>
    <row r="259" spans="1:55" ht="15" customHeight="1" x14ac:dyDescent="0.4">
      <c r="A259" s="27" t="s">
        <v>11156</v>
      </c>
      <c r="B259" s="44" t="s">
        <v>12103</v>
      </c>
      <c r="C259" s="45" t="s">
        <v>11669</v>
      </c>
      <c r="D259" s="46">
        <v>2.21</v>
      </c>
      <c r="E259" s="45" t="s">
        <v>12357</v>
      </c>
      <c r="F259" s="45"/>
      <c r="G259" s="9">
        <v>167.94666000000001</v>
      </c>
      <c r="H259" s="9">
        <v>13.68647</v>
      </c>
      <c r="I259" s="9">
        <v>34.5533</v>
      </c>
      <c r="J259" s="9">
        <v>108.48416</v>
      </c>
      <c r="K259" s="9">
        <v>108.48416</v>
      </c>
      <c r="L259" s="9">
        <v>20.317329999999998</v>
      </c>
      <c r="M259" s="9">
        <v>-17.839690000000001</v>
      </c>
      <c r="N259" s="10" t="s">
        <v>12468</v>
      </c>
      <c r="P259" s="32">
        <v>45397</v>
      </c>
      <c r="R259" s="35">
        <v>2.2570700000000001</v>
      </c>
      <c r="S259" s="34">
        <v>45396</v>
      </c>
      <c r="T259" s="35">
        <v>2.2833299999999999</v>
      </c>
      <c r="U259" s="34">
        <v>45395</v>
      </c>
      <c r="V259" s="35">
        <v>2.2833299999999999</v>
      </c>
      <c r="W259" s="34">
        <v>45394</v>
      </c>
      <c r="X259" s="35">
        <v>2.2833299999999999</v>
      </c>
      <c r="Y259" s="34">
        <v>45393</v>
      </c>
      <c r="Z259" s="35">
        <v>2.2970799999999998</v>
      </c>
      <c r="AA259" s="34">
        <v>45398</v>
      </c>
      <c r="AB259" s="35">
        <v>2.2314500000000002</v>
      </c>
      <c r="AC259" s="34">
        <v>45399</v>
      </c>
      <c r="AD259" s="35">
        <v>2.2292000000000001</v>
      </c>
      <c r="AE259" s="34">
        <v>45400</v>
      </c>
      <c r="AF259" s="35">
        <v>2.2684700000000002</v>
      </c>
      <c r="AG259" s="34">
        <v>45401</v>
      </c>
      <c r="AH259" s="35">
        <v>2.27067</v>
      </c>
      <c r="AI259" s="36">
        <v>-2.2721201052848139E-2</v>
      </c>
      <c r="AK259" s="34">
        <v>45390</v>
      </c>
      <c r="AL259" s="35">
        <v>2.4873500000000002</v>
      </c>
      <c r="AM259" s="34">
        <v>45404</v>
      </c>
      <c r="AN259" s="5">
        <v>2.37479</v>
      </c>
      <c r="AP259" s="36">
        <v>-4.5252980079200866E-2</v>
      </c>
      <c r="AS259" s="5" t="s">
        <v>12387</v>
      </c>
      <c r="AT259" s="5" t="s">
        <v>12400</v>
      </c>
      <c r="AU259" s="5" t="s">
        <v>12400</v>
      </c>
      <c r="AV259" s="5" t="s">
        <v>12400</v>
      </c>
      <c r="AW259" s="5" t="s">
        <v>12400</v>
      </c>
      <c r="AX259" s="5" t="s">
        <v>12400</v>
      </c>
      <c r="AZ259" s="49" t="s">
        <v>12408</v>
      </c>
      <c r="BA259" s="50" t="s">
        <v>12409</v>
      </c>
      <c r="BC259" s="51">
        <v>0.45701999999999998</v>
      </c>
    </row>
    <row r="260" spans="1:55" ht="15" customHeight="1" x14ac:dyDescent="0.4">
      <c r="A260" s="27" t="s">
        <v>11200</v>
      </c>
      <c r="B260" s="44" t="s">
        <v>12149</v>
      </c>
      <c r="C260" s="45" t="s">
        <v>11670</v>
      </c>
      <c r="D260" s="46">
        <v>53.16</v>
      </c>
      <c r="E260" s="45" t="s">
        <v>12357</v>
      </c>
      <c r="F260" s="45"/>
      <c r="G260" s="9">
        <v>219.89465000000001</v>
      </c>
      <c r="H260" s="9">
        <v>3620.1</v>
      </c>
      <c r="I260" s="9">
        <v>9.2736999999999998</v>
      </c>
      <c r="J260" s="9">
        <v>30624.626</v>
      </c>
      <c r="K260" s="9">
        <v>30624.626</v>
      </c>
      <c r="L260" s="9">
        <v>365.447</v>
      </c>
      <c r="M260" s="9">
        <v>17721.287</v>
      </c>
      <c r="N260" s="10" t="s">
        <v>12471</v>
      </c>
      <c r="P260" s="32">
        <v>45397</v>
      </c>
      <c r="R260" s="35">
        <v>144.69</v>
      </c>
      <c r="S260" s="34">
        <v>45396</v>
      </c>
      <c r="T260" s="35">
        <v>147.78</v>
      </c>
      <c r="U260" s="34">
        <v>45395</v>
      </c>
      <c r="V260" s="35">
        <v>147.78</v>
      </c>
      <c r="W260" s="34">
        <v>45394</v>
      </c>
      <c r="X260" s="35">
        <v>147.78</v>
      </c>
      <c r="Y260" s="34">
        <v>45393</v>
      </c>
      <c r="Z260" s="35">
        <v>154.37</v>
      </c>
      <c r="AA260" s="34">
        <v>45398</v>
      </c>
      <c r="AB260" s="35">
        <v>144.99</v>
      </c>
      <c r="AC260" s="34">
        <v>45399</v>
      </c>
      <c r="AD260" s="35">
        <v>144.49</v>
      </c>
      <c r="AE260" s="34">
        <v>45400</v>
      </c>
      <c r="AF260" s="35">
        <v>145.68</v>
      </c>
      <c r="AG260" s="34">
        <v>45401</v>
      </c>
      <c r="AH260" s="35">
        <v>144.82</v>
      </c>
      <c r="AI260" s="36">
        <v>-1.8879415347137551E-2</v>
      </c>
      <c r="AK260" s="34">
        <v>45390</v>
      </c>
      <c r="AL260" s="35">
        <v>156.74</v>
      </c>
      <c r="AM260" s="34">
        <v>45404</v>
      </c>
      <c r="AN260" s="5">
        <v>142.85</v>
      </c>
      <c r="AP260" s="36">
        <v>-8.8618093658287656E-2</v>
      </c>
      <c r="AS260" s="5" t="s">
        <v>12387</v>
      </c>
      <c r="AT260" s="5">
        <v>53.16</v>
      </c>
      <c r="AU260" s="5">
        <v>100</v>
      </c>
      <c r="AV260" s="5" t="s">
        <v>12400</v>
      </c>
      <c r="AW260" s="5" t="s">
        <v>12400</v>
      </c>
      <c r="AX260" s="5" t="s">
        <v>12400</v>
      </c>
      <c r="AZ260" s="49" t="s">
        <v>12410</v>
      </c>
      <c r="BA260" s="50" t="s">
        <v>12416</v>
      </c>
      <c r="BC260" s="51">
        <v>0.27614</v>
      </c>
    </row>
    <row r="261" spans="1:55" ht="15" customHeight="1" x14ac:dyDescent="0.4">
      <c r="A261" s="27" t="s">
        <v>11201</v>
      </c>
      <c r="B261" s="44" t="s">
        <v>12150</v>
      </c>
      <c r="C261" s="45" t="s">
        <v>11671</v>
      </c>
      <c r="D261" s="46">
        <v>1.85</v>
      </c>
      <c r="E261" s="45" t="s">
        <v>12357</v>
      </c>
      <c r="F261" s="45"/>
      <c r="G261" s="9">
        <v>40019.71688</v>
      </c>
      <c r="H261" s="9">
        <v>0</v>
      </c>
      <c r="I261" s="9">
        <v>0</v>
      </c>
      <c r="J261" s="9">
        <v>44.346040000000002</v>
      </c>
      <c r="K261" s="9">
        <v>44.346040000000002</v>
      </c>
      <c r="L261" s="9">
        <v>9.6159999999999995E-2</v>
      </c>
      <c r="M261" s="9">
        <v>30.679269999999999</v>
      </c>
      <c r="N261" s="10" t="s">
        <v>12466</v>
      </c>
      <c r="P261" s="32">
        <v>45397</v>
      </c>
      <c r="R261" s="35">
        <v>0</v>
      </c>
      <c r="S261" s="34">
        <v>45396</v>
      </c>
      <c r="T261" s="35">
        <v>0</v>
      </c>
      <c r="U261" s="34">
        <v>45395</v>
      </c>
      <c r="V261" s="35">
        <v>0</v>
      </c>
      <c r="W261" s="34">
        <v>45394</v>
      </c>
      <c r="X261" s="35">
        <v>0</v>
      </c>
      <c r="Y261" s="34">
        <v>45393</v>
      </c>
      <c r="Z261" s="35">
        <v>0</v>
      </c>
      <c r="AA261" s="34">
        <v>45398</v>
      </c>
      <c r="AB261" s="35">
        <v>5.0000000000000002E-5</v>
      </c>
      <c r="AC261" s="34">
        <v>45399</v>
      </c>
      <c r="AD261" s="35">
        <v>0</v>
      </c>
      <c r="AE261" s="34">
        <v>45400</v>
      </c>
      <c r="AF261" s="35">
        <v>0</v>
      </c>
      <c r="AG261" s="34">
        <v>45401</v>
      </c>
      <c r="AH261" s="35">
        <v>0</v>
      </c>
      <c r="AI261" s="36" t="s">
        <v>318</v>
      </c>
      <c r="AK261" s="34">
        <v>45390</v>
      </c>
      <c r="AL261" s="35">
        <v>0</v>
      </c>
      <c r="AM261" s="34">
        <v>45404</v>
      </c>
      <c r="AN261" s="5">
        <v>0</v>
      </c>
      <c r="AP261" s="36" t="s">
        <v>318</v>
      </c>
      <c r="AS261" s="5" t="s">
        <v>12389</v>
      </c>
      <c r="AT261" s="5">
        <v>2.9000000000000001E-2</v>
      </c>
      <c r="AU261" s="5">
        <v>1.57</v>
      </c>
      <c r="AV261" s="5" t="s">
        <v>12400</v>
      </c>
      <c r="AW261" s="5" t="s">
        <v>12400</v>
      </c>
      <c r="AX261" s="5">
        <v>98.43</v>
      </c>
      <c r="AZ261" s="49" t="s">
        <v>12417</v>
      </c>
      <c r="BA261" s="50" t="s">
        <v>12415</v>
      </c>
      <c r="BC261" s="51">
        <v>6.0885499999999997</v>
      </c>
    </row>
    <row r="262" spans="1:55" ht="15" customHeight="1" x14ac:dyDescent="0.4">
      <c r="A262" s="27" t="s">
        <v>11202</v>
      </c>
      <c r="B262" s="44" t="s">
        <v>12151</v>
      </c>
      <c r="C262" s="45" t="s">
        <v>11672</v>
      </c>
      <c r="D262" s="47">
        <v>0.373</v>
      </c>
      <c r="E262" s="45" t="s">
        <v>12357</v>
      </c>
      <c r="F262" s="45"/>
      <c r="G262" s="9">
        <v>320.40158000000002</v>
      </c>
      <c r="H262" s="9">
        <v>-2.3386200000000001</v>
      </c>
      <c r="I262" s="9">
        <v>-75.773799999999994</v>
      </c>
      <c r="J262" s="9">
        <v>14.074999999999999</v>
      </c>
      <c r="K262" s="9">
        <v>14.074999999999999</v>
      </c>
      <c r="L262" s="9">
        <v>5.4363900000000003</v>
      </c>
      <c r="M262" s="9">
        <v>-5.4007199999999997</v>
      </c>
      <c r="N262" s="10" t="s">
        <v>12474</v>
      </c>
      <c r="P262" s="32">
        <v>45394</v>
      </c>
      <c r="R262" s="35">
        <v>3.4849999999999999E-2</v>
      </c>
      <c r="S262" s="34">
        <v>45393</v>
      </c>
      <c r="T262" s="35">
        <v>3.2530000000000003E-2</v>
      </c>
      <c r="U262" s="34">
        <v>45392</v>
      </c>
      <c r="V262" s="35">
        <v>3.2629999999999999E-2</v>
      </c>
      <c r="W262" s="34">
        <v>45391</v>
      </c>
      <c r="X262" s="35">
        <v>3.1040000000000002E-2</v>
      </c>
      <c r="Y262" s="34">
        <v>45390</v>
      </c>
      <c r="Z262" s="35">
        <v>2.9729999999999999E-2</v>
      </c>
      <c r="AA262" s="34">
        <v>45395</v>
      </c>
      <c r="AB262" s="35">
        <v>3.4849999999999999E-2</v>
      </c>
      <c r="AC262" s="34">
        <v>45396</v>
      </c>
      <c r="AD262" s="35">
        <v>3.4849999999999999E-2</v>
      </c>
      <c r="AE262" s="34">
        <v>45397</v>
      </c>
      <c r="AF262" s="35">
        <v>3.4259999999999999E-2</v>
      </c>
      <c r="AG262" s="34">
        <v>45398</v>
      </c>
      <c r="AH262" s="35">
        <v>3.5439999999999999E-2</v>
      </c>
      <c r="AI262" s="36">
        <v>7.1318782662157965E-2</v>
      </c>
      <c r="AK262" s="34">
        <v>45387</v>
      </c>
      <c r="AL262" s="35">
        <v>2.9659999999999999E-2</v>
      </c>
      <c r="AM262" s="34">
        <v>45401</v>
      </c>
      <c r="AN262" s="5">
        <v>3.848E-2</v>
      </c>
      <c r="AP262" s="36">
        <v>0.29737019554956179</v>
      </c>
      <c r="AS262" s="5" t="s">
        <v>12388</v>
      </c>
      <c r="AT262" s="5">
        <v>0.124</v>
      </c>
      <c r="AU262" s="5">
        <v>66.67</v>
      </c>
      <c r="AV262" s="5" t="s">
        <v>12400</v>
      </c>
      <c r="AW262" s="5" t="s">
        <v>12400</v>
      </c>
      <c r="AX262" s="5">
        <v>33.33</v>
      </c>
      <c r="AZ262" s="49" t="s">
        <v>12415</v>
      </c>
      <c r="BA262" s="50" t="s">
        <v>12415</v>
      </c>
      <c r="BC262" s="51">
        <v>0.21676999999999999</v>
      </c>
    </row>
    <row r="263" spans="1:55" ht="15" customHeight="1" x14ac:dyDescent="0.4">
      <c r="A263" s="27" t="s">
        <v>11203</v>
      </c>
      <c r="B263" s="44" t="s">
        <v>12152</v>
      </c>
      <c r="C263" s="45" t="s">
        <v>11673</v>
      </c>
      <c r="D263" s="46">
        <v>3.71</v>
      </c>
      <c r="E263" s="45" t="s">
        <v>12357</v>
      </c>
      <c r="F263" s="45"/>
      <c r="G263" s="9">
        <v>37.99194</v>
      </c>
      <c r="H263" s="9">
        <v>97.5471</v>
      </c>
      <c r="I263" s="9">
        <v>21.409800000000001</v>
      </c>
      <c r="J263" s="9">
        <v>905.36838</v>
      </c>
      <c r="K263" s="9">
        <v>905.36838</v>
      </c>
      <c r="L263" s="9">
        <v>54.690019999999997</v>
      </c>
      <c r="M263" s="9">
        <v>347.62963999999999</v>
      </c>
      <c r="N263" s="10" t="s">
        <v>12467</v>
      </c>
      <c r="P263" s="32">
        <v>45393</v>
      </c>
      <c r="R263" s="35">
        <v>23.346029999999999</v>
      </c>
      <c r="S263" s="34">
        <v>45392</v>
      </c>
      <c r="T263" s="35">
        <v>23.575600000000001</v>
      </c>
      <c r="U263" s="34">
        <v>45391</v>
      </c>
      <c r="V263" s="35">
        <v>24.147780000000001</v>
      </c>
      <c r="W263" s="34">
        <v>45390</v>
      </c>
      <c r="X263" s="35">
        <v>24.52535</v>
      </c>
      <c r="Y263" s="34">
        <v>45389</v>
      </c>
      <c r="Z263" s="35">
        <v>24.322420000000001</v>
      </c>
      <c r="AA263" s="34">
        <v>45394</v>
      </c>
      <c r="AB263" s="35">
        <v>22.572929999999999</v>
      </c>
      <c r="AC263" s="34">
        <v>45395</v>
      </c>
      <c r="AD263" s="35">
        <v>22.572929999999999</v>
      </c>
      <c r="AE263" s="34">
        <v>45396</v>
      </c>
      <c r="AF263" s="35">
        <v>22.572929999999999</v>
      </c>
      <c r="AG263" s="34">
        <v>45397</v>
      </c>
      <c r="AH263" s="35">
        <v>23.22344</v>
      </c>
      <c r="AI263" s="36">
        <v>-4.252998863231483E-2</v>
      </c>
      <c r="AK263" s="34">
        <v>45386</v>
      </c>
      <c r="AL263" s="35">
        <v>24.999289999999998</v>
      </c>
      <c r="AM263" s="34">
        <v>45400</v>
      </c>
      <c r="AN263" s="5">
        <v>22.097339999999999</v>
      </c>
      <c r="AP263" s="36">
        <v>-0.1160812967088265</v>
      </c>
      <c r="AS263" s="5" t="s">
        <v>12387</v>
      </c>
      <c r="AT263" s="5">
        <v>2.41</v>
      </c>
      <c r="AU263" s="5">
        <v>100</v>
      </c>
      <c r="AV263" s="5" t="s">
        <v>12400</v>
      </c>
      <c r="AW263" s="5" t="s">
        <v>12400</v>
      </c>
      <c r="AX263" s="5" t="s">
        <v>12400</v>
      </c>
      <c r="AZ263" s="49" t="s">
        <v>12409</v>
      </c>
      <c r="BA263" s="50" t="s">
        <v>12409</v>
      </c>
      <c r="BC263" s="51">
        <v>1.5592900000000001</v>
      </c>
    </row>
    <row r="264" spans="1:55" ht="15" customHeight="1" x14ac:dyDescent="0.4">
      <c r="A264" s="27" t="s">
        <v>10981</v>
      </c>
      <c r="B264" s="44" t="s">
        <v>11926</v>
      </c>
      <c r="C264" s="45" t="s">
        <v>11674</v>
      </c>
      <c r="D264" s="47">
        <v>0.46400000000000002</v>
      </c>
      <c r="E264" s="45" t="s">
        <v>12357</v>
      </c>
      <c r="F264" s="45"/>
      <c r="G264" s="9">
        <v>186.95809</v>
      </c>
      <c r="H264" s="9">
        <v>63.247909999999997</v>
      </c>
      <c r="I264" s="9">
        <v>15.559900000000001</v>
      </c>
      <c r="J264" s="9">
        <v>320.31882999999999</v>
      </c>
      <c r="K264" s="9">
        <v>320.31882999999999</v>
      </c>
      <c r="L264" s="9">
        <v>47.592750000000002</v>
      </c>
      <c r="M264" s="9">
        <v>58.857790000000001</v>
      </c>
      <c r="N264" s="10" t="s">
        <v>12468</v>
      </c>
      <c r="P264" s="32">
        <v>45393</v>
      </c>
      <c r="R264" s="35">
        <v>5.9292199999999999</v>
      </c>
      <c r="S264" s="34">
        <v>45392</v>
      </c>
      <c r="T264" s="35">
        <v>5.87059</v>
      </c>
      <c r="U264" s="34">
        <v>45391</v>
      </c>
      <c r="V264" s="35">
        <v>6.3302800000000001</v>
      </c>
      <c r="W264" s="34">
        <v>45390</v>
      </c>
      <c r="X264" s="35">
        <v>6.3396600000000003</v>
      </c>
      <c r="Y264" s="34">
        <v>45389</v>
      </c>
      <c r="Z264" s="35">
        <v>6.1228999999999996</v>
      </c>
      <c r="AA264" s="34">
        <v>45394</v>
      </c>
      <c r="AB264" s="35">
        <v>5.68452</v>
      </c>
      <c r="AC264" s="34">
        <v>45395</v>
      </c>
      <c r="AD264" s="35">
        <v>5.68452</v>
      </c>
      <c r="AE264" s="34">
        <v>45396</v>
      </c>
      <c r="AF264" s="35">
        <v>5.68452</v>
      </c>
      <c r="AG264" s="34">
        <v>45397</v>
      </c>
      <c r="AH264" s="35">
        <v>5.6909400000000003</v>
      </c>
      <c r="AI264" s="36">
        <v>-3.1695281053522706E-2</v>
      </c>
      <c r="AK264" s="34">
        <v>45386</v>
      </c>
      <c r="AL264" s="35">
        <v>6.4247399999999999</v>
      </c>
      <c r="AM264" s="34">
        <v>45400</v>
      </c>
      <c r="AN264" s="5">
        <v>5.7165699999999999</v>
      </c>
      <c r="AP264" s="36">
        <v>-0.11022547215918466</v>
      </c>
      <c r="AS264" s="5" t="s">
        <v>12387</v>
      </c>
      <c r="AT264" s="5">
        <v>0.46400000000000002</v>
      </c>
      <c r="AU264" s="5">
        <v>100</v>
      </c>
      <c r="AV264" s="5" t="s">
        <v>12400</v>
      </c>
      <c r="AW264" s="5" t="s">
        <v>12400</v>
      </c>
      <c r="AX264" s="5" t="s">
        <v>12400</v>
      </c>
      <c r="AZ264" s="49" t="s">
        <v>12409</v>
      </c>
      <c r="BA264" s="50" t="s">
        <v>12441</v>
      </c>
      <c r="BC264" s="51">
        <v>1.143</v>
      </c>
    </row>
    <row r="265" spans="1:55" ht="15" customHeight="1" x14ac:dyDescent="0.4">
      <c r="A265" s="27" t="s">
        <v>11204</v>
      </c>
      <c r="B265" s="44" t="s">
        <v>12153</v>
      </c>
      <c r="C265" s="45" t="s">
        <v>11675</v>
      </c>
      <c r="D265" s="46">
        <v>15.04</v>
      </c>
      <c r="E265" s="45" t="s">
        <v>12357</v>
      </c>
      <c r="F265" s="45"/>
      <c r="G265" s="9">
        <v>243.16418999999999</v>
      </c>
      <c r="H265" s="9">
        <v>133.2508</v>
      </c>
      <c r="I265" s="9">
        <v>20.491299999999999</v>
      </c>
      <c r="J265" s="9">
        <v>1376.8928900000001</v>
      </c>
      <c r="K265" s="9">
        <v>1376.8928900000001</v>
      </c>
      <c r="L265" s="9">
        <v>114.26992</v>
      </c>
      <c r="M265" s="9">
        <v>536.12468000000001</v>
      </c>
      <c r="N265" s="10" t="s">
        <v>12467</v>
      </c>
      <c r="P265" s="32">
        <v>45392</v>
      </c>
      <c r="R265" s="35">
        <v>2.4822700000000002</v>
      </c>
      <c r="S265" s="34">
        <v>45391</v>
      </c>
      <c r="T265" s="35">
        <v>2.5293100000000002</v>
      </c>
      <c r="U265" s="34">
        <v>45390</v>
      </c>
      <c r="V265" s="35">
        <v>2.5510199999999998</v>
      </c>
      <c r="W265" s="34">
        <v>45389</v>
      </c>
      <c r="X265" s="35">
        <v>2.5338400000000001</v>
      </c>
      <c r="Y265" s="34">
        <v>45388</v>
      </c>
      <c r="Z265" s="35">
        <v>2.5338400000000001</v>
      </c>
      <c r="AA265" s="34">
        <v>45393</v>
      </c>
      <c r="AB265" s="35">
        <v>2.47403</v>
      </c>
      <c r="AC265" s="34">
        <v>45394</v>
      </c>
      <c r="AD265" s="35">
        <v>2.4359099999999998</v>
      </c>
      <c r="AE265" s="34">
        <v>45395</v>
      </c>
      <c r="AF265" s="35">
        <v>2.4359099999999998</v>
      </c>
      <c r="AG265" s="34">
        <v>45396</v>
      </c>
      <c r="AH265" s="35">
        <v>2.4359099999999998</v>
      </c>
      <c r="AI265" s="36">
        <v>-2.1855763034187237E-2</v>
      </c>
      <c r="AK265" s="34">
        <v>45385</v>
      </c>
      <c r="AL265" s="35">
        <v>2.4907900000000001</v>
      </c>
      <c r="AM265" s="34">
        <v>45399</v>
      </c>
      <c r="AN265" s="5">
        <v>2.4151500000000001</v>
      </c>
      <c r="AP265" s="36">
        <v>-3.0367875252429899E-2</v>
      </c>
      <c r="AS265" s="5" t="s">
        <v>12387</v>
      </c>
      <c r="AT265" s="5">
        <v>15.04</v>
      </c>
      <c r="AU265" s="5">
        <v>100</v>
      </c>
      <c r="AV265" s="5" t="s">
        <v>12400</v>
      </c>
      <c r="AW265" s="5" t="s">
        <v>12400</v>
      </c>
      <c r="AX265" s="5" t="s">
        <v>12400</v>
      </c>
      <c r="AZ265" s="49" t="s">
        <v>12442</v>
      </c>
      <c r="BA265" s="50" t="s">
        <v>12442</v>
      </c>
      <c r="BC265" s="51">
        <v>0.27016000000000001</v>
      </c>
    </row>
    <row r="266" spans="1:55" ht="15" customHeight="1" x14ac:dyDescent="0.4">
      <c r="A266" s="27" t="s">
        <v>11205</v>
      </c>
      <c r="B266" s="44" t="s">
        <v>12154</v>
      </c>
      <c r="C266" s="45" t="s">
        <v>11676</v>
      </c>
      <c r="D266" s="46">
        <v>2.15</v>
      </c>
      <c r="E266" s="45" t="s">
        <v>12357</v>
      </c>
      <c r="F266" s="45"/>
      <c r="G266" s="9">
        <v>6.7967500000000003</v>
      </c>
      <c r="H266" s="9">
        <v>9.0116399999999999</v>
      </c>
      <c r="I266" s="9">
        <v>23.427700000000002</v>
      </c>
      <c r="J266" s="9">
        <v>66.197850000000003</v>
      </c>
      <c r="K266" s="9">
        <v>66.197850000000003</v>
      </c>
      <c r="L266" s="9">
        <v>5.7061900000000003</v>
      </c>
      <c r="M266" s="9">
        <v>14.678229999999999</v>
      </c>
      <c r="N266" s="10" t="s">
        <v>12470</v>
      </c>
      <c r="P266" s="32">
        <v>45392</v>
      </c>
      <c r="R266" s="35">
        <v>5.48034</v>
      </c>
      <c r="S266" s="34">
        <v>45391</v>
      </c>
      <c r="T266" s="35">
        <v>5.5362600000000004</v>
      </c>
      <c r="U266" s="34">
        <v>45390</v>
      </c>
      <c r="V266" s="35">
        <v>5.6448099999999997</v>
      </c>
      <c r="W266" s="34">
        <v>45389</v>
      </c>
      <c r="X266" s="35">
        <v>5.6307499999999999</v>
      </c>
      <c r="Y266" s="34">
        <v>45388</v>
      </c>
      <c r="Z266" s="35">
        <v>5.6307499999999999</v>
      </c>
      <c r="AA266" s="34">
        <v>45393</v>
      </c>
      <c r="AB266" s="35">
        <v>5.5692399999999997</v>
      </c>
      <c r="AC266" s="34">
        <v>45394</v>
      </c>
      <c r="AD266" s="35">
        <v>5.4781399999999998</v>
      </c>
      <c r="AE266" s="34">
        <v>45395</v>
      </c>
      <c r="AF266" s="35">
        <v>5.4781399999999998</v>
      </c>
      <c r="AG266" s="34">
        <v>45396</v>
      </c>
      <c r="AH266" s="35">
        <v>5.4781399999999998</v>
      </c>
      <c r="AI266" s="36">
        <v>5.957090165563006E-3</v>
      </c>
      <c r="AK266" s="34">
        <v>45385</v>
      </c>
      <c r="AL266" s="35">
        <v>5.57721</v>
      </c>
      <c r="AM266" s="34">
        <v>45399</v>
      </c>
      <c r="AN266" s="5">
        <v>5.4793099999999999</v>
      </c>
      <c r="AP266" s="36">
        <v>-1.7553579657212159E-2</v>
      </c>
      <c r="AS266" s="5" t="s">
        <v>12387</v>
      </c>
      <c r="AT266" s="5">
        <v>2.15</v>
      </c>
      <c r="AU266" s="5">
        <v>100</v>
      </c>
      <c r="AV266" s="5" t="s">
        <v>12400</v>
      </c>
      <c r="AW266" s="5" t="s">
        <v>12400</v>
      </c>
      <c r="AX266" s="5" t="s">
        <v>12400</v>
      </c>
      <c r="AZ266" s="49" t="s">
        <v>12416</v>
      </c>
      <c r="BA266" s="50" t="s">
        <v>12416</v>
      </c>
      <c r="BC266" s="51">
        <v>0.6472</v>
      </c>
    </row>
    <row r="267" spans="1:55" ht="15" customHeight="1" x14ac:dyDescent="0.4">
      <c r="A267" s="27" t="s">
        <v>11206</v>
      </c>
      <c r="B267" s="44" t="s">
        <v>12155</v>
      </c>
      <c r="C267" s="45" t="s">
        <v>11677</v>
      </c>
      <c r="D267" s="46">
        <v>4.59</v>
      </c>
      <c r="E267" s="45" t="s">
        <v>12357</v>
      </c>
      <c r="F267" s="45"/>
      <c r="G267" s="9">
        <v>275.57031999999998</v>
      </c>
      <c r="H267" s="9">
        <v>15254</v>
      </c>
      <c r="I267" s="9">
        <v>24.915800000000001</v>
      </c>
      <c r="J267" s="9">
        <v>104087</v>
      </c>
      <c r="K267" s="9">
        <v>104087</v>
      </c>
      <c r="L267" s="9">
        <v>5720</v>
      </c>
      <c r="M267" s="9">
        <v>58727</v>
      </c>
      <c r="N267" s="10" t="s">
        <v>12467</v>
      </c>
      <c r="P267" s="32">
        <v>45392</v>
      </c>
      <c r="R267" s="35">
        <v>411.97</v>
      </c>
      <c r="S267" s="34">
        <v>45391</v>
      </c>
      <c r="T267" s="35">
        <v>411.48</v>
      </c>
      <c r="U267" s="34">
        <v>45390</v>
      </c>
      <c r="V267" s="35">
        <v>410.75</v>
      </c>
      <c r="W267" s="34">
        <v>45389</v>
      </c>
      <c r="X267" s="35">
        <v>412.54</v>
      </c>
      <c r="Y267" s="34">
        <v>45388</v>
      </c>
      <c r="Z267" s="35">
        <v>412.54</v>
      </c>
      <c r="AA267" s="34">
        <v>45393</v>
      </c>
      <c r="AB267" s="35">
        <v>412.84</v>
      </c>
      <c r="AC267" s="34">
        <v>45394</v>
      </c>
      <c r="AD267" s="35">
        <v>397.27</v>
      </c>
      <c r="AE267" s="34">
        <v>45395</v>
      </c>
      <c r="AF267" s="35">
        <v>397.27</v>
      </c>
      <c r="AG267" s="34">
        <v>45396</v>
      </c>
      <c r="AH267" s="35">
        <v>397.27</v>
      </c>
      <c r="AI267" s="36">
        <v>3.3051424127539253E-3</v>
      </c>
      <c r="AK267" s="34">
        <v>45385</v>
      </c>
      <c r="AL267" s="35">
        <v>406.03</v>
      </c>
      <c r="AM267" s="34">
        <v>45399</v>
      </c>
      <c r="AN267" s="5">
        <v>396.88</v>
      </c>
      <c r="AP267" s="36">
        <v>-2.2535280644287337E-2</v>
      </c>
      <c r="AS267" s="5" t="s">
        <v>12389</v>
      </c>
      <c r="AT267" s="5">
        <v>4.16</v>
      </c>
      <c r="AU267" s="5">
        <v>90.71</v>
      </c>
      <c r="AV267" s="5" t="s">
        <v>12400</v>
      </c>
      <c r="AW267" s="5" t="s">
        <v>12400</v>
      </c>
      <c r="AX267" s="5">
        <v>9.2899999999999991</v>
      </c>
      <c r="AZ267" s="49" t="s">
        <v>12417</v>
      </c>
      <c r="BA267" s="50" t="s">
        <v>12415</v>
      </c>
      <c r="BC267" s="51">
        <v>1.00702</v>
      </c>
    </row>
    <row r="268" spans="1:55" ht="15" customHeight="1" x14ac:dyDescent="0.4">
      <c r="A268" s="27" t="s">
        <v>11207</v>
      </c>
      <c r="B268" s="44" t="s">
        <v>12156</v>
      </c>
      <c r="C268" s="45" t="s">
        <v>11678</v>
      </c>
      <c r="D268" s="47">
        <v>0.999</v>
      </c>
      <c r="E268" s="45" t="s">
        <v>12357</v>
      </c>
      <c r="F268" s="45"/>
      <c r="G268" s="9">
        <v>63.449440000000003</v>
      </c>
      <c r="H268" s="9">
        <v>-0.29912</v>
      </c>
      <c r="I268" s="9">
        <v>-20.266300000000001</v>
      </c>
      <c r="J268" s="9">
        <v>4.9299400000000002</v>
      </c>
      <c r="K268" s="9">
        <v>4.9299400000000002</v>
      </c>
      <c r="L268" s="9">
        <v>8.6639999999999995E-2</v>
      </c>
      <c r="M268" s="9">
        <v>0.21159</v>
      </c>
      <c r="N268" s="10" t="s">
        <v>12474</v>
      </c>
      <c r="P268" s="32">
        <v>45392</v>
      </c>
      <c r="R268" s="35">
        <v>0.13755999999999999</v>
      </c>
      <c r="S268" s="34">
        <v>45391</v>
      </c>
      <c r="T268" s="35">
        <v>0.13247</v>
      </c>
      <c r="U268" s="34">
        <v>45390</v>
      </c>
      <c r="V268" s="35">
        <v>0.12878000000000001</v>
      </c>
      <c r="W268" s="34">
        <v>45389</v>
      </c>
      <c r="X268" s="35">
        <v>0.11607000000000001</v>
      </c>
      <c r="Y268" s="34">
        <v>45388</v>
      </c>
      <c r="Z268" s="35">
        <v>0.11607000000000001</v>
      </c>
      <c r="AA268" s="34">
        <v>45393</v>
      </c>
      <c r="AB268" s="35">
        <v>0.13815</v>
      </c>
      <c r="AC268" s="34">
        <v>45394</v>
      </c>
      <c r="AD268" s="35">
        <v>0.12845999999999999</v>
      </c>
      <c r="AE268" s="34">
        <v>45395</v>
      </c>
      <c r="AF268" s="35">
        <v>0.12845999999999999</v>
      </c>
      <c r="AG268" s="34">
        <v>45396</v>
      </c>
      <c r="AH268" s="35">
        <v>0.12845999999999999</v>
      </c>
      <c r="AI268" s="36">
        <v>4.2877632671548094E-2</v>
      </c>
      <c r="AK268" s="34">
        <v>45385</v>
      </c>
      <c r="AL268" s="35">
        <v>0.1043</v>
      </c>
      <c r="AM268" s="34">
        <v>45399</v>
      </c>
      <c r="AN268" s="5">
        <v>0.13464000000000001</v>
      </c>
      <c r="AP268" s="36">
        <v>0.29089165867689371</v>
      </c>
      <c r="AS268" s="5" t="s">
        <v>721</v>
      </c>
      <c r="AT268" s="5" t="s">
        <v>12400</v>
      </c>
      <c r="AU268" s="5" t="s">
        <v>12400</v>
      </c>
      <c r="AV268" s="5" t="s">
        <v>12400</v>
      </c>
      <c r="AW268" s="5" t="s">
        <v>12400</v>
      </c>
      <c r="AX268" s="5">
        <v>100</v>
      </c>
      <c r="AZ268" s="49" t="s">
        <v>12409</v>
      </c>
      <c r="BA268" s="50" t="s">
        <v>12409</v>
      </c>
      <c r="BC268" s="51">
        <v>-0.25650000000000001</v>
      </c>
    </row>
    <row r="269" spans="1:55" ht="15" customHeight="1" x14ac:dyDescent="0.4">
      <c r="A269" s="27" t="s">
        <v>11208</v>
      </c>
      <c r="B269" s="44" t="s">
        <v>12157</v>
      </c>
      <c r="C269" s="45" t="s">
        <v>11679</v>
      </c>
      <c r="D269" s="46">
        <v>11.17</v>
      </c>
      <c r="E269" s="45" t="s">
        <v>12357</v>
      </c>
      <c r="F269" s="45"/>
      <c r="G269" s="9">
        <v>147.19682</v>
      </c>
      <c r="H269" s="9">
        <v>6.3479599999999996</v>
      </c>
      <c r="I269" s="9">
        <v>24.666</v>
      </c>
      <c r="J269" s="9">
        <v>345.30563000000001</v>
      </c>
      <c r="K269" s="9">
        <v>345.30563000000001</v>
      </c>
      <c r="L269" s="9">
        <v>149.0273</v>
      </c>
      <c r="M269" s="9">
        <v>157.54615000000001</v>
      </c>
      <c r="N269" s="10" t="s">
        <v>12473</v>
      </c>
      <c r="P269" s="32">
        <v>45392</v>
      </c>
      <c r="R269" s="35">
        <v>0.21276999999999999</v>
      </c>
      <c r="S269" s="34">
        <v>45391</v>
      </c>
      <c r="T269" s="35">
        <v>0.19159999999999999</v>
      </c>
      <c r="U269" s="34">
        <v>45390</v>
      </c>
      <c r="V269" s="35">
        <v>0.19159999999999999</v>
      </c>
      <c r="W269" s="34">
        <v>45389</v>
      </c>
      <c r="X269" s="35">
        <v>0.18517</v>
      </c>
      <c r="Y269" s="34">
        <v>45388</v>
      </c>
      <c r="Z269" s="35">
        <v>0.18517</v>
      </c>
      <c r="AA269" s="34">
        <v>45393</v>
      </c>
      <c r="AB269" s="35">
        <v>0.21367</v>
      </c>
      <c r="AC269" s="34">
        <v>45394</v>
      </c>
      <c r="AD269" s="35">
        <v>0.21168000000000001</v>
      </c>
      <c r="AE269" s="34">
        <v>45395</v>
      </c>
      <c r="AF269" s="35">
        <v>0.21168000000000001</v>
      </c>
      <c r="AG269" s="34">
        <v>45396</v>
      </c>
      <c r="AH269" s="35">
        <v>0.21168000000000001</v>
      </c>
      <c r="AI269" s="36">
        <v>0.11518789144050112</v>
      </c>
      <c r="AK269" s="34">
        <v>45385</v>
      </c>
      <c r="AL269" s="35">
        <v>0.1971</v>
      </c>
      <c r="AM269" s="34">
        <v>45399</v>
      </c>
      <c r="AN269" s="5">
        <v>0.20906</v>
      </c>
      <c r="AP269" s="36">
        <v>6.0679857940131976E-2</v>
      </c>
      <c r="AS269" s="5" t="s">
        <v>721</v>
      </c>
      <c r="AT269" s="5" t="s">
        <v>12400</v>
      </c>
      <c r="AU269" s="5" t="s">
        <v>12400</v>
      </c>
      <c r="AV269" s="5" t="s">
        <v>12400</v>
      </c>
      <c r="AW269" s="5" t="s">
        <v>12400</v>
      </c>
      <c r="AX269" s="5">
        <v>100</v>
      </c>
      <c r="AZ269" s="49" t="s">
        <v>12411</v>
      </c>
      <c r="BA269" s="50" t="s">
        <v>12411</v>
      </c>
      <c r="BC269" s="51">
        <v>0.76293999999999995</v>
      </c>
    </row>
    <row r="270" spans="1:55" ht="15" customHeight="1" x14ac:dyDescent="0.4">
      <c r="A270" s="27" t="s">
        <v>11164</v>
      </c>
      <c r="B270" s="44" t="s">
        <v>12111</v>
      </c>
      <c r="C270" s="45" t="s">
        <v>11680</v>
      </c>
      <c r="D270" s="47">
        <v>0.14699999999999999</v>
      </c>
      <c r="E270" s="45" t="s">
        <v>12357</v>
      </c>
      <c r="F270" s="45"/>
      <c r="G270" s="9">
        <v>47.741059999999997</v>
      </c>
      <c r="H270" s="9">
        <v>-1.2628699999999999</v>
      </c>
      <c r="I270" s="9">
        <v>0</v>
      </c>
      <c r="J270" s="9">
        <v>9.2672899999999991</v>
      </c>
      <c r="K270" s="9">
        <v>9.2672899999999991</v>
      </c>
      <c r="L270" s="9">
        <v>2.5157099999999999</v>
      </c>
      <c r="M270" s="9">
        <v>-2.4189699999999998</v>
      </c>
      <c r="N270" s="10" t="s">
        <v>12466</v>
      </c>
      <c r="P270" s="32">
        <v>45391</v>
      </c>
      <c r="R270" s="35">
        <v>0.25751000000000002</v>
      </c>
      <c r="S270" s="34">
        <v>45390</v>
      </c>
      <c r="T270" s="35">
        <v>0.27235999999999999</v>
      </c>
      <c r="U270" s="34">
        <v>45389</v>
      </c>
      <c r="V270" s="35">
        <v>0.2722</v>
      </c>
      <c r="W270" s="34">
        <v>45388</v>
      </c>
      <c r="X270" s="35">
        <v>0.2722</v>
      </c>
      <c r="Y270" s="34">
        <v>45387</v>
      </c>
      <c r="Z270" s="35">
        <v>0.2722</v>
      </c>
      <c r="AA270" s="34">
        <v>45392</v>
      </c>
      <c r="AB270" s="35">
        <v>0.27393000000000001</v>
      </c>
      <c r="AC270" s="34">
        <v>45393</v>
      </c>
      <c r="AD270" s="35">
        <v>0.25505</v>
      </c>
      <c r="AE270" s="34">
        <v>45394</v>
      </c>
      <c r="AF270" s="35">
        <v>0.25435000000000002</v>
      </c>
      <c r="AG270" s="34">
        <v>45395</v>
      </c>
      <c r="AH270" s="35">
        <v>0.25435000000000002</v>
      </c>
      <c r="AI270" s="36">
        <v>5.7644294316345768E-3</v>
      </c>
      <c r="AK270" s="34">
        <v>45384</v>
      </c>
      <c r="AL270" s="35">
        <v>0.27986</v>
      </c>
      <c r="AM270" s="34">
        <v>45398</v>
      </c>
      <c r="AN270" s="5">
        <v>0.25680999999999998</v>
      </c>
      <c r="AP270" s="36">
        <v>-8.2362609876366788E-2</v>
      </c>
      <c r="AS270" s="5" t="s">
        <v>12387</v>
      </c>
      <c r="AT270" s="5">
        <v>0.14699999999999999</v>
      </c>
      <c r="AU270" s="5">
        <v>100</v>
      </c>
      <c r="AV270" s="5" t="s">
        <v>12400</v>
      </c>
      <c r="AW270" s="5" t="s">
        <v>12400</v>
      </c>
      <c r="AX270" s="5" t="s">
        <v>12400</v>
      </c>
      <c r="AZ270" s="49" t="s">
        <v>12417</v>
      </c>
      <c r="BA270" s="50" t="s">
        <v>12411</v>
      </c>
      <c r="BC270" s="51">
        <v>0.67983000000000005</v>
      </c>
    </row>
    <row r="271" spans="1:55" ht="15" customHeight="1" x14ac:dyDescent="0.4">
      <c r="A271" s="27" t="s">
        <v>11209</v>
      </c>
      <c r="B271" s="44" t="s">
        <v>12158</v>
      </c>
      <c r="C271" s="45" t="s">
        <v>11681</v>
      </c>
      <c r="D271" s="46">
        <v>6.5</v>
      </c>
      <c r="E271" s="45" t="s">
        <v>12358</v>
      </c>
      <c r="F271" s="45"/>
      <c r="G271" s="9">
        <v>6.0353000000000003</v>
      </c>
      <c r="H271" s="9">
        <v>13.50337</v>
      </c>
      <c r="I271" s="9">
        <v>2.1212</v>
      </c>
      <c r="J271" s="9">
        <v>291.99182000000002</v>
      </c>
      <c r="K271" s="9">
        <v>291.99182000000002</v>
      </c>
      <c r="L271" s="9">
        <v>36.797829999999998</v>
      </c>
      <c r="M271" s="9">
        <v>3.9294799999999999</v>
      </c>
      <c r="N271" s="10" t="s">
        <v>12474</v>
      </c>
      <c r="P271" s="32">
        <v>45387</v>
      </c>
      <c r="R271" s="35">
        <v>17.715209999999999</v>
      </c>
      <c r="S271" s="34">
        <v>45386</v>
      </c>
      <c r="T271" s="35">
        <v>17.705839999999998</v>
      </c>
      <c r="U271" s="34">
        <v>45385</v>
      </c>
      <c r="V271" s="35">
        <v>17.608840000000001</v>
      </c>
      <c r="W271" s="34">
        <v>45384</v>
      </c>
      <c r="X271" s="35">
        <v>17.402539999999998</v>
      </c>
      <c r="Y271" s="34">
        <v>45383</v>
      </c>
      <c r="Z271" s="35">
        <v>16.863589999999999</v>
      </c>
      <c r="AA271" s="34">
        <v>45388</v>
      </c>
      <c r="AB271" s="35">
        <v>17.715209999999999</v>
      </c>
      <c r="AC271" s="34">
        <v>45389</v>
      </c>
      <c r="AD271" s="35">
        <v>17.715209999999999</v>
      </c>
      <c r="AE271" s="34">
        <v>45390</v>
      </c>
      <c r="AF271" s="35">
        <v>17.998259999999998</v>
      </c>
      <c r="AG271" s="34">
        <v>45391</v>
      </c>
      <c r="AH271" s="35">
        <v>18.171949999999999</v>
      </c>
      <c r="AI271" s="36">
        <v>5.2920392367727942E-4</v>
      </c>
      <c r="AK271" s="34">
        <v>45380</v>
      </c>
      <c r="AL271" s="35">
        <v>16.938179999999999</v>
      </c>
      <c r="AM271" s="34">
        <v>45394</v>
      </c>
      <c r="AN271" s="5">
        <v>18.232099999999999</v>
      </c>
      <c r="AP271" s="36">
        <v>7.6390733833268998E-2</v>
      </c>
      <c r="AS271" s="5" t="s">
        <v>12387</v>
      </c>
      <c r="AT271" s="5">
        <v>6.5</v>
      </c>
      <c r="AU271" s="5">
        <v>100</v>
      </c>
      <c r="AV271" s="5" t="s">
        <v>12400</v>
      </c>
      <c r="AW271" s="5" t="s">
        <v>12400</v>
      </c>
      <c r="AX271" s="5" t="s">
        <v>12400</v>
      </c>
      <c r="AZ271" s="49" t="s">
        <v>12410</v>
      </c>
      <c r="BA271" s="50" t="s">
        <v>12410</v>
      </c>
      <c r="BC271" s="51">
        <v>0.79920999999999998</v>
      </c>
    </row>
    <row r="272" spans="1:55" ht="15" customHeight="1" x14ac:dyDescent="0.4">
      <c r="A272" s="27" t="s">
        <v>11210</v>
      </c>
      <c r="B272" s="44" t="s">
        <v>12159</v>
      </c>
      <c r="C272" s="45" t="s">
        <v>11682</v>
      </c>
      <c r="D272" s="46">
        <v>1.45</v>
      </c>
      <c r="E272" s="45" t="s">
        <v>12357</v>
      </c>
      <c r="F272" s="45"/>
      <c r="G272" s="9">
        <v>59.131169999999997</v>
      </c>
      <c r="H272" s="9">
        <v>39.10933</v>
      </c>
      <c r="I272" s="9">
        <v>11.4619</v>
      </c>
      <c r="J272" s="9">
        <v>373.95044999999999</v>
      </c>
      <c r="K272" s="9">
        <v>373.95044999999999</v>
      </c>
      <c r="L272" s="9">
        <v>30.719480000000001</v>
      </c>
      <c r="M272" s="9">
        <v>80.155180000000001</v>
      </c>
      <c r="N272" s="10" t="s">
        <v>12467</v>
      </c>
      <c r="P272" s="32">
        <v>45387</v>
      </c>
      <c r="R272" s="35">
        <v>8.2891700000000004</v>
      </c>
      <c r="S272" s="34">
        <v>45386</v>
      </c>
      <c r="T272" s="35">
        <v>8.1313899999999997</v>
      </c>
      <c r="U272" s="34">
        <v>45385</v>
      </c>
      <c r="V272" s="35">
        <v>8.1747399999999999</v>
      </c>
      <c r="W272" s="34">
        <v>45384</v>
      </c>
      <c r="X272" s="35">
        <v>7.8340699999999996</v>
      </c>
      <c r="Y272" s="34">
        <v>45383</v>
      </c>
      <c r="Z272" s="35">
        <v>7.8217600000000003</v>
      </c>
      <c r="AA272" s="34">
        <v>45388</v>
      </c>
      <c r="AB272" s="35">
        <v>8.2891700000000004</v>
      </c>
      <c r="AC272" s="34">
        <v>45389</v>
      </c>
      <c r="AD272" s="35">
        <v>8.2891700000000004</v>
      </c>
      <c r="AE272" s="34">
        <v>45390</v>
      </c>
      <c r="AF272" s="35">
        <v>8.7590500000000002</v>
      </c>
      <c r="AG272" s="34">
        <v>45391</v>
      </c>
      <c r="AH272" s="35">
        <v>9.3392900000000001</v>
      </c>
      <c r="AI272" s="36">
        <v>1.9403816567647114E-2</v>
      </c>
      <c r="AK272" s="34">
        <v>45380</v>
      </c>
      <c r="AL272" s="35">
        <v>7.9123200000000002</v>
      </c>
      <c r="AM272" s="34">
        <v>45394</v>
      </c>
      <c r="AN272" s="5">
        <v>9.0750499999999992</v>
      </c>
      <c r="AP272" s="36">
        <v>0.1469518421904068</v>
      </c>
      <c r="AS272" s="5" t="s">
        <v>721</v>
      </c>
      <c r="AT272" s="5" t="s">
        <v>12400</v>
      </c>
      <c r="AU272" s="5" t="s">
        <v>12400</v>
      </c>
      <c r="AV272" s="5" t="s">
        <v>12400</v>
      </c>
      <c r="AW272" s="5" t="s">
        <v>12400</v>
      </c>
      <c r="AX272" s="5">
        <v>100</v>
      </c>
      <c r="AZ272" s="49" t="s">
        <v>12409</v>
      </c>
      <c r="BA272" s="50" t="s">
        <v>12414</v>
      </c>
      <c r="BC272" s="51">
        <v>0.82931999999999995</v>
      </c>
    </row>
    <row r="273" spans="1:55" ht="15" customHeight="1" x14ac:dyDescent="0.4">
      <c r="A273" s="27" t="s">
        <v>11211</v>
      </c>
      <c r="B273" s="44" t="s">
        <v>12160</v>
      </c>
      <c r="C273" s="45" t="s">
        <v>11683</v>
      </c>
      <c r="D273" s="47">
        <v>0.378</v>
      </c>
      <c r="E273" s="45" t="s">
        <v>12358</v>
      </c>
      <c r="F273" s="45"/>
      <c r="G273" s="9">
        <v>57.417099999999998</v>
      </c>
      <c r="H273" s="9">
        <v>1.6492</v>
      </c>
      <c r="I273" s="9">
        <v>13.418100000000001</v>
      </c>
      <c r="J273" s="9">
        <v>8.5931300000000004</v>
      </c>
      <c r="K273" s="9">
        <v>8.5931300000000004</v>
      </c>
      <c r="L273" s="9">
        <v>2.9849399999999999</v>
      </c>
      <c r="M273" s="9">
        <v>0.81020000000000003</v>
      </c>
      <c r="N273" s="10" t="s">
        <v>12473</v>
      </c>
      <c r="P273" s="32">
        <v>45387</v>
      </c>
      <c r="R273" s="35">
        <v>0.44179000000000002</v>
      </c>
      <c r="S273" s="34">
        <v>45386</v>
      </c>
      <c r="T273" s="35">
        <v>0.43065999999999999</v>
      </c>
      <c r="U273" s="34">
        <v>45385</v>
      </c>
      <c r="V273" s="35">
        <v>0.39789000000000002</v>
      </c>
      <c r="W273" s="34">
        <v>45384</v>
      </c>
      <c r="X273" s="35">
        <v>0.38222</v>
      </c>
      <c r="Y273" s="34">
        <v>45383</v>
      </c>
      <c r="Z273" s="35">
        <v>0.37656000000000001</v>
      </c>
      <c r="AA273" s="34">
        <v>45388</v>
      </c>
      <c r="AB273" s="35">
        <v>0.44179000000000002</v>
      </c>
      <c r="AC273" s="34">
        <v>45389</v>
      </c>
      <c r="AD273" s="35">
        <v>0.44179000000000002</v>
      </c>
      <c r="AE273" s="34">
        <v>45390</v>
      </c>
      <c r="AF273" s="35">
        <v>0.50095000000000001</v>
      </c>
      <c r="AG273" s="34">
        <v>45391</v>
      </c>
      <c r="AH273" s="35">
        <v>0.48777999999999999</v>
      </c>
      <c r="AI273" s="36">
        <v>2.5844053313518911E-2</v>
      </c>
      <c r="AK273" s="34">
        <v>45380</v>
      </c>
      <c r="AL273" s="35">
        <v>0.37889</v>
      </c>
      <c r="AM273" s="34">
        <v>45394</v>
      </c>
      <c r="AN273" s="5">
        <v>0.49791000000000002</v>
      </c>
      <c r="AP273" s="36">
        <v>0.31412811106125793</v>
      </c>
      <c r="AS273" s="5" t="s">
        <v>12389</v>
      </c>
      <c r="AT273" s="5">
        <v>0.184</v>
      </c>
      <c r="AU273" s="5">
        <v>48.64</v>
      </c>
      <c r="AV273" s="5" t="s">
        <v>12400</v>
      </c>
      <c r="AW273" s="5" t="s">
        <v>12400</v>
      </c>
      <c r="AX273" s="5">
        <v>51.36</v>
      </c>
      <c r="AZ273" s="49" t="s">
        <v>12417</v>
      </c>
      <c r="BA273" s="50" t="s">
        <v>12411</v>
      </c>
      <c r="BC273" s="51">
        <v>1.4532700000000001</v>
      </c>
    </row>
    <row r="274" spans="1:55" ht="15" customHeight="1" x14ac:dyDescent="0.4">
      <c r="A274" s="27" t="s">
        <v>11212</v>
      </c>
      <c r="B274" s="44" t="s">
        <v>12161</v>
      </c>
      <c r="C274" s="45" t="s">
        <v>11684</v>
      </c>
      <c r="D274" s="46">
        <v>1412.12</v>
      </c>
      <c r="E274" s="45" t="s">
        <v>12358</v>
      </c>
      <c r="F274" s="45"/>
      <c r="G274" s="9">
        <v>122.58018</v>
      </c>
      <c r="H274" s="9">
        <v>6191.0025400000004</v>
      </c>
      <c r="I274" s="9">
        <v>28.626100000000001</v>
      </c>
      <c r="J274" s="9">
        <v>45724.549559999999</v>
      </c>
      <c r="K274" s="9">
        <v>45724.549559999999</v>
      </c>
      <c r="L274" s="9">
        <v>4335.1387199999999</v>
      </c>
      <c r="M274" s="9">
        <v>15363.103789999999</v>
      </c>
      <c r="N274" s="10" t="s">
        <v>12474</v>
      </c>
      <c r="P274" s="32">
        <v>45386</v>
      </c>
      <c r="R274" s="35">
        <v>401.15141999999997</v>
      </c>
      <c r="S274" s="34">
        <v>45385</v>
      </c>
      <c r="T274" s="35">
        <v>396.84859999999998</v>
      </c>
      <c r="U274" s="34">
        <v>45384</v>
      </c>
      <c r="V274" s="35">
        <v>395.05707999999998</v>
      </c>
      <c r="W274" s="34">
        <v>45383</v>
      </c>
      <c r="X274" s="35">
        <v>393.50161000000003</v>
      </c>
      <c r="Y274" s="34">
        <v>45382</v>
      </c>
      <c r="Z274" s="35">
        <v>395.24221</v>
      </c>
      <c r="AA274" s="34">
        <v>45387</v>
      </c>
      <c r="AB274" s="35">
        <v>392.85327999999998</v>
      </c>
      <c r="AC274" s="34">
        <v>45388</v>
      </c>
      <c r="AD274" s="35">
        <v>392.85327999999998</v>
      </c>
      <c r="AE274" s="34">
        <v>45389</v>
      </c>
      <c r="AF274" s="35">
        <v>392.85327999999998</v>
      </c>
      <c r="AG274" s="34">
        <v>45390</v>
      </c>
      <c r="AH274" s="35">
        <v>396.43943000000002</v>
      </c>
      <c r="AI274" s="36">
        <v>-1.0067617726256306E-2</v>
      </c>
      <c r="AK274" s="34">
        <v>45379</v>
      </c>
      <c r="AL274" s="35">
        <v>395.71181999999999</v>
      </c>
      <c r="AM274" s="34">
        <v>45393</v>
      </c>
      <c r="AN274" s="5">
        <v>380.31488000000002</v>
      </c>
      <c r="AP274" s="36">
        <v>-3.8909477103817536E-2</v>
      </c>
      <c r="AS274" s="5" t="s">
        <v>12387</v>
      </c>
      <c r="AT274" s="5">
        <v>1412.12</v>
      </c>
      <c r="AU274" s="5">
        <v>100</v>
      </c>
      <c r="AV274" s="5" t="s">
        <v>12400</v>
      </c>
      <c r="AW274" s="5" t="s">
        <v>12400</v>
      </c>
      <c r="AX274" s="5" t="s">
        <v>12400</v>
      </c>
      <c r="AZ274" s="49" t="s">
        <v>12410</v>
      </c>
      <c r="BA274" s="50" t="s">
        <v>12416</v>
      </c>
      <c r="BC274" s="51">
        <v>1.1697900000000001</v>
      </c>
    </row>
    <row r="275" spans="1:55" ht="15" customHeight="1" x14ac:dyDescent="0.4">
      <c r="A275" s="27" t="s">
        <v>11213</v>
      </c>
      <c r="B275" s="44" t="s">
        <v>12162</v>
      </c>
      <c r="C275" s="45" t="s">
        <v>11685</v>
      </c>
      <c r="D275" s="46">
        <v>3.9</v>
      </c>
      <c r="E275" s="45" t="s">
        <v>12357</v>
      </c>
      <c r="F275" s="45"/>
      <c r="G275" s="9">
        <v>12.48301</v>
      </c>
      <c r="H275" s="9">
        <v>4.4313599999999997</v>
      </c>
      <c r="I275" s="9">
        <v>25.404900000000001</v>
      </c>
      <c r="J275" s="9">
        <v>118.13348000000001</v>
      </c>
      <c r="K275" s="9">
        <v>118.13348000000001</v>
      </c>
      <c r="L275" s="9">
        <v>1.9666300000000001</v>
      </c>
      <c r="M275" s="9">
        <v>119.76916</v>
      </c>
      <c r="N275" s="10" t="s">
        <v>12475</v>
      </c>
      <c r="P275" s="32">
        <v>45386</v>
      </c>
      <c r="R275" s="35">
        <v>0.83199999999999996</v>
      </c>
      <c r="S275" s="34">
        <v>45385</v>
      </c>
      <c r="T275" s="35">
        <v>0.83199999999999996</v>
      </c>
      <c r="U275" s="34">
        <v>45384</v>
      </c>
      <c r="V275" s="35">
        <v>0.83199999999999996</v>
      </c>
      <c r="W275" s="34">
        <v>45383</v>
      </c>
      <c r="X275" s="35">
        <v>0.83199999999999996</v>
      </c>
      <c r="Y275" s="34">
        <v>45382</v>
      </c>
      <c r="Z275" s="35">
        <v>0.83199999999999996</v>
      </c>
      <c r="AA275" s="34">
        <v>45387</v>
      </c>
      <c r="AB275" s="35">
        <v>0.83199999999999996</v>
      </c>
      <c r="AC275" s="34">
        <v>45388</v>
      </c>
      <c r="AD275" s="35">
        <v>0.83199999999999996</v>
      </c>
      <c r="AE275" s="34">
        <v>45389</v>
      </c>
      <c r="AF275" s="35">
        <v>0.83199999999999996</v>
      </c>
      <c r="AG275" s="34">
        <v>45390</v>
      </c>
      <c r="AH275" s="35">
        <v>0.83199999999999996</v>
      </c>
      <c r="AI275" s="36">
        <v>0</v>
      </c>
      <c r="AK275" s="34">
        <v>45379</v>
      </c>
      <c r="AL275" s="35">
        <v>0.83199999999999996</v>
      </c>
      <c r="AM275" s="34">
        <v>45393</v>
      </c>
      <c r="AN275" s="5">
        <v>0.83199999999999996</v>
      </c>
      <c r="AP275" s="36">
        <v>0</v>
      </c>
      <c r="AS275" s="5" t="s">
        <v>12387</v>
      </c>
      <c r="AT275" s="5">
        <v>3.9</v>
      </c>
      <c r="AU275" s="5">
        <v>100</v>
      </c>
      <c r="AV275" s="5" t="s">
        <v>12400</v>
      </c>
      <c r="AW275" s="5" t="s">
        <v>12400</v>
      </c>
      <c r="AX275" s="5" t="s">
        <v>12400</v>
      </c>
      <c r="AZ275" s="49" t="s">
        <v>12437</v>
      </c>
      <c r="BA275" s="50" t="s">
        <v>12415</v>
      </c>
      <c r="BC275" s="51">
        <v>41.424619999999997</v>
      </c>
    </row>
    <row r="276" spans="1:55" ht="15" customHeight="1" x14ac:dyDescent="0.4">
      <c r="A276" s="27" t="s">
        <v>11169</v>
      </c>
      <c r="B276" s="44" t="s">
        <v>12116</v>
      </c>
      <c r="C276" s="45" t="s">
        <v>11686</v>
      </c>
      <c r="D276" s="46">
        <v>4.8899999999999997</v>
      </c>
      <c r="E276" s="45" t="s">
        <v>12357</v>
      </c>
      <c r="F276" s="45"/>
      <c r="G276" s="9">
        <v>49.926380000000002</v>
      </c>
      <c r="H276" s="9">
        <v>11.0022</v>
      </c>
      <c r="I276" s="9">
        <v>5.8728999999999996</v>
      </c>
      <c r="J276" s="9">
        <v>66.881219999999999</v>
      </c>
      <c r="K276" s="9">
        <v>66.881219999999999</v>
      </c>
      <c r="L276" s="9">
        <v>8.2656600000000005</v>
      </c>
      <c r="M276" s="9">
        <v>-0.15853</v>
      </c>
      <c r="N276" s="10" t="s">
        <v>12468</v>
      </c>
      <c r="P276" s="32">
        <v>45386</v>
      </c>
      <c r="R276" s="35">
        <v>3.30219</v>
      </c>
      <c r="S276" s="34">
        <v>45385</v>
      </c>
      <c r="T276" s="35">
        <v>3.3138399999999999</v>
      </c>
      <c r="U276" s="34">
        <v>45384</v>
      </c>
      <c r="V276" s="35">
        <v>3.29528</v>
      </c>
      <c r="W276" s="34">
        <v>45383</v>
      </c>
      <c r="X276" s="35">
        <v>3.2867899999999999</v>
      </c>
      <c r="Y276" s="34">
        <v>45382</v>
      </c>
      <c r="Z276" s="35">
        <v>3.3013300000000001</v>
      </c>
      <c r="AA276" s="34">
        <v>45387</v>
      </c>
      <c r="AB276" s="35">
        <v>3.29182</v>
      </c>
      <c r="AC276" s="34">
        <v>45388</v>
      </c>
      <c r="AD276" s="35">
        <v>3.29182</v>
      </c>
      <c r="AE276" s="34">
        <v>45389</v>
      </c>
      <c r="AF276" s="35">
        <v>3.29182</v>
      </c>
      <c r="AG276" s="34">
        <v>45390</v>
      </c>
      <c r="AH276" s="35">
        <v>3.3000400000000001</v>
      </c>
      <c r="AI276" s="36">
        <v>-6.6448591362286979E-3</v>
      </c>
      <c r="AK276" s="34">
        <v>45379</v>
      </c>
      <c r="AL276" s="35">
        <v>3.30525</v>
      </c>
      <c r="AM276" s="34">
        <v>45393</v>
      </c>
      <c r="AN276" s="5">
        <v>3.1487599999999998</v>
      </c>
      <c r="AP276" s="36">
        <v>-4.7345889115800732E-2</v>
      </c>
      <c r="AS276" s="5" t="s">
        <v>12387</v>
      </c>
      <c r="AT276" s="5">
        <v>2.17</v>
      </c>
      <c r="AU276" s="5">
        <v>100</v>
      </c>
      <c r="AV276" s="5" t="s">
        <v>12400</v>
      </c>
      <c r="AW276" s="5" t="s">
        <v>12400</v>
      </c>
      <c r="AX276" s="5" t="s">
        <v>12400</v>
      </c>
      <c r="AZ276" s="49" t="s">
        <v>12413</v>
      </c>
      <c r="BA276" s="50" t="s">
        <v>12413</v>
      </c>
      <c r="BC276" s="51">
        <v>-0.56532000000000004</v>
      </c>
    </row>
    <row r="277" spans="1:55" ht="15" customHeight="1" x14ac:dyDescent="0.4">
      <c r="A277" s="27" t="s">
        <v>11214</v>
      </c>
      <c r="B277" s="44" t="s">
        <v>12163</v>
      </c>
      <c r="C277" s="45" t="s">
        <v>11687</v>
      </c>
      <c r="D277" s="46">
        <v>2.15</v>
      </c>
      <c r="E277" s="45" t="s">
        <v>12357</v>
      </c>
      <c r="F277" s="45"/>
      <c r="G277" s="9">
        <v>208.60848999999999</v>
      </c>
      <c r="H277" s="9">
        <v>-1.03302</v>
      </c>
      <c r="I277" s="9">
        <v>-57.436199999999999</v>
      </c>
      <c r="J277" s="9">
        <v>1.3540000000000001</v>
      </c>
      <c r="K277" s="9">
        <v>1.3540000000000001</v>
      </c>
      <c r="L277" s="9">
        <v>0.60502999999999996</v>
      </c>
      <c r="M277" s="9">
        <v>-0.36429</v>
      </c>
      <c r="N277" s="10" t="s">
        <v>12469</v>
      </c>
      <c r="P277" s="32">
        <v>45385</v>
      </c>
      <c r="R277" s="35">
        <v>3.1579999999999997E-2</v>
      </c>
      <c r="S277" s="34">
        <v>45384</v>
      </c>
      <c r="T277" s="35">
        <v>3.143E-2</v>
      </c>
      <c r="U277" s="34">
        <v>45383</v>
      </c>
      <c r="V277" s="35">
        <v>3.1379999999999998E-2</v>
      </c>
      <c r="W277" s="34">
        <v>45382</v>
      </c>
      <c r="X277" s="35">
        <v>3.1570000000000001E-2</v>
      </c>
      <c r="Y277" s="34">
        <v>45381</v>
      </c>
      <c r="Z277" s="35">
        <v>3.1570000000000001E-2</v>
      </c>
      <c r="AA277" s="34">
        <v>45386</v>
      </c>
      <c r="AB277" s="35">
        <v>3.04E-2</v>
      </c>
      <c r="AC277" s="34">
        <v>45387</v>
      </c>
      <c r="AD277" s="35">
        <v>2.903E-2</v>
      </c>
      <c r="AE277" s="34">
        <v>45388</v>
      </c>
      <c r="AF277" s="35">
        <v>2.903E-2</v>
      </c>
      <c r="AG277" s="34">
        <v>45389</v>
      </c>
      <c r="AH277" s="35">
        <v>2.903E-2</v>
      </c>
      <c r="AI277" s="36">
        <v>-3.2771237671014974E-2</v>
      </c>
      <c r="AK277" s="34">
        <v>45378</v>
      </c>
      <c r="AL277" s="35">
        <v>3.295E-2</v>
      </c>
      <c r="AM277" s="34">
        <v>45392</v>
      </c>
      <c r="AN277" s="5">
        <v>2.886E-2</v>
      </c>
      <c r="AP277" s="36">
        <v>-0.12412746585735968</v>
      </c>
      <c r="AS277" s="5" t="s">
        <v>12389</v>
      </c>
      <c r="AT277" s="5" t="s">
        <v>12400</v>
      </c>
      <c r="AU277" s="5" t="s">
        <v>12400</v>
      </c>
      <c r="AV277" s="5" t="s">
        <v>12400</v>
      </c>
      <c r="AW277" s="5" t="s">
        <v>12400</v>
      </c>
      <c r="AX277" s="5" t="s">
        <v>12400</v>
      </c>
      <c r="AZ277" s="49" t="s">
        <v>12430</v>
      </c>
      <c r="BA277" s="50" t="s">
        <v>12430</v>
      </c>
      <c r="BC277" s="51">
        <v>-0.72377999999999998</v>
      </c>
    </row>
    <row r="278" spans="1:55" ht="15" customHeight="1" x14ac:dyDescent="0.4">
      <c r="A278" s="27" t="s">
        <v>10997</v>
      </c>
      <c r="B278" s="44" t="s">
        <v>11942</v>
      </c>
      <c r="C278" s="45" t="s">
        <v>11688</v>
      </c>
      <c r="D278" s="46">
        <v>1.08</v>
      </c>
      <c r="E278" s="45" t="s">
        <v>12358</v>
      </c>
      <c r="F278" s="45"/>
      <c r="G278" s="9">
        <v>79.209119999999999</v>
      </c>
      <c r="H278" s="9">
        <v>514.53521000000001</v>
      </c>
      <c r="I278" s="9">
        <v>11.7363</v>
      </c>
      <c r="J278" s="9">
        <v>5031.9442900000004</v>
      </c>
      <c r="K278" s="9">
        <v>5031.9442900000004</v>
      </c>
      <c r="L278" s="9">
        <v>648.39173000000005</v>
      </c>
      <c r="M278" s="9">
        <v>406.43306999999999</v>
      </c>
      <c r="N278" s="10" t="s">
        <v>12467</v>
      </c>
      <c r="P278" s="32">
        <v>45385</v>
      </c>
      <c r="R278" s="35">
        <v>52.609920000000002</v>
      </c>
      <c r="S278" s="34">
        <v>45384</v>
      </c>
      <c r="T278" s="35">
        <v>51.561489999999999</v>
      </c>
      <c r="U278" s="34">
        <v>45383</v>
      </c>
      <c r="V278" s="35">
        <v>51.675620000000002</v>
      </c>
      <c r="W278" s="34">
        <v>45382</v>
      </c>
      <c r="X278" s="35">
        <v>51.904200000000003</v>
      </c>
      <c r="Y278" s="34">
        <v>45381</v>
      </c>
      <c r="Z278" s="35">
        <v>51.904200000000003</v>
      </c>
      <c r="AA278" s="34">
        <v>45386</v>
      </c>
      <c r="AB278" s="35">
        <v>54.00826</v>
      </c>
      <c r="AC278" s="34">
        <v>45387</v>
      </c>
      <c r="AD278" s="35">
        <v>52.75582</v>
      </c>
      <c r="AE278" s="34">
        <v>45388</v>
      </c>
      <c r="AF278" s="35">
        <v>52.75582</v>
      </c>
      <c r="AG278" s="34">
        <v>45389</v>
      </c>
      <c r="AH278" s="35">
        <v>52.75582</v>
      </c>
      <c r="AI278" s="36">
        <v>4.7453438603112463E-2</v>
      </c>
      <c r="AK278" s="34">
        <v>45378</v>
      </c>
      <c r="AL278" s="35">
        <v>53.884439999999998</v>
      </c>
      <c r="AM278" s="34">
        <v>45392</v>
      </c>
      <c r="AN278" s="5">
        <v>52.847630000000002</v>
      </c>
      <c r="AP278" s="36">
        <v>-1.9241361699221415E-2</v>
      </c>
      <c r="AS278" s="5" t="s">
        <v>12387</v>
      </c>
      <c r="AT278" s="5">
        <v>1.08</v>
      </c>
      <c r="AU278" s="5">
        <v>100</v>
      </c>
      <c r="AV278" s="5" t="s">
        <v>12400</v>
      </c>
      <c r="AW278" s="5" t="s">
        <v>12400</v>
      </c>
      <c r="AX278" s="5" t="s">
        <v>12400</v>
      </c>
      <c r="AZ278" s="49" t="s">
        <v>12411</v>
      </c>
      <c r="BA278" s="50" t="s">
        <v>12406</v>
      </c>
      <c r="BC278" s="51">
        <v>1.3046</v>
      </c>
    </row>
    <row r="279" spans="1:55" ht="15" customHeight="1" x14ac:dyDescent="0.4">
      <c r="A279" s="27" t="s">
        <v>11215</v>
      </c>
      <c r="B279" s="44" t="s">
        <v>12164</v>
      </c>
      <c r="C279" s="45" t="s">
        <v>11689</v>
      </c>
      <c r="D279" s="46">
        <v>15.6</v>
      </c>
      <c r="E279" s="45" t="s">
        <v>12357</v>
      </c>
      <c r="F279" s="45"/>
      <c r="G279" s="9">
        <v>403.43187999999998</v>
      </c>
      <c r="H279" s="9">
        <v>1700.6</v>
      </c>
      <c r="I279" s="9">
        <v>24.731999999999999</v>
      </c>
      <c r="J279" s="9">
        <v>15563.5</v>
      </c>
      <c r="K279" s="9">
        <v>15563.5</v>
      </c>
      <c r="L279" s="9">
        <v>1595.5</v>
      </c>
      <c r="M279" s="9">
        <v>1325.8</v>
      </c>
      <c r="N279" s="10" t="s">
        <v>12467</v>
      </c>
      <c r="P279" s="32">
        <v>45385</v>
      </c>
      <c r="R279" s="35">
        <v>93.39</v>
      </c>
      <c r="S279" s="34">
        <v>45384</v>
      </c>
      <c r="T279" s="35">
        <v>92.55</v>
      </c>
      <c r="U279" s="34">
        <v>45383</v>
      </c>
      <c r="V279" s="35">
        <v>93.62</v>
      </c>
      <c r="W279" s="34">
        <v>45382</v>
      </c>
      <c r="X279" s="35">
        <v>94.95</v>
      </c>
      <c r="Y279" s="34">
        <v>45381</v>
      </c>
      <c r="Z279" s="35">
        <v>94.95</v>
      </c>
      <c r="AA279" s="34">
        <v>45386</v>
      </c>
      <c r="AB279" s="35">
        <v>92.3</v>
      </c>
      <c r="AC279" s="34">
        <v>45387</v>
      </c>
      <c r="AD279" s="35">
        <v>94.81</v>
      </c>
      <c r="AE279" s="34">
        <v>45388</v>
      </c>
      <c r="AF279" s="35">
        <v>94.81</v>
      </c>
      <c r="AG279" s="34">
        <v>45389</v>
      </c>
      <c r="AH279" s="35">
        <v>94.81</v>
      </c>
      <c r="AI279" s="36">
        <v>-2.7012425715828847E-3</v>
      </c>
      <c r="AK279" s="34">
        <v>45378</v>
      </c>
      <c r="AL279" s="35">
        <v>95.26</v>
      </c>
      <c r="AM279" s="34">
        <v>45392</v>
      </c>
      <c r="AN279" s="5">
        <v>92.99</v>
      </c>
      <c r="AP279" s="36">
        <v>-2.3829519210581629E-2</v>
      </c>
      <c r="AS279" s="5" t="s">
        <v>12387</v>
      </c>
      <c r="AT279" s="5">
        <v>15.6</v>
      </c>
      <c r="AU279" s="5">
        <v>100</v>
      </c>
      <c r="AV279" s="5" t="s">
        <v>12400</v>
      </c>
      <c r="AW279" s="5" t="s">
        <v>12400</v>
      </c>
      <c r="AX279" s="5" t="s">
        <v>12400</v>
      </c>
      <c r="AZ279" s="49" t="s">
        <v>12403</v>
      </c>
      <c r="BA279" s="50" t="s">
        <v>12416</v>
      </c>
      <c r="BC279" s="51">
        <v>1.3254900000000001</v>
      </c>
    </row>
    <row r="280" spans="1:55" ht="15" customHeight="1" x14ac:dyDescent="0.4">
      <c r="A280" s="27" t="s">
        <v>11216</v>
      </c>
      <c r="B280" s="44" t="s">
        <v>12165</v>
      </c>
      <c r="C280" s="45" t="s">
        <v>11690</v>
      </c>
      <c r="D280" s="46">
        <v>7.3</v>
      </c>
      <c r="E280" s="45" t="s">
        <v>12357</v>
      </c>
      <c r="F280" s="45"/>
      <c r="G280" s="9">
        <v>11.03828</v>
      </c>
      <c r="H280" s="9">
        <v>117.956</v>
      </c>
      <c r="I280" s="9">
        <v>17.891500000000001</v>
      </c>
      <c r="J280" s="9">
        <v>763.91800000000001</v>
      </c>
      <c r="K280" s="9">
        <v>763.91800000000001</v>
      </c>
      <c r="L280" s="9">
        <v>159.381</v>
      </c>
      <c r="M280" s="9">
        <v>-39.128999999999998</v>
      </c>
      <c r="N280" s="10" t="s">
        <v>12467</v>
      </c>
      <c r="P280" s="32">
        <v>45385</v>
      </c>
      <c r="R280" s="35">
        <v>115.35</v>
      </c>
      <c r="S280" s="34">
        <v>45384</v>
      </c>
      <c r="T280" s="35">
        <v>114.79</v>
      </c>
      <c r="U280" s="34">
        <v>45383</v>
      </c>
      <c r="V280" s="35">
        <v>115.63</v>
      </c>
      <c r="W280" s="34">
        <v>45382</v>
      </c>
      <c r="X280" s="35">
        <v>117.66</v>
      </c>
      <c r="Y280" s="34">
        <v>45381</v>
      </c>
      <c r="Z280" s="35">
        <v>117.66</v>
      </c>
      <c r="AA280" s="34">
        <v>45386</v>
      </c>
      <c r="AB280" s="35">
        <v>114.49</v>
      </c>
      <c r="AC280" s="34">
        <v>45387</v>
      </c>
      <c r="AD280" s="35">
        <v>116.25</v>
      </c>
      <c r="AE280" s="34">
        <v>45388</v>
      </c>
      <c r="AF280" s="35">
        <v>116.25</v>
      </c>
      <c r="AG280" s="34">
        <v>45389</v>
      </c>
      <c r="AH280" s="35">
        <v>116.25</v>
      </c>
      <c r="AI280" s="36">
        <v>-2.6134680721318082E-3</v>
      </c>
      <c r="AK280" s="34">
        <v>45378</v>
      </c>
      <c r="AL280" s="35">
        <v>118.11</v>
      </c>
      <c r="AM280" s="34">
        <v>45392</v>
      </c>
      <c r="AN280" s="5">
        <v>115.1</v>
      </c>
      <c r="AP280" s="36">
        <v>-2.5484717636101939E-2</v>
      </c>
      <c r="AS280" s="5" t="s">
        <v>12387</v>
      </c>
      <c r="AT280" s="5">
        <v>7.3</v>
      </c>
      <c r="AU280" s="5">
        <v>100</v>
      </c>
      <c r="AV280" s="5" t="s">
        <v>12400</v>
      </c>
      <c r="AW280" s="5" t="s">
        <v>12400</v>
      </c>
      <c r="AX280" s="5" t="s">
        <v>12400</v>
      </c>
      <c r="AZ280" s="49" t="s">
        <v>12403</v>
      </c>
      <c r="BA280" s="50" t="s">
        <v>12404</v>
      </c>
      <c r="BC280" s="51">
        <v>0.82323999999999997</v>
      </c>
    </row>
    <row r="281" spans="1:55" ht="15" customHeight="1" x14ac:dyDescent="0.4">
      <c r="A281" s="27" t="s">
        <v>11217</v>
      </c>
      <c r="B281" s="44" t="s">
        <v>12166</v>
      </c>
      <c r="C281" s="45" t="s">
        <v>11691</v>
      </c>
      <c r="D281" s="46">
        <v>8.66</v>
      </c>
      <c r="E281" s="45" t="s">
        <v>12357</v>
      </c>
      <c r="F281" s="45"/>
      <c r="G281" s="9">
        <v>622.53174000000001</v>
      </c>
      <c r="H281" s="9">
        <v>-1233.00542</v>
      </c>
      <c r="I281" s="9">
        <v>-3.0394999999999999</v>
      </c>
      <c r="J281" s="9">
        <v>35446.00419</v>
      </c>
      <c r="K281" s="9">
        <v>35446.00419</v>
      </c>
      <c r="L281" s="9">
        <v>7327.2908100000004</v>
      </c>
      <c r="M281" s="9">
        <v>-4089.75351</v>
      </c>
      <c r="N281" s="10" t="s">
        <v>12466</v>
      </c>
      <c r="P281" s="32">
        <v>45385</v>
      </c>
      <c r="R281" s="35">
        <v>5.5880400000000003</v>
      </c>
      <c r="S281" s="34">
        <v>45384</v>
      </c>
      <c r="T281" s="35">
        <v>5.3822999999999999</v>
      </c>
      <c r="U281" s="34">
        <v>45383</v>
      </c>
      <c r="V281" s="35">
        <v>5.3426400000000003</v>
      </c>
      <c r="W281" s="34">
        <v>45382</v>
      </c>
      <c r="X281" s="35">
        <v>5.3662700000000001</v>
      </c>
      <c r="Y281" s="34">
        <v>45381</v>
      </c>
      <c r="Z281" s="35">
        <v>5.3662700000000001</v>
      </c>
      <c r="AA281" s="34">
        <v>45386</v>
      </c>
      <c r="AB281" s="35">
        <v>5.6941100000000002</v>
      </c>
      <c r="AC281" s="34">
        <v>45387</v>
      </c>
      <c r="AD281" s="35">
        <v>5.6567400000000001</v>
      </c>
      <c r="AE281" s="34">
        <v>45388</v>
      </c>
      <c r="AF281" s="35">
        <v>5.6567400000000001</v>
      </c>
      <c r="AG281" s="34">
        <v>45389</v>
      </c>
      <c r="AH281" s="35">
        <v>5.6567400000000001</v>
      </c>
      <c r="AI281" s="36">
        <v>5.7932482396001683E-2</v>
      </c>
      <c r="AK281" s="34">
        <v>45378</v>
      </c>
      <c r="AL281" s="35">
        <v>5.4273999999999996</v>
      </c>
      <c r="AM281" s="34">
        <v>45392</v>
      </c>
      <c r="AN281" s="5">
        <v>5.6630099999999999</v>
      </c>
      <c r="AP281" s="36">
        <v>4.3411209787375338E-2</v>
      </c>
      <c r="AS281" s="5" t="s">
        <v>12387</v>
      </c>
      <c r="AT281" s="5">
        <v>8.66</v>
      </c>
      <c r="AU281" s="5">
        <v>100</v>
      </c>
      <c r="AV281" s="5" t="s">
        <v>12400</v>
      </c>
      <c r="AW281" s="5" t="s">
        <v>12400</v>
      </c>
      <c r="AX281" s="5" t="s">
        <v>12400</v>
      </c>
      <c r="AZ281" s="49" t="s">
        <v>12404</v>
      </c>
      <c r="BA281" s="50" t="s">
        <v>12404</v>
      </c>
      <c r="BC281" s="51">
        <v>1.3143199999999999</v>
      </c>
    </row>
    <row r="282" spans="1:55" ht="15" customHeight="1" x14ac:dyDescent="0.4">
      <c r="A282" s="27" t="s">
        <v>10980</v>
      </c>
      <c r="B282" s="44" t="s">
        <v>11925</v>
      </c>
      <c r="C282" s="45" t="s">
        <v>11692</v>
      </c>
      <c r="D282" s="47">
        <v>0.80800000000000005</v>
      </c>
      <c r="E282" s="45" t="s">
        <v>12357</v>
      </c>
      <c r="F282" s="45"/>
      <c r="G282" s="9">
        <v>1.9495400000000001</v>
      </c>
      <c r="H282" s="9">
        <v>3.9582199999999998</v>
      </c>
      <c r="I282" s="9">
        <v>2.5070000000000001</v>
      </c>
      <c r="J282" s="9">
        <v>79.872889999999998</v>
      </c>
      <c r="K282" s="9">
        <v>79.872889999999998</v>
      </c>
      <c r="L282" s="9">
        <v>15.89367</v>
      </c>
      <c r="M282" s="9">
        <v>-11.96419</v>
      </c>
      <c r="N282" s="10" t="s">
        <v>12468</v>
      </c>
      <c r="P282" s="32">
        <v>45384</v>
      </c>
      <c r="R282" s="35">
        <v>51.25996</v>
      </c>
      <c r="S282" s="34">
        <v>45383</v>
      </c>
      <c r="T282" s="35">
        <v>51.557470000000002</v>
      </c>
      <c r="U282" s="34">
        <v>45382</v>
      </c>
      <c r="V282" s="35">
        <v>51.785519999999998</v>
      </c>
      <c r="W282" s="34">
        <v>45381</v>
      </c>
      <c r="X282" s="35">
        <v>51.785519999999998</v>
      </c>
      <c r="Y282" s="34">
        <v>45380</v>
      </c>
      <c r="Z282" s="35">
        <v>51.785519999999998</v>
      </c>
      <c r="AA282" s="34">
        <v>45385</v>
      </c>
      <c r="AB282" s="35">
        <v>50.790559999999999</v>
      </c>
      <c r="AC282" s="34">
        <v>45386</v>
      </c>
      <c r="AD282" s="35">
        <v>50.836410000000001</v>
      </c>
      <c r="AE282" s="34">
        <v>45387</v>
      </c>
      <c r="AF282" s="35">
        <v>49.918790000000001</v>
      </c>
      <c r="AG282" s="34">
        <v>45388</v>
      </c>
      <c r="AH282" s="35">
        <v>49.918790000000001</v>
      </c>
      <c r="AI282" s="36">
        <v>-1.4874857125456331E-2</v>
      </c>
      <c r="AK282" s="34">
        <v>45377</v>
      </c>
      <c r="AL282" s="35">
        <v>51.856659999999998</v>
      </c>
      <c r="AM282" s="34">
        <v>45391</v>
      </c>
      <c r="AN282" s="5">
        <v>50.369079999999997</v>
      </c>
      <c r="AP282" s="36">
        <v>-2.8686382809845479E-2</v>
      </c>
      <c r="AS282" s="5" t="s">
        <v>12387</v>
      </c>
      <c r="AT282" s="5">
        <v>0.80800000000000005</v>
      </c>
      <c r="AU282" s="5">
        <v>100</v>
      </c>
      <c r="AV282" s="5" t="s">
        <v>12400</v>
      </c>
      <c r="AW282" s="5" t="s">
        <v>12400</v>
      </c>
      <c r="AX282" s="5" t="s">
        <v>12400</v>
      </c>
      <c r="AZ282" s="49" t="s">
        <v>12407</v>
      </c>
      <c r="BA282" s="50" t="s">
        <v>12407</v>
      </c>
      <c r="BC282" s="51">
        <v>0.41574</v>
      </c>
    </row>
    <row r="283" spans="1:55" ht="15" customHeight="1" x14ac:dyDescent="0.4">
      <c r="A283" s="27" t="s">
        <v>11218</v>
      </c>
      <c r="B283" s="44" t="s">
        <v>12167</v>
      </c>
      <c r="C283" s="45" t="s">
        <v>11693</v>
      </c>
      <c r="D283" s="46">
        <v>4.2</v>
      </c>
      <c r="E283" s="45" t="s">
        <v>12357</v>
      </c>
      <c r="F283" s="45"/>
      <c r="G283" s="9">
        <v>22.3325</v>
      </c>
      <c r="H283" s="9">
        <v>2.67116</v>
      </c>
      <c r="I283" s="9">
        <v>7.8465999999999996</v>
      </c>
      <c r="J283" s="9">
        <v>33.680100000000003</v>
      </c>
      <c r="K283" s="9">
        <v>33.680100000000003</v>
      </c>
      <c r="L283" s="9">
        <v>3.0101399999999998</v>
      </c>
      <c r="M283" s="9">
        <v>5.0118900000000002</v>
      </c>
      <c r="N283" s="10" t="s">
        <v>12467</v>
      </c>
      <c r="P283" s="32">
        <v>45384</v>
      </c>
      <c r="R283" s="35">
        <v>0.90651000000000004</v>
      </c>
      <c r="S283" s="34">
        <v>45383</v>
      </c>
      <c r="T283" s="35">
        <v>0.90607000000000004</v>
      </c>
      <c r="U283" s="34">
        <v>45382</v>
      </c>
      <c r="V283" s="35">
        <v>0.91656000000000004</v>
      </c>
      <c r="W283" s="34">
        <v>45381</v>
      </c>
      <c r="X283" s="35">
        <v>0.91656000000000004</v>
      </c>
      <c r="Y283" s="34">
        <v>45380</v>
      </c>
      <c r="Z283" s="35">
        <v>0.91656000000000004</v>
      </c>
      <c r="AA283" s="34">
        <v>45385</v>
      </c>
      <c r="AB283" s="35">
        <v>0.90391999999999995</v>
      </c>
      <c r="AC283" s="34">
        <v>45386</v>
      </c>
      <c r="AD283" s="35">
        <v>0.90580000000000005</v>
      </c>
      <c r="AE283" s="34">
        <v>45387</v>
      </c>
      <c r="AF283" s="35">
        <v>0.90973999999999999</v>
      </c>
      <c r="AG283" s="34">
        <v>45388</v>
      </c>
      <c r="AH283" s="35">
        <v>0.90973999999999999</v>
      </c>
      <c r="AI283" s="36">
        <v>-2.3728850971780346E-3</v>
      </c>
      <c r="AK283" s="34">
        <v>45377</v>
      </c>
      <c r="AL283" s="35">
        <v>0.93113999999999997</v>
      </c>
      <c r="AM283" s="34">
        <v>45391</v>
      </c>
      <c r="AN283" s="5">
        <v>0.94433999999999996</v>
      </c>
      <c r="AP283" s="36">
        <v>1.41761711450481E-2</v>
      </c>
      <c r="AS283" s="5" t="s">
        <v>12388</v>
      </c>
      <c r="AT283" s="5">
        <v>0.93300000000000005</v>
      </c>
      <c r="AU283" s="5">
        <v>28.57</v>
      </c>
      <c r="AV283" s="5" t="s">
        <v>12400</v>
      </c>
      <c r="AW283" s="5" t="s">
        <v>12400</v>
      </c>
      <c r="AX283" s="5">
        <v>71.430000000000007</v>
      </c>
      <c r="AZ283" s="49" t="s">
        <v>12409</v>
      </c>
      <c r="BA283" s="50" t="s">
        <v>12409</v>
      </c>
      <c r="BC283" s="51">
        <v>-0.79285000000000005</v>
      </c>
    </row>
    <row r="284" spans="1:55" ht="15" customHeight="1" x14ac:dyDescent="0.4">
      <c r="A284" s="27" t="s">
        <v>11219</v>
      </c>
      <c r="B284" s="44" t="s">
        <v>12168</v>
      </c>
      <c r="C284" s="45" t="s">
        <v>11694</v>
      </c>
      <c r="D284" s="46">
        <v>3.73</v>
      </c>
      <c r="E284" s="45" t="s">
        <v>12357</v>
      </c>
      <c r="F284" s="45"/>
      <c r="G284" s="9">
        <v>171.48652999999999</v>
      </c>
      <c r="H284" s="9" t="s">
        <v>11415</v>
      </c>
      <c r="I284" s="9" t="s">
        <v>11415</v>
      </c>
      <c r="J284" s="9">
        <v>74945.248999999996</v>
      </c>
      <c r="K284" s="9">
        <v>74945.248999999996</v>
      </c>
      <c r="L284" s="9">
        <v>1715.7950000000001</v>
      </c>
      <c r="M284" s="9">
        <v>2611.2330000000002</v>
      </c>
      <c r="N284" s="10" t="s">
        <v>12473</v>
      </c>
      <c r="P284" s="32">
        <v>45384</v>
      </c>
      <c r="R284" s="35">
        <v>48.47</v>
      </c>
      <c r="S284" s="34">
        <v>45383</v>
      </c>
      <c r="T284" s="35">
        <v>49.54</v>
      </c>
      <c r="U284" s="34">
        <v>45382</v>
      </c>
      <c r="V284" s="35">
        <v>50.77</v>
      </c>
      <c r="W284" s="34">
        <v>45381</v>
      </c>
      <c r="X284" s="35">
        <v>50.77</v>
      </c>
      <c r="Y284" s="34">
        <v>45380</v>
      </c>
      <c r="Z284" s="35">
        <v>50.77</v>
      </c>
      <c r="AA284" s="34">
        <v>45385</v>
      </c>
      <c r="AB284" s="35">
        <v>48.5</v>
      </c>
      <c r="AC284" s="34">
        <v>45386</v>
      </c>
      <c r="AD284" s="35">
        <v>48.02</v>
      </c>
      <c r="AE284" s="34">
        <v>45387</v>
      </c>
      <c r="AF284" s="35">
        <v>47.99</v>
      </c>
      <c r="AG284" s="34">
        <v>45388</v>
      </c>
      <c r="AH284" s="35">
        <v>47.99</v>
      </c>
      <c r="AI284" s="36">
        <v>-2.0993136859103756E-2</v>
      </c>
      <c r="AK284" s="34">
        <v>45377</v>
      </c>
      <c r="AL284" s="35">
        <v>49.54</v>
      </c>
      <c r="AM284" s="34">
        <v>45391</v>
      </c>
      <c r="AN284" s="5">
        <v>48.61</v>
      </c>
      <c r="AP284" s="36">
        <v>-1.8772708922083159E-2</v>
      </c>
      <c r="AS284" s="5" t="s">
        <v>12387</v>
      </c>
      <c r="AT284" s="5">
        <v>3.49</v>
      </c>
      <c r="AU284" s="5">
        <v>100</v>
      </c>
      <c r="AV284" s="5" t="s">
        <v>12400</v>
      </c>
      <c r="AW284" s="5" t="s">
        <v>12400</v>
      </c>
      <c r="AX284" s="5" t="s">
        <v>12400</v>
      </c>
      <c r="AZ284" s="49" t="s">
        <v>12416</v>
      </c>
      <c r="BA284" s="50" t="s">
        <v>12416</v>
      </c>
      <c r="BC284" s="51">
        <v>1.0638399999999999</v>
      </c>
    </row>
    <row r="285" spans="1:55" ht="15" customHeight="1" x14ac:dyDescent="0.4">
      <c r="A285" s="27" t="s">
        <v>11220</v>
      </c>
      <c r="B285" s="44" t="s">
        <v>12169</v>
      </c>
      <c r="C285" s="45" t="s">
        <v>11695</v>
      </c>
      <c r="D285" s="46">
        <v>118.46</v>
      </c>
      <c r="E285" s="45" t="s">
        <v>12357</v>
      </c>
      <c r="F285" s="45"/>
      <c r="G285" s="9">
        <v>2978.6490899999999</v>
      </c>
      <c r="H285" s="9">
        <v>30633.359120000001</v>
      </c>
      <c r="I285" s="9">
        <v>14.6214</v>
      </c>
      <c r="J285" s="9">
        <v>223419.91813999999</v>
      </c>
      <c r="K285" s="9">
        <v>223419.91813999999</v>
      </c>
      <c r="L285" s="9">
        <v>46887.365960000003</v>
      </c>
      <c r="M285" s="9">
        <v>-19515.86161</v>
      </c>
      <c r="N285" s="10" t="s">
        <v>12474</v>
      </c>
      <c r="P285" s="32">
        <v>45384</v>
      </c>
      <c r="R285" s="35">
        <v>27.439160000000001</v>
      </c>
      <c r="S285" s="34">
        <v>45383</v>
      </c>
      <c r="T285" s="35">
        <v>28.297529999999998</v>
      </c>
      <c r="U285" s="34">
        <v>45382</v>
      </c>
      <c r="V285" s="35">
        <v>28.422699999999999</v>
      </c>
      <c r="W285" s="34">
        <v>45381</v>
      </c>
      <c r="X285" s="35">
        <v>28.422699999999999</v>
      </c>
      <c r="Y285" s="34">
        <v>45380</v>
      </c>
      <c r="Z285" s="35">
        <v>28.422699999999999</v>
      </c>
      <c r="AA285" s="34">
        <v>45385</v>
      </c>
      <c r="AB285" s="35">
        <v>27.0901</v>
      </c>
      <c r="AC285" s="34">
        <v>45386</v>
      </c>
      <c r="AD285" s="35">
        <v>27.210509999999999</v>
      </c>
      <c r="AE285" s="34">
        <v>45387</v>
      </c>
      <c r="AF285" s="35">
        <v>26.637789999999999</v>
      </c>
      <c r="AG285" s="34">
        <v>45388</v>
      </c>
      <c r="AH285" s="35">
        <v>26.637789999999999</v>
      </c>
      <c r="AI285" s="36">
        <v>-4.2669095147173541E-2</v>
      </c>
      <c r="AK285" s="34">
        <v>45377</v>
      </c>
      <c r="AL285" s="35">
        <v>28.775580000000001</v>
      </c>
      <c r="AM285" s="34">
        <v>45391</v>
      </c>
      <c r="AN285" s="5">
        <v>27.219930000000002</v>
      </c>
      <c r="AP285" s="36">
        <v>-5.4061464616873001E-2</v>
      </c>
      <c r="AS285" s="5" t="s">
        <v>12387</v>
      </c>
      <c r="AT285" s="5">
        <v>59.23</v>
      </c>
      <c r="AU285" s="5">
        <v>100</v>
      </c>
      <c r="AV285" s="5" t="s">
        <v>12400</v>
      </c>
      <c r="AW285" s="5" t="s">
        <v>12400</v>
      </c>
      <c r="AX285" s="5" t="s">
        <v>12400</v>
      </c>
      <c r="AZ285" s="49" t="s">
        <v>12419</v>
      </c>
      <c r="BA285" s="50" t="s">
        <v>12410</v>
      </c>
      <c r="BC285" s="51">
        <v>1.1506400000000001</v>
      </c>
    </row>
    <row r="286" spans="1:55" ht="15" customHeight="1" x14ac:dyDescent="0.4">
      <c r="A286" s="27" t="s">
        <v>11221</v>
      </c>
      <c r="B286" s="44" t="s">
        <v>12170</v>
      </c>
      <c r="C286" s="45" t="s">
        <v>11696</v>
      </c>
      <c r="D286" s="46">
        <v>3240.6</v>
      </c>
      <c r="E286" s="45" t="s">
        <v>12357</v>
      </c>
      <c r="F286" s="45"/>
      <c r="G286" s="9">
        <v>235.03307000000001</v>
      </c>
      <c r="H286" s="9">
        <v>666</v>
      </c>
      <c r="I286" s="9">
        <v>20.670300000000001</v>
      </c>
      <c r="J286" s="9">
        <v>10267</v>
      </c>
      <c r="K286" s="9">
        <v>10267</v>
      </c>
      <c r="L286" s="9">
        <v>1408</v>
      </c>
      <c r="M286" s="9">
        <v>1536</v>
      </c>
      <c r="N286" s="10" t="s">
        <v>12470</v>
      </c>
      <c r="P286" s="32">
        <v>45383</v>
      </c>
      <c r="R286" s="35">
        <v>65.540000000000006</v>
      </c>
      <c r="S286" s="34">
        <v>45382</v>
      </c>
      <c r="T286" s="35">
        <v>65.599999999999994</v>
      </c>
      <c r="U286" s="34">
        <v>45381</v>
      </c>
      <c r="V286" s="35">
        <v>65.599999999999994</v>
      </c>
      <c r="W286" s="34">
        <v>45380</v>
      </c>
      <c r="X286" s="35">
        <v>65.599999999999994</v>
      </c>
      <c r="Y286" s="34">
        <v>45379</v>
      </c>
      <c r="Z286" s="35">
        <v>65.599999999999994</v>
      </c>
      <c r="AA286" s="34">
        <v>45384</v>
      </c>
      <c r="AB286" s="35">
        <v>66.17</v>
      </c>
      <c r="AC286" s="34">
        <v>45385</v>
      </c>
      <c r="AD286" s="35">
        <v>67.040000000000006</v>
      </c>
      <c r="AE286" s="34">
        <v>45386</v>
      </c>
      <c r="AF286" s="35">
        <v>67.25</v>
      </c>
      <c r="AG286" s="34">
        <v>45387</v>
      </c>
      <c r="AH286" s="35">
        <v>68.489999999999995</v>
      </c>
      <c r="AI286" s="36">
        <v>8.6890243902439934E-3</v>
      </c>
      <c r="AK286" s="34">
        <v>45376</v>
      </c>
      <c r="AL286" s="35">
        <v>67.08</v>
      </c>
      <c r="AM286" s="34">
        <v>45390</v>
      </c>
      <c r="AN286" s="5">
        <v>68.31</v>
      </c>
      <c r="AP286" s="36">
        <v>1.8336314847942736E-2</v>
      </c>
      <c r="AS286" s="5" t="s">
        <v>12389</v>
      </c>
      <c r="AT286" s="5" t="s">
        <v>12400</v>
      </c>
      <c r="AU286" s="5" t="s">
        <v>12400</v>
      </c>
      <c r="AV286" s="5" t="s">
        <v>12400</v>
      </c>
      <c r="AW286" s="5" t="s">
        <v>12400</v>
      </c>
      <c r="AX286" s="5" t="s">
        <v>12400</v>
      </c>
      <c r="AZ286" s="49" t="s">
        <v>12403</v>
      </c>
      <c r="BA286" s="50" t="s">
        <v>12413</v>
      </c>
      <c r="BC286" s="51">
        <v>0.73229</v>
      </c>
    </row>
    <row r="287" spans="1:55" ht="15" customHeight="1" x14ac:dyDescent="0.4">
      <c r="A287" s="38" t="s">
        <v>11222</v>
      </c>
      <c r="B287" s="44" t="s">
        <v>12171</v>
      </c>
      <c r="C287" s="45" t="s">
        <v>11697</v>
      </c>
      <c r="D287" s="46">
        <v>7.93</v>
      </c>
      <c r="E287" s="45" t="s">
        <v>12357</v>
      </c>
      <c r="F287" s="45"/>
      <c r="G287" s="9">
        <v>0.34211999999999998</v>
      </c>
      <c r="H287" s="9">
        <v>-8.3629999999999995</v>
      </c>
      <c r="I287" s="9">
        <v>-10.993600000000001</v>
      </c>
      <c r="J287" s="9">
        <v>23.626000000000001</v>
      </c>
      <c r="K287" s="9">
        <v>23.626000000000001</v>
      </c>
      <c r="L287" s="9">
        <v>4.3499999999999996</v>
      </c>
      <c r="M287" s="9">
        <v>-0.67800000000000005</v>
      </c>
      <c r="N287" s="10" t="s">
        <v>12471</v>
      </c>
      <c r="O287" s="39"/>
      <c r="P287" s="40">
        <v>45383</v>
      </c>
      <c r="R287" s="35">
        <v>88.920090000000002</v>
      </c>
      <c r="S287" s="34">
        <v>45382</v>
      </c>
      <c r="T287" s="35">
        <v>90.090090000000004</v>
      </c>
      <c r="U287" s="34">
        <v>45381</v>
      </c>
      <c r="V287" s="35">
        <v>90.090090000000004</v>
      </c>
      <c r="W287" s="34">
        <v>45380</v>
      </c>
      <c r="X287" s="35">
        <v>90.090090000000004</v>
      </c>
      <c r="Y287" s="34">
        <v>45379</v>
      </c>
      <c r="Z287" s="35">
        <v>90.090090000000004</v>
      </c>
      <c r="AA287" s="34">
        <v>45384</v>
      </c>
      <c r="AB287" s="35">
        <v>79.95008</v>
      </c>
      <c r="AC287" s="34">
        <v>45385</v>
      </c>
      <c r="AD287" s="35">
        <v>104.1301</v>
      </c>
      <c r="AE287" s="34">
        <v>45386</v>
      </c>
      <c r="AF287" s="35">
        <v>85.800089999999997</v>
      </c>
      <c r="AG287" s="34">
        <v>45387</v>
      </c>
      <c r="AH287" s="35">
        <v>92.820089999999993</v>
      </c>
      <c r="AI287" s="36">
        <v>-0.1125541111125542</v>
      </c>
      <c r="AK287" s="34">
        <v>45376</v>
      </c>
      <c r="AL287" s="35">
        <v>65.910070000000005</v>
      </c>
      <c r="AM287" s="34">
        <v>45390</v>
      </c>
      <c r="AN287" s="5">
        <v>88.530090000000001</v>
      </c>
      <c r="AP287" s="36">
        <v>0.34319520522433056</v>
      </c>
      <c r="AS287" s="5" t="s">
        <v>721</v>
      </c>
      <c r="AT287" s="5" t="s">
        <v>12400</v>
      </c>
      <c r="AU287" s="5" t="s">
        <v>12400</v>
      </c>
      <c r="AV287" s="5" t="s">
        <v>12400</v>
      </c>
      <c r="AW287" s="5" t="s">
        <v>12400</v>
      </c>
      <c r="AX287" s="5">
        <v>100</v>
      </c>
      <c r="AZ287" s="49" t="s">
        <v>12403</v>
      </c>
      <c r="BA287" s="50" t="s">
        <v>12406</v>
      </c>
      <c r="BC287" s="51">
        <v>1.8794</v>
      </c>
    </row>
    <row r="288" spans="1:55" ht="15" customHeight="1" x14ac:dyDescent="0.4">
      <c r="A288" s="27" t="s">
        <v>11223</v>
      </c>
      <c r="B288" s="44" t="s">
        <v>12172</v>
      </c>
      <c r="C288" s="45" t="s">
        <v>11698</v>
      </c>
      <c r="D288" s="46">
        <v>400</v>
      </c>
      <c r="E288" s="45" t="s">
        <v>12359</v>
      </c>
      <c r="F288" s="45"/>
      <c r="G288" s="9">
        <v>17.962160000000001</v>
      </c>
      <c r="H288" s="9">
        <v>-16.29738</v>
      </c>
      <c r="I288" s="9" t="s">
        <v>11413</v>
      </c>
      <c r="J288" s="9">
        <v>87.851619999999997</v>
      </c>
      <c r="K288" s="9">
        <v>87.851619999999997</v>
      </c>
      <c r="L288" s="9">
        <v>4.2027999999999999</v>
      </c>
      <c r="M288" s="9">
        <v>34.411949999999997</v>
      </c>
      <c r="N288" s="10" t="s">
        <v>12470</v>
      </c>
      <c r="P288" s="32">
        <v>45380</v>
      </c>
      <c r="R288" s="35">
        <v>2.58</v>
      </c>
      <c r="S288" s="34">
        <v>45379</v>
      </c>
      <c r="T288" s="35">
        <v>2.58</v>
      </c>
      <c r="U288" s="34">
        <v>45378</v>
      </c>
      <c r="V288" s="35">
        <v>2.58</v>
      </c>
      <c r="W288" s="34">
        <v>45377</v>
      </c>
      <c r="X288" s="35">
        <v>2.58</v>
      </c>
      <c r="Y288" s="34">
        <v>45376</v>
      </c>
      <c r="Z288" s="35">
        <v>2.58</v>
      </c>
      <c r="AA288" s="34">
        <v>45381</v>
      </c>
      <c r="AB288" s="35">
        <v>2.58</v>
      </c>
      <c r="AC288" s="34">
        <v>45382</v>
      </c>
      <c r="AD288" s="35">
        <v>2.58</v>
      </c>
      <c r="AE288" s="34">
        <v>45383</v>
      </c>
      <c r="AF288" s="35">
        <v>2.58</v>
      </c>
      <c r="AG288" s="34">
        <v>45384</v>
      </c>
      <c r="AH288" s="35">
        <v>2.58</v>
      </c>
      <c r="AI288" s="36">
        <v>0</v>
      </c>
      <c r="AK288" s="34">
        <v>45373</v>
      </c>
      <c r="AL288" s="35">
        <v>2.58</v>
      </c>
      <c r="AM288" s="34">
        <v>45387</v>
      </c>
      <c r="AN288" s="5">
        <v>2.58</v>
      </c>
      <c r="AP288" s="36">
        <v>0</v>
      </c>
      <c r="AS288" s="5" t="s">
        <v>12392</v>
      </c>
      <c r="AT288" s="5" t="s">
        <v>12400</v>
      </c>
      <c r="AU288" s="5" t="s">
        <v>12400</v>
      </c>
      <c r="AV288" s="5" t="s">
        <v>12400</v>
      </c>
      <c r="AW288" s="5" t="s">
        <v>12400</v>
      </c>
      <c r="AX288" s="5">
        <v>100</v>
      </c>
      <c r="AZ288" s="49" t="s">
        <v>12403</v>
      </c>
      <c r="BA288" s="50" t="s">
        <v>12415</v>
      </c>
      <c r="BC288" s="51">
        <v>0.20121</v>
      </c>
    </row>
    <row r="289" spans="1:55" ht="15" customHeight="1" x14ac:dyDescent="0.4">
      <c r="A289" s="27" t="s">
        <v>11224</v>
      </c>
      <c r="B289" s="44" t="s">
        <v>12173</v>
      </c>
      <c r="C289" s="45" t="s">
        <v>11699</v>
      </c>
      <c r="D289" s="46">
        <v>3.02</v>
      </c>
      <c r="E289" s="45" t="s">
        <v>12357</v>
      </c>
      <c r="F289" s="45"/>
      <c r="G289" s="9">
        <v>74.000200000000007</v>
      </c>
      <c r="H289" s="9">
        <v>6.1968500000000004</v>
      </c>
      <c r="I289" s="9">
        <v>1.5931999999999999</v>
      </c>
      <c r="J289" s="9">
        <v>256.82639999999998</v>
      </c>
      <c r="K289" s="9">
        <v>256.82639999999998</v>
      </c>
      <c r="L289" s="9">
        <v>40.549729999999997</v>
      </c>
      <c r="M289" s="9">
        <v>-20.28059</v>
      </c>
      <c r="N289" s="10" t="s">
        <v>12471</v>
      </c>
      <c r="P289" s="32">
        <v>45380</v>
      </c>
      <c r="R289" s="35">
        <v>0.70979000000000003</v>
      </c>
      <c r="S289" s="34">
        <v>45379</v>
      </c>
      <c r="T289" s="35">
        <v>0.71043000000000001</v>
      </c>
      <c r="U289" s="34">
        <v>45378</v>
      </c>
      <c r="V289" s="35">
        <v>0.72599999999999998</v>
      </c>
      <c r="W289" s="34">
        <v>45377</v>
      </c>
      <c r="X289" s="35">
        <v>0.72738000000000003</v>
      </c>
      <c r="Y289" s="34">
        <v>45376</v>
      </c>
      <c r="Z289" s="35">
        <v>0.71682000000000001</v>
      </c>
      <c r="AA289" s="34">
        <v>45381</v>
      </c>
      <c r="AB289" s="35">
        <v>0.70979000000000003</v>
      </c>
      <c r="AC289" s="34">
        <v>45382</v>
      </c>
      <c r="AD289" s="35">
        <v>0.70979000000000003</v>
      </c>
      <c r="AE289" s="34">
        <v>45383</v>
      </c>
      <c r="AF289" s="35">
        <v>0.70542000000000005</v>
      </c>
      <c r="AG289" s="34">
        <v>45384</v>
      </c>
      <c r="AH289" s="35">
        <v>0.71791000000000005</v>
      </c>
      <c r="AI289" s="36">
        <v>-9.0086285770585306E-4</v>
      </c>
      <c r="AK289" s="34">
        <v>45373</v>
      </c>
      <c r="AL289" s="35">
        <v>0.69362999999999997</v>
      </c>
      <c r="AM289" s="34">
        <v>45387</v>
      </c>
      <c r="AN289" s="5">
        <v>0.72831999999999997</v>
      </c>
      <c r="AP289" s="36">
        <v>5.0012254371927467E-2</v>
      </c>
      <c r="AS289" s="5" t="s">
        <v>12387</v>
      </c>
      <c r="AT289" s="5">
        <v>3.02</v>
      </c>
      <c r="AU289" s="5">
        <v>100</v>
      </c>
      <c r="AV289" s="5" t="s">
        <v>12400</v>
      </c>
      <c r="AW289" s="5" t="s">
        <v>12400</v>
      </c>
      <c r="AX289" s="5" t="s">
        <v>12400</v>
      </c>
      <c r="AZ289" s="49" t="s">
        <v>12459</v>
      </c>
      <c r="BA289" s="50" t="s">
        <v>12459</v>
      </c>
      <c r="BC289" s="51">
        <v>1.6004100000000001</v>
      </c>
    </row>
    <row r="290" spans="1:55" ht="15" customHeight="1" x14ac:dyDescent="0.4">
      <c r="A290" s="27" t="s">
        <v>11225</v>
      </c>
      <c r="B290" s="44" t="s">
        <v>12174</v>
      </c>
      <c r="C290" s="45" t="s">
        <v>11700</v>
      </c>
      <c r="D290" s="46">
        <v>25.44</v>
      </c>
      <c r="E290" s="45" t="s">
        <v>12357</v>
      </c>
      <c r="F290" s="45"/>
      <c r="G290" s="9">
        <v>16278.611430000001</v>
      </c>
      <c r="H290" s="9">
        <v>7368.56628</v>
      </c>
      <c r="I290" s="9">
        <v>6.8864999999999998</v>
      </c>
      <c r="J290" s="9">
        <v>237545.64019999999</v>
      </c>
      <c r="K290" s="9">
        <v>237545.64019999999</v>
      </c>
      <c r="L290" s="9">
        <v>17061.787670000002</v>
      </c>
      <c r="M290" s="9">
        <v>59904.402840000002</v>
      </c>
      <c r="N290" s="10" t="s">
        <v>12467</v>
      </c>
      <c r="P290" s="32">
        <v>45380</v>
      </c>
      <c r="R290" s="35">
        <v>0.47150999999999998</v>
      </c>
      <c r="S290" s="34">
        <v>45379</v>
      </c>
      <c r="T290" s="35">
        <v>0.47149999999999997</v>
      </c>
      <c r="U290" s="34">
        <v>45378</v>
      </c>
      <c r="V290" s="35">
        <v>0.47162999999999999</v>
      </c>
      <c r="W290" s="34">
        <v>45377</v>
      </c>
      <c r="X290" s="35">
        <v>0.47548000000000001</v>
      </c>
      <c r="Y290" s="34">
        <v>45376</v>
      </c>
      <c r="Z290" s="35">
        <v>0.47688999999999998</v>
      </c>
      <c r="AA290" s="34">
        <v>45381</v>
      </c>
      <c r="AB290" s="35">
        <v>0.47150999999999998</v>
      </c>
      <c r="AC290" s="34">
        <v>45382</v>
      </c>
      <c r="AD290" s="35">
        <v>0.47150999999999998</v>
      </c>
      <c r="AE290" s="34">
        <v>45383</v>
      </c>
      <c r="AF290" s="35">
        <v>0.47149999999999997</v>
      </c>
      <c r="AG290" s="34">
        <v>45384</v>
      </c>
      <c r="AH290" s="35">
        <v>0.51475000000000004</v>
      </c>
      <c r="AI290" s="36">
        <v>2.1208907741376848E-5</v>
      </c>
      <c r="AK290" s="34">
        <v>45373</v>
      </c>
      <c r="AL290" s="35">
        <v>0.47817999999999999</v>
      </c>
      <c r="AM290" s="34">
        <v>45387</v>
      </c>
      <c r="AN290" s="5">
        <v>0.50839999999999996</v>
      </c>
      <c r="AP290" s="36">
        <v>6.3197958927600384E-2</v>
      </c>
      <c r="AS290" s="5" t="s">
        <v>12387</v>
      </c>
      <c r="AT290" s="5">
        <v>25.44</v>
      </c>
      <c r="AU290" s="5">
        <v>100</v>
      </c>
      <c r="AV290" s="5" t="s">
        <v>12400</v>
      </c>
      <c r="AW290" s="5" t="s">
        <v>12400</v>
      </c>
      <c r="AX290" s="5" t="s">
        <v>12400</v>
      </c>
      <c r="AZ290" s="49" t="s">
        <v>12433</v>
      </c>
      <c r="BA290" s="50" t="s">
        <v>12436</v>
      </c>
      <c r="BC290" s="51">
        <v>0.37136999999999998</v>
      </c>
    </row>
    <row r="291" spans="1:55" ht="15" customHeight="1" x14ac:dyDescent="0.4">
      <c r="A291" s="27" t="s">
        <v>11226</v>
      </c>
      <c r="B291" s="44" t="s">
        <v>12175</v>
      </c>
      <c r="C291" s="45" t="s">
        <v>11701</v>
      </c>
      <c r="D291" s="46">
        <v>2.17</v>
      </c>
      <c r="E291" s="45" t="s">
        <v>12357</v>
      </c>
      <c r="F291" s="45"/>
      <c r="G291" s="9">
        <v>103.03128</v>
      </c>
      <c r="H291" s="9">
        <v>860</v>
      </c>
      <c r="I291" s="9">
        <v>29.421800000000001</v>
      </c>
      <c r="J291" s="9">
        <v>11208</v>
      </c>
      <c r="K291" s="9">
        <v>11208</v>
      </c>
      <c r="L291" s="9">
        <v>5</v>
      </c>
      <c r="M291" s="9">
        <v>4454</v>
      </c>
      <c r="N291" s="10" t="s">
        <v>12472</v>
      </c>
      <c r="P291" s="32">
        <v>45380</v>
      </c>
      <c r="R291" s="35">
        <v>42</v>
      </c>
      <c r="S291" s="34">
        <v>45379</v>
      </c>
      <c r="T291" s="35">
        <v>42</v>
      </c>
      <c r="U291" s="34">
        <v>45378</v>
      </c>
      <c r="V291" s="35">
        <v>41.68</v>
      </c>
      <c r="W291" s="34">
        <v>45377</v>
      </c>
      <c r="X291" s="35">
        <v>40.5</v>
      </c>
      <c r="Y291" s="34">
        <v>45376</v>
      </c>
      <c r="Z291" s="35">
        <v>40.65</v>
      </c>
      <c r="AA291" s="34">
        <v>45381</v>
      </c>
      <c r="AB291" s="35">
        <v>42</v>
      </c>
      <c r="AC291" s="34">
        <v>45382</v>
      </c>
      <c r="AD291" s="35">
        <v>42</v>
      </c>
      <c r="AE291" s="34">
        <v>45383</v>
      </c>
      <c r="AF291" s="35">
        <v>41.95</v>
      </c>
      <c r="AG291" s="34">
        <v>45384</v>
      </c>
      <c r="AH291" s="35">
        <v>42.01</v>
      </c>
      <c r="AI291" s="36">
        <v>0</v>
      </c>
      <c r="AK291" s="34">
        <v>45373</v>
      </c>
      <c r="AL291" s="35">
        <v>40.729999999999997</v>
      </c>
      <c r="AM291" s="34">
        <v>45387</v>
      </c>
      <c r="AN291" s="5">
        <v>41.35</v>
      </c>
      <c r="AP291" s="36">
        <v>1.5222194942303036E-2</v>
      </c>
      <c r="AS291" s="5" t="s">
        <v>12389</v>
      </c>
      <c r="AT291" s="5">
        <v>0.80300000000000005</v>
      </c>
      <c r="AU291" s="5">
        <v>36.94</v>
      </c>
      <c r="AV291" s="5" t="s">
        <v>12400</v>
      </c>
      <c r="AW291" s="5" t="s">
        <v>12400</v>
      </c>
      <c r="AX291" s="5">
        <v>63.06</v>
      </c>
      <c r="AZ291" s="49" t="s">
        <v>12416</v>
      </c>
      <c r="BA291" s="50" t="s">
        <v>12416</v>
      </c>
      <c r="BC291" s="51">
        <v>0.68252999999999997</v>
      </c>
    </row>
    <row r="292" spans="1:55" ht="15" customHeight="1" x14ac:dyDescent="0.4">
      <c r="A292" s="27" t="s">
        <v>11227</v>
      </c>
      <c r="B292" s="44" t="s">
        <v>12176</v>
      </c>
      <c r="C292" s="45" t="s">
        <v>11702</v>
      </c>
      <c r="D292" s="46">
        <v>26.55</v>
      </c>
      <c r="E292" s="45" t="s">
        <v>12357</v>
      </c>
      <c r="F292" s="45"/>
      <c r="G292" s="9">
        <v>70.111109999999996</v>
      </c>
      <c r="H292" s="9">
        <v>39.305770000000003</v>
      </c>
      <c r="I292" s="9">
        <v>5.3814000000000002</v>
      </c>
      <c r="J292" s="9">
        <v>254.1934</v>
      </c>
      <c r="K292" s="9">
        <v>254.1934</v>
      </c>
      <c r="L292" s="9">
        <v>0.81623999999999997</v>
      </c>
      <c r="M292" s="9">
        <v>70.831159999999997</v>
      </c>
      <c r="N292" s="10" t="s">
        <v>12471</v>
      </c>
      <c r="P292" s="32">
        <v>45379</v>
      </c>
      <c r="R292" s="35">
        <v>4.6898499999999999</v>
      </c>
      <c r="S292" s="34">
        <v>45378</v>
      </c>
      <c r="T292" s="35">
        <v>4.4948899999999998</v>
      </c>
      <c r="U292" s="34">
        <v>45377</v>
      </c>
      <c r="V292" s="35">
        <v>4.4324899999999996</v>
      </c>
      <c r="W292" s="34">
        <v>45376</v>
      </c>
      <c r="X292" s="35">
        <v>4.3869100000000003</v>
      </c>
      <c r="Y292" s="34">
        <v>45375</v>
      </c>
      <c r="Z292" s="35">
        <v>4.3722000000000003</v>
      </c>
      <c r="AA292" s="34">
        <v>45380</v>
      </c>
      <c r="AB292" s="35">
        <v>4.6856499999999999</v>
      </c>
      <c r="AC292" s="34">
        <v>45381</v>
      </c>
      <c r="AD292" s="35">
        <v>4.6856499999999999</v>
      </c>
      <c r="AE292" s="34">
        <v>45382</v>
      </c>
      <c r="AF292" s="35">
        <v>4.6856499999999999</v>
      </c>
      <c r="AG292" s="34">
        <v>45383</v>
      </c>
      <c r="AH292" s="35">
        <v>4.6567699999999999</v>
      </c>
      <c r="AI292" s="36">
        <v>4.2439303297744813E-2</v>
      </c>
      <c r="AK292" s="34">
        <v>45372</v>
      </c>
      <c r="AL292" s="35">
        <v>4.3708</v>
      </c>
      <c r="AM292" s="34">
        <v>45386</v>
      </c>
      <c r="AN292" s="5">
        <v>4.5979000000000001</v>
      </c>
      <c r="AP292" s="36">
        <v>5.195845154205192E-2</v>
      </c>
      <c r="AS292" s="5" t="s">
        <v>12387</v>
      </c>
      <c r="AT292" s="5">
        <v>26.55</v>
      </c>
      <c r="AU292" s="5">
        <v>100</v>
      </c>
      <c r="AV292" s="5" t="s">
        <v>12400</v>
      </c>
      <c r="AW292" s="5" t="s">
        <v>12400</v>
      </c>
      <c r="AX292" s="5" t="s">
        <v>12400</v>
      </c>
      <c r="AZ292" s="49" t="s">
        <v>12415</v>
      </c>
      <c r="BA292" s="50" t="s">
        <v>12415</v>
      </c>
      <c r="BC292" s="51">
        <v>0.81250999999999995</v>
      </c>
    </row>
    <row r="293" spans="1:55" ht="15" customHeight="1" x14ac:dyDescent="0.4">
      <c r="A293" s="27" t="s">
        <v>10977</v>
      </c>
      <c r="B293" s="44" t="s">
        <v>11922</v>
      </c>
      <c r="C293" s="45" t="s">
        <v>11703</v>
      </c>
      <c r="D293" s="46">
        <v>1523.72</v>
      </c>
      <c r="E293" s="45" t="s">
        <v>12357</v>
      </c>
      <c r="F293" s="45"/>
      <c r="G293" s="9">
        <v>174.53924000000001</v>
      </c>
      <c r="H293" s="9">
        <v>1591</v>
      </c>
      <c r="I293" s="9">
        <v>29.117799999999999</v>
      </c>
      <c r="J293" s="9">
        <v>8683</v>
      </c>
      <c r="K293" s="9">
        <v>8683</v>
      </c>
      <c r="L293" s="9">
        <v>2472</v>
      </c>
      <c r="M293" s="9">
        <v>-446</v>
      </c>
      <c r="N293" s="10" t="s">
        <v>12468</v>
      </c>
      <c r="P293" s="32">
        <v>45379</v>
      </c>
      <c r="R293" s="35">
        <v>156.38</v>
      </c>
      <c r="S293" s="34">
        <v>45378</v>
      </c>
      <c r="T293" s="35">
        <v>155.84</v>
      </c>
      <c r="U293" s="34">
        <v>45377</v>
      </c>
      <c r="V293" s="35">
        <v>152.27000000000001</v>
      </c>
      <c r="W293" s="34">
        <v>45376</v>
      </c>
      <c r="X293" s="35">
        <v>152.58000000000001</v>
      </c>
      <c r="Y293" s="34">
        <v>45375</v>
      </c>
      <c r="Z293" s="35">
        <v>154.38999999999999</v>
      </c>
      <c r="AA293" s="34">
        <v>45380</v>
      </c>
      <c r="AB293" s="35">
        <v>156.38</v>
      </c>
      <c r="AC293" s="34">
        <v>45381</v>
      </c>
      <c r="AD293" s="35">
        <v>156.38</v>
      </c>
      <c r="AE293" s="34">
        <v>45382</v>
      </c>
      <c r="AF293" s="35">
        <v>156.38</v>
      </c>
      <c r="AG293" s="34">
        <v>45383</v>
      </c>
      <c r="AH293" s="35">
        <v>155</v>
      </c>
      <c r="AI293" s="36">
        <v>3.465092402463954E-3</v>
      </c>
      <c r="AK293" s="34">
        <v>45372</v>
      </c>
      <c r="AL293" s="35">
        <v>154.24</v>
      </c>
      <c r="AM293" s="34">
        <v>45386</v>
      </c>
      <c r="AN293" s="5">
        <v>154.85</v>
      </c>
      <c r="AP293" s="36">
        <v>3.9548755186720186E-3</v>
      </c>
      <c r="AS293" s="5" t="s">
        <v>12387</v>
      </c>
      <c r="AT293" s="5">
        <v>1502.32</v>
      </c>
      <c r="AU293" s="5">
        <v>100</v>
      </c>
      <c r="AV293" s="5" t="s">
        <v>12400</v>
      </c>
      <c r="AW293" s="5" t="s">
        <v>12400</v>
      </c>
      <c r="AX293" s="5" t="s">
        <v>12400</v>
      </c>
      <c r="AZ293" s="49" t="s">
        <v>12403</v>
      </c>
      <c r="BA293" s="50" t="s">
        <v>12415</v>
      </c>
      <c r="BC293" s="51">
        <v>1.19556</v>
      </c>
    </row>
    <row r="294" spans="1:55" ht="15" customHeight="1" x14ac:dyDescent="0.4">
      <c r="A294" s="27" t="s">
        <v>11228</v>
      </c>
      <c r="B294" s="44" t="s">
        <v>12177</v>
      </c>
      <c r="C294" s="45" t="s">
        <v>11704</v>
      </c>
      <c r="D294" s="46">
        <v>154.47</v>
      </c>
      <c r="E294" s="45" t="s">
        <v>12358</v>
      </c>
      <c r="F294" s="45"/>
      <c r="G294" s="9">
        <v>110441.16087000001</v>
      </c>
      <c r="H294" s="9">
        <v>679.32232999999997</v>
      </c>
      <c r="I294" s="9">
        <v>28.9466</v>
      </c>
      <c r="J294" s="9">
        <v>0</v>
      </c>
      <c r="K294" s="9">
        <v>0</v>
      </c>
      <c r="L294" s="9">
        <v>0</v>
      </c>
      <c r="M294" s="9">
        <v>0</v>
      </c>
      <c r="N294" s="10" t="s">
        <v>12472</v>
      </c>
      <c r="P294" s="32">
        <v>45379</v>
      </c>
      <c r="R294" s="35">
        <v>6.3299999999999997E-3</v>
      </c>
      <c r="S294" s="34">
        <v>45378</v>
      </c>
      <c r="T294" s="35">
        <v>6.3400000000000001E-3</v>
      </c>
      <c r="U294" s="34">
        <v>45377</v>
      </c>
      <c r="V294" s="35">
        <v>6.3E-3</v>
      </c>
      <c r="W294" s="34">
        <v>45376</v>
      </c>
      <c r="X294" s="35">
        <v>6.3200000000000001E-3</v>
      </c>
      <c r="Y294" s="34">
        <v>45375</v>
      </c>
      <c r="Z294" s="35">
        <v>6.3499999999999997E-3</v>
      </c>
      <c r="AA294" s="34">
        <v>45380</v>
      </c>
      <c r="AB294" s="35">
        <v>6.3400000000000001E-3</v>
      </c>
      <c r="AC294" s="34">
        <v>45381</v>
      </c>
      <c r="AD294" s="35">
        <v>6.3400000000000001E-3</v>
      </c>
      <c r="AE294" s="34">
        <v>45382</v>
      </c>
      <c r="AF294" s="35">
        <v>6.3400000000000001E-3</v>
      </c>
      <c r="AG294" s="34">
        <v>45383</v>
      </c>
      <c r="AH294" s="35">
        <v>6.3400000000000001E-3</v>
      </c>
      <c r="AI294" s="36">
        <v>0</v>
      </c>
      <c r="AK294" s="34">
        <v>45372</v>
      </c>
      <c r="AL294" s="35">
        <v>6.3800000000000003E-3</v>
      </c>
      <c r="AM294" s="34">
        <v>45386</v>
      </c>
      <c r="AN294" s="5">
        <v>6.3499999999999997E-3</v>
      </c>
      <c r="AP294" s="36">
        <v>-4.7021943573668512E-3</v>
      </c>
      <c r="AS294" s="5" t="s">
        <v>12387</v>
      </c>
      <c r="AT294" s="5">
        <v>154.47</v>
      </c>
      <c r="AU294" s="5">
        <v>100</v>
      </c>
      <c r="AV294" s="5" t="s">
        <v>12400</v>
      </c>
      <c r="AW294" s="5" t="s">
        <v>12400</v>
      </c>
      <c r="AX294" s="5" t="s">
        <v>12400</v>
      </c>
      <c r="AZ294" s="49" t="s">
        <v>12443</v>
      </c>
      <c r="BA294" s="50" t="s">
        <v>12443</v>
      </c>
      <c r="BC294" s="51">
        <v>0.27261999999999997</v>
      </c>
    </row>
    <row r="295" spans="1:55" ht="15" customHeight="1" x14ac:dyDescent="0.4">
      <c r="A295" s="27" t="s">
        <v>11229</v>
      </c>
      <c r="B295" s="44" t="s">
        <v>12178</v>
      </c>
      <c r="C295" s="45" t="s">
        <v>11705</v>
      </c>
      <c r="D295" s="46">
        <v>223.66</v>
      </c>
      <c r="E295" s="45" t="s">
        <v>12357</v>
      </c>
      <c r="F295" s="45"/>
      <c r="G295" s="9">
        <v>651.18551000000002</v>
      </c>
      <c r="H295" s="9">
        <v>8730</v>
      </c>
      <c r="I295" s="9">
        <v>23.812100000000001</v>
      </c>
      <c r="J295" s="9">
        <v>61525</v>
      </c>
      <c r="K295" s="9">
        <v>61525</v>
      </c>
      <c r="L295" s="9">
        <v>7925</v>
      </c>
      <c r="M295" s="9">
        <v>13441</v>
      </c>
      <c r="N295" s="10" t="s">
        <v>12467</v>
      </c>
      <c r="P295" s="32">
        <v>45378</v>
      </c>
      <c r="R295" s="35">
        <v>205.13</v>
      </c>
      <c r="S295" s="34">
        <v>45377</v>
      </c>
      <c r="T295" s="35">
        <v>201</v>
      </c>
      <c r="U295" s="34">
        <v>45376</v>
      </c>
      <c r="V295" s="35">
        <v>198.48</v>
      </c>
      <c r="W295" s="34">
        <v>45375</v>
      </c>
      <c r="X295" s="35">
        <v>200.73</v>
      </c>
      <c r="Y295" s="34">
        <v>45374</v>
      </c>
      <c r="Z295" s="35">
        <v>200.73</v>
      </c>
      <c r="AA295" s="34">
        <v>45379</v>
      </c>
      <c r="AB295" s="35">
        <v>205.25</v>
      </c>
      <c r="AC295" s="34">
        <v>45380</v>
      </c>
      <c r="AD295" s="35">
        <v>205.25</v>
      </c>
      <c r="AE295" s="34">
        <v>45381</v>
      </c>
      <c r="AF295" s="35">
        <v>205.25</v>
      </c>
      <c r="AG295" s="34">
        <v>45382</v>
      </c>
      <c r="AH295" s="35">
        <v>205.25</v>
      </c>
      <c r="AI295" s="36">
        <v>2.1144278606965106E-2</v>
      </c>
      <c r="AK295" s="34">
        <v>45371</v>
      </c>
      <c r="AL295" s="35">
        <v>201.18</v>
      </c>
      <c r="AM295" s="34">
        <v>45385</v>
      </c>
      <c r="AN295" s="5">
        <v>197.97</v>
      </c>
      <c r="AP295" s="36">
        <v>-1.5955860423501389E-2</v>
      </c>
      <c r="AS295" s="5" t="s">
        <v>12387</v>
      </c>
      <c r="AT295" s="5">
        <v>216.02</v>
      </c>
      <c r="AU295" s="5">
        <v>100</v>
      </c>
      <c r="AV295" s="5" t="s">
        <v>12400</v>
      </c>
      <c r="AW295" s="5" t="s">
        <v>12400</v>
      </c>
      <c r="AX295" s="5" t="s">
        <v>12400</v>
      </c>
      <c r="AZ295" s="49" t="s">
        <v>12403</v>
      </c>
      <c r="BA295" s="50" t="s">
        <v>12416</v>
      </c>
      <c r="BC295" s="51">
        <v>0.94882999999999995</v>
      </c>
    </row>
    <row r="296" spans="1:55" ht="15" customHeight="1" x14ac:dyDescent="0.4">
      <c r="A296" s="27" t="s">
        <v>11230</v>
      </c>
      <c r="B296" s="44" t="s">
        <v>12179</v>
      </c>
      <c r="C296" s="45" t="s">
        <v>11706</v>
      </c>
      <c r="D296" s="46">
        <v>3.45</v>
      </c>
      <c r="E296" s="45" t="s">
        <v>12357</v>
      </c>
      <c r="F296" s="45"/>
      <c r="G296" s="9">
        <v>99.861689999999996</v>
      </c>
      <c r="H296" s="9">
        <v>214.22300000000001</v>
      </c>
      <c r="I296" s="9">
        <v>5.3967000000000001</v>
      </c>
      <c r="J296" s="9">
        <v>2969.5859999999998</v>
      </c>
      <c r="K296" s="9">
        <v>2969.5859999999998</v>
      </c>
      <c r="L296" s="9">
        <v>114.98699999999999</v>
      </c>
      <c r="M296" s="9">
        <v>1279.826</v>
      </c>
      <c r="N296" s="10" t="s">
        <v>12471</v>
      </c>
      <c r="P296" s="32">
        <v>45378</v>
      </c>
      <c r="R296" s="35">
        <v>29</v>
      </c>
      <c r="S296" s="34">
        <v>45377</v>
      </c>
      <c r="T296" s="35">
        <v>27.86</v>
      </c>
      <c r="U296" s="34">
        <v>45376</v>
      </c>
      <c r="V296" s="35">
        <v>27.7</v>
      </c>
      <c r="W296" s="34">
        <v>45375</v>
      </c>
      <c r="X296" s="35">
        <v>28.22</v>
      </c>
      <c r="Y296" s="34">
        <v>45374</v>
      </c>
      <c r="Z296" s="35">
        <v>28.22</v>
      </c>
      <c r="AA296" s="34">
        <v>45379</v>
      </c>
      <c r="AB296" s="35">
        <v>28.78</v>
      </c>
      <c r="AC296" s="34">
        <v>45380</v>
      </c>
      <c r="AD296" s="35">
        <v>28.78</v>
      </c>
      <c r="AE296" s="34">
        <v>45381</v>
      </c>
      <c r="AF296" s="35">
        <v>28.78</v>
      </c>
      <c r="AG296" s="34">
        <v>45382</v>
      </c>
      <c r="AH296" s="35">
        <v>28.78</v>
      </c>
      <c r="AI296" s="36">
        <v>3.3022254127781814E-2</v>
      </c>
      <c r="AK296" s="34">
        <v>45371</v>
      </c>
      <c r="AL296" s="35">
        <v>28.18</v>
      </c>
      <c r="AM296" s="34">
        <v>45385</v>
      </c>
      <c r="AN296" s="5">
        <v>26.59</v>
      </c>
      <c r="AP296" s="36">
        <v>-5.6422995031937595E-2</v>
      </c>
      <c r="AS296" s="5" t="s">
        <v>12387</v>
      </c>
      <c r="AT296" s="5">
        <v>1.3</v>
      </c>
      <c r="AU296" s="5">
        <v>100</v>
      </c>
      <c r="AV296" s="5" t="s">
        <v>12400</v>
      </c>
      <c r="AW296" s="5" t="s">
        <v>12400</v>
      </c>
      <c r="AX296" s="5" t="s">
        <v>12400</v>
      </c>
      <c r="AZ296" s="49" t="s">
        <v>12421</v>
      </c>
      <c r="BA296" s="50" t="s">
        <v>12421</v>
      </c>
      <c r="BC296" s="51">
        <v>0.46894000000000002</v>
      </c>
    </row>
    <row r="297" spans="1:55" ht="15" customHeight="1" x14ac:dyDescent="0.4">
      <c r="A297" s="27" t="s">
        <v>11231</v>
      </c>
      <c r="B297" s="44" t="s">
        <v>12180</v>
      </c>
      <c r="C297" s="45" t="s">
        <v>11707</v>
      </c>
      <c r="D297" s="46">
        <v>27.05</v>
      </c>
      <c r="E297" s="45" t="s">
        <v>12358</v>
      </c>
      <c r="F297" s="45"/>
      <c r="G297" s="9">
        <v>66.191749999999999</v>
      </c>
      <c r="H297" s="9">
        <v>-4.1870000000000003</v>
      </c>
      <c r="I297" s="9">
        <v>0</v>
      </c>
      <c r="J297" s="9">
        <v>89.442999999999998</v>
      </c>
      <c r="K297" s="9">
        <v>89.442999999999998</v>
      </c>
      <c r="L297" s="9">
        <v>7.6280000000000001</v>
      </c>
      <c r="M297" s="9">
        <v>15.395</v>
      </c>
      <c r="N297" s="10" t="s">
        <v>12466</v>
      </c>
      <c r="P297" s="32">
        <v>45378</v>
      </c>
      <c r="R297" s="35">
        <v>0.50773999999999997</v>
      </c>
      <c r="S297" s="34">
        <v>45377</v>
      </c>
      <c r="T297" s="35">
        <v>0.42737000000000003</v>
      </c>
      <c r="U297" s="34">
        <v>45376</v>
      </c>
      <c r="V297" s="35">
        <v>0.44184000000000001</v>
      </c>
      <c r="W297" s="34">
        <v>45375</v>
      </c>
      <c r="X297" s="35">
        <v>0.45578000000000002</v>
      </c>
      <c r="Y297" s="34">
        <v>45374</v>
      </c>
      <c r="Z297" s="35">
        <v>0.45578000000000002</v>
      </c>
      <c r="AA297" s="34">
        <v>45379</v>
      </c>
      <c r="AB297" s="35">
        <v>0.51724999999999999</v>
      </c>
      <c r="AC297" s="34">
        <v>45380</v>
      </c>
      <c r="AD297" s="35">
        <v>0.51693999999999996</v>
      </c>
      <c r="AE297" s="34">
        <v>45381</v>
      </c>
      <c r="AF297" s="35">
        <v>0.51693999999999996</v>
      </c>
      <c r="AG297" s="34">
        <v>45382</v>
      </c>
      <c r="AH297" s="35">
        <v>0.51693999999999996</v>
      </c>
      <c r="AI297" s="36">
        <v>0.21030956782179366</v>
      </c>
      <c r="AK297" s="34">
        <v>45371</v>
      </c>
      <c r="AL297" s="35">
        <v>0.49410999999999999</v>
      </c>
      <c r="AM297" s="34">
        <v>45385</v>
      </c>
      <c r="AN297" s="5">
        <v>0.54005999999999998</v>
      </c>
      <c r="AP297" s="36">
        <v>9.2995486834915209E-2</v>
      </c>
      <c r="AS297" s="5" t="s">
        <v>12387</v>
      </c>
      <c r="AT297" s="5">
        <v>27.05</v>
      </c>
      <c r="AU297" s="5">
        <v>100</v>
      </c>
      <c r="AV297" s="5" t="s">
        <v>12400</v>
      </c>
      <c r="AW297" s="5" t="s">
        <v>12400</v>
      </c>
      <c r="AX297" s="5" t="s">
        <v>12400</v>
      </c>
      <c r="AZ297" s="49" t="s">
        <v>12417</v>
      </c>
      <c r="BA297" s="50" t="s">
        <v>12413</v>
      </c>
      <c r="BC297" s="51">
        <v>0.70855999999999997</v>
      </c>
    </row>
    <row r="298" spans="1:55" ht="15" customHeight="1" x14ac:dyDescent="0.4">
      <c r="A298" s="27" t="s">
        <v>11232</v>
      </c>
      <c r="B298" s="44" t="s">
        <v>12181</v>
      </c>
      <c r="C298" s="45" t="s">
        <v>11708</v>
      </c>
      <c r="D298" s="47">
        <v>0.64500000000000002</v>
      </c>
      <c r="E298" s="45" t="s">
        <v>12358</v>
      </c>
      <c r="F298" s="45"/>
      <c r="G298" s="9">
        <v>4.8825000000000003</v>
      </c>
      <c r="H298" s="9">
        <v>0.42359999999999998</v>
      </c>
      <c r="I298" s="9">
        <v>5.7742000000000004</v>
      </c>
      <c r="J298" s="9">
        <v>9.7714200000000009</v>
      </c>
      <c r="K298" s="9">
        <v>9.7714200000000009</v>
      </c>
      <c r="L298" s="9">
        <v>2.7709899999999998</v>
      </c>
      <c r="M298" s="9">
        <v>0.42409999999999998</v>
      </c>
      <c r="N298" s="10" t="s">
        <v>12467</v>
      </c>
      <c r="P298" s="32">
        <v>45378</v>
      </c>
      <c r="R298" s="35">
        <v>1.8735299999999999</v>
      </c>
      <c r="S298" s="34">
        <v>45377</v>
      </c>
      <c r="T298" s="35">
        <v>1.8811899999999999</v>
      </c>
      <c r="U298" s="34">
        <v>45376</v>
      </c>
      <c r="V298" s="35">
        <v>1.8922699999999999</v>
      </c>
      <c r="W298" s="34">
        <v>45375</v>
      </c>
      <c r="X298" s="35">
        <v>1.89364</v>
      </c>
      <c r="Y298" s="34">
        <v>45374</v>
      </c>
      <c r="Z298" s="35">
        <v>1.89364</v>
      </c>
      <c r="AA298" s="34">
        <v>45379</v>
      </c>
      <c r="AB298" s="35">
        <v>1.8531500000000001</v>
      </c>
      <c r="AC298" s="34">
        <v>45380</v>
      </c>
      <c r="AD298" s="35">
        <v>1.85182</v>
      </c>
      <c r="AE298" s="34">
        <v>45381</v>
      </c>
      <c r="AF298" s="35">
        <v>1.85182</v>
      </c>
      <c r="AG298" s="34">
        <v>45382</v>
      </c>
      <c r="AH298" s="35">
        <v>1.85182</v>
      </c>
      <c r="AI298" s="36">
        <v>-1.4905458778751712E-2</v>
      </c>
      <c r="AK298" s="34">
        <v>45371</v>
      </c>
      <c r="AL298" s="35">
        <v>1.9667399999999999</v>
      </c>
      <c r="AM298" s="34">
        <v>45385</v>
      </c>
      <c r="AN298" s="5">
        <v>1.8792500000000001</v>
      </c>
      <c r="AP298" s="36">
        <v>-4.4484781923385786E-2</v>
      </c>
      <c r="AS298" s="5" t="s">
        <v>12389</v>
      </c>
      <c r="AT298" s="5">
        <v>0.48</v>
      </c>
      <c r="AU298" s="5">
        <v>74.45</v>
      </c>
      <c r="AV298" s="5" t="s">
        <v>12400</v>
      </c>
      <c r="AW298" s="5" t="s">
        <v>12400</v>
      </c>
      <c r="AX298" s="5">
        <v>25.55</v>
      </c>
      <c r="AZ298" s="49" t="s">
        <v>12409</v>
      </c>
      <c r="BA298" s="50" t="s">
        <v>12409</v>
      </c>
      <c r="BC298" s="51">
        <v>0.48948999999999998</v>
      </c>
    </row>
    <row r="299" spans="1:55" ht="15" customHeight="1" x14ac:dyDescent="0.4">
      <c r="A299" s="27" t="s">
        <v>11233</v>
      </c>
      <c r="B299" s="44" t="s">
        <v>12182</v>
      </c>
      <c r="C299" s="45" t="s">
        <v>11709</v>
      </c>
      <c r="D299" s="46">
        <v>6.27</v>
      </c>
      <c r="E299" s="45" t="s">
        <v>12357</v>
      </c>
      <c r="F299" s="45"/>
      <c r="G299" s="9">
        <v>457.45</v>
      </c>
      <c r="H299" s="9">
        <v>0</v>
      </c>
      <c r="I299" s="9">
        <v>0</v>
      </c>
      <c r="J299" s="9">
        <v>10393.66618</v>
      </c>
      <c r="K299" s="9">
        <v>10393.66618</v>
      </c>
      <c r="L299" s="9">
        <v>0</v>
      </c>
      <c r="M299" s="9">
        <v>-10393.66618</v>
      </c>
      <c r="N299" s="10" t="s">
        <v>12473</v>
      </c>
      <c r="P299" s="32">
        <v>45378</v>
      </c>
      <c r="R299" s="35">
        <v>22.51</v>
      </c>
      <c r="S299" s="34">
        <v>45377</v>
      </c>
      <c r="T299" s="35">
        <v>22.34</v>
      </c>
      <c r="U299" s="34">
        <v>45376</v>
      </c>
      <c r="V299" s="35">
        <v>22.58</v>
      </c>
      <c r="W299" s="34">
        <v>45375</v>
      </c>
      <c r="X299" s="35">
        <v>22.56</v>
      </c>
      <c r="Y299" s="34">
        <v>45374</v>
      </c>
      <c r="Z299" s="35">
        <v>22.56</v>
      </c>
      <c r="AA299" s="34">
        <v>45379</v>
      </c>
      <c r="AB299" s="35">
        <v>22.75</v>
      </c>
      <c r="AC299" s="34">
        <v>45380</v>
      </c>
      <c r="AD299" s="35">
        <v>22.75</v>
      </c>
      <c r="AE299" s="34">
        <v>45381</v>
      </c>
      <c r="AF299" s="35">
        <v>22.75</v>
      </c>
      <c r="AG299" s="34">
        <v>45382</v>
      </c>
      <c r="AH299" s="35">
        <v>22.75</v>
      </c>
      <c r="AI299" s="36">
        <v>1.8352730528200523E-2</v>
      </c>
      <c r="AK299" s="34">
        <v>45371</v>
      </c>
      <c r="AL299" s="35">
        <v>23.29</v>
      </c>
      <c r="AM299" s="34">
        <v>45385</v>
      </c>
      <c r="AN299" s="5">
        <v>24.73</v>
      </c>
      <c r="AP299" s="36">
        <v>6.1829111206526566E-2</v>
      </c>
      <c r="AS299" s="5" t="s">
        <v>12387</v>
      </c>
      <c r="AT299" s="5">
        <v>5.27</v>
      </c>
      <c r="AU299" s="5">
        <v>100</v>
      </c>
      <c r="AV299" s="5" t="s">
        <v>12400</v>
      </c>
      <c r="AW299" s="5" t="s">
        <v>12400</v>
      </c>
      <c r="AX299" s="5" t="s">
        <v>12400</v>
      </c>
      <c r="AZ299" s="49" t="s">
        <v>12425</v>
      </c>
      <c r="BA299" s="50" t="s">
        <v>12425</v>
      </c>
      <c r="BC299" s="51">
        <v>0.45508999999999999</v>
      </c>
    </row>
    <row r="300" spans="1:55" ht="15" customHeight="1" x14ac:dyDescent="0.4">
      <c r="A300" s="27" t="s">
        <v>11234</v>
      </c>
      <c r="B300" s="44" t="s">
        <v>12183</v>
      </c>
      <c r="C300" s="45" t="s">
        <v>11710</v>
      </c>
      <c r="D300" s="47">
        <v>0.26800000000000002</v>
      </c>
      <c r="E300" s="45" t="s">
        <v>12357</v>
      </c>
      <c r="F300" s="45"/>
      <c r="G300" s="9">
        <v>57.351320000000001</v>
      </c>
      <c r="H300" s="9">
        <v>0</v>
      </c>
      <c r="I300" s="9">
        <v>0</v>
      </c>
      <c r="J300" s="9">
        <v>2.2139500000000001</v>
      </c>
      <c r="K300" s="9">
        <v>2.2139500000000001</v>
      </c>
      <c r="L300" s="9">
        <v>1.2391799999999999</v>
      </c>
      <c r="M300" s="9">
        <v>-1.2391799999999999</v>
      </c>
      <c r="N300" s="10" t="s">
        <v>12466</v>
      </c>
      <c r="P300" s="32">
        <v>45377</v>
      </c>
      <c r="R300" s="35">
        <v>0.13074</v>
      </c>
      <c r="S300" s="34">
        <v>45376</v>
      </c>
      <c r="T300" s="35">
        <v>4.7739999999999998E-2</v>
      </c>
      <c r="U300" s="34">
        <v>45375</v>
      </c>
      <c r="V300" s="35">
        <v>4.7579999999999997E-2</v>
      </c>
      <c r="W300" s="34">
        <v>45374</v>
      </c>
      <c r="X300" s="35">
        <v>4.7579999999999997E-2</v>
      </c>
      <c r="Y300" s="34">
        <v>45373</v>
      </c>
      <c r="Z300" s="35">
        <v>4.7579999999999997E-2</v>
      </c>
      <c r="AA300" s="34">
        <v>45378</v>
      </c>
      <c r="AB300" s="35">
        <v>0.13372999999999999</v>
      </c>
      <c r="AC300" s="34">
        <v>45379</v>
      </c>
      <c r="AD300" s="35">
        <v>0.13375000000000001</v>
      </c>
      <c r="AE300" s="34">
        <v>45380</v>
      </c>
      <c r="AF300" s="35">
        <v>0.13367999999999999</v>
      </c>
      <c r="AG300" s="34">
        <v>45381</v>
      </c>
      <c r="AH300" s="35">
        <v>0.13367999999999999</v>
      </c>
      <c r="AI300" s="36">
        <v>1.8012149141181397</v>
      </c>
      <c r="AK300" s="34">
        <v>45370</v>
      </c>
      <c r="AL300" s="35">
        <v>5.5500000000000001E-2</v>
      </c>
      <c r="AM300" s="34">
        <v>45384</v>
      </c>
      <c r="AN300" s="5">
        <v>0.13349</v>
      </c>
      <c r="AP300" s="36">
        <v>1.4052252252252253</v>
      </c>
      <c r="AS300" s="5" t="s">
        <v>721</v>
      </c>
      <c r="AT300" s="5" t="s">
        <v>12400</v>
      </c>
      <c r="AU300" s="5" t="s">
        <v>12400</v>
      </c>
      <c r="AV300" s="5" t="s">
        <v>12400</v>
      </c>
      <c r="AW300" s="5" t="s">
        <v>12400</v>
      </c>
      <c r="AX300" s="5">
        <v>100</v>
      </c>
      <c r="AZ300" s="49" t="s">
        <v>12405</v>
      </c>
      <c r="BA300" s="50" t="s">
        <v>12444</v>
      </c>
      <c r="BC300" s="51">
        <v>0.82652000000000003</v>
      </c>
    </row>
    <row r="301" spans="1:55" ht="15" customHeight="1" x14ac:dyDescent="0.4">
      <c r="A301" s="27" t="s">
        <v>11001</v>
      </c>
      <c r="B301" s="44" t="s">
        <v>11946</v>
      </c>
      <c r="C301" s="45" t="s">
        <v>11711</v>
      </c>
      <c r="D301" s="46">
        <v>1.89</v>
      </c>
      <c r="E301" s="45" t="s">
        <v>12357</v>
      </c>
      <c r="F301" s="45"/>
      <c r="G301" s="9">
        <v>103.87221</v>
      </c>
      <c r="H301" s="9">
        <v>22.035969999999999</v>
      </c>
      <c r="I301" s="9">
        <v>26.656300000000002</v>
      </c>
      <c r="J301" s="9">
        <v>187.49682000000001</v>
      </c>
      <c r="K301" s="9">
        <v>187.49682000000001</v>
      </c>
      <c r="L301" s="9">
        <v>16.1767</v>
      </c>
      <c r="M301" s="9">
        <v>-0.12737999999999999</v>
      </c>
      <c r="N301" s="10" t="s">
        <v>12467</v>
      </c>
      <c r="P301" s="32">
        <v>45377</v>
      </c>
      <c r="R301" s="35">
        <v>3.4474900000000002</v>
      </c>
      <c r="S301" s="34">
        <v>45376</v>
      </c>
      <c r="T301" s="35">
        <v>3.2238099999999998</v>
      </c>
      <c r="U301" s="34">
        <v>45375</v>
      </c>
      <c r="V301" s="35">
        <v>3.2886000000000002</v>
      </c>
      <c r="W301" s="34">
        <v>45374</v>
      </c>
      <c r="X301" s="35">
        <v>3.2886000000000002</v>
      </c>
      <c r="Y301" s="34">
        <v>45373</v>
      </c>
      <c r="Z301" s="35">
        <v>3.2886000000000002</v>
      </c>
      <c r="AA301" s="34">
        <v>45378</v>
      </c>
      <c r="AB301" s="35">
        <v>3.6236899999999999</v>
      </c>
      <c r="AC301" s="34">
        <v>45379</v>
      </c>
      <c r="AD301" s="35">
        <v>3.6027200000000001</v>
      </c>
      <c r="AE301" s="34">
        <v>45380</v>
      </c>
      <c r="AF301" s="35">
        <v>3.5994799999999998</v>
      </c>
      <c r="AG301" s="34">
        <v>45381</v>
      </c>
      <c r="AH301" s="35">
        <v>3.5994799999999998</v>
      </c>
      <c r="AI301" s="36">
        <v>0.1240395680886901</v>
      </c>
      <c r="AK301" s="34">
        <v>45370</v>
      </c>
      <c r="AL301" s="35">
        <v>3.3712</v>
      </c>
      <c r="AM301" s="34">
        <v>45384</v>
      </c>
      <c r="AN301" s="5">
        <v>3.4952700000000001</v>
      </c>
      <c r="AP301" s="36">
        <v>3.6802918841955412E-2</v>
      </c>
      <c r="AS301" s="5" t="s">
        <v>12387</v>
      </c>
      <c r="AT301" s="5">
        <v>0.63100000000000001</v>
      </c>
      <c r="AU301" s="5">
        <v>100</v>
      </c>
      <c r="AV301" s="5" t="s">
        <v>12400</v>
      </c>
      <c r="AW301" s="5" t="s">
        <v>12400</v>
      </c>
      <c r="AX301" s="5" t="s">
        <v>12400</v>
      </c>
      <c r="AZ301" s="49" t="s">
        <v>12415</v>
      </c>
      <c r="BA301" s="50" t="s">
        <v>12415</v>
      </c>
      <c r="BC301" s="51">
        <v>0.52376</v>
      </c>
    </row>
    <row r="302" spans="1:55" ht="15" customHeight="1" x14ac:dyDescent="0.4">
      <c r="A302" s="27" t="s">
        <v>11235</v>
      </c>
      <c r="B302" s="44" t="s">
        <v>12184</v>
      </c>
      <c r="C302" s="45" t="s">
        <v>11712</v>
      </c>
      <c r="D302" s="46">
        <v>339.29</v>
      </c>
      <c r="E302" s="45" t="s">
        <v>12358</v>
      </c>
      <c r="F302" s="45"/>
      <c r="G302" s="9">
        <v>1216.81736</v>
      </c>
      <c r="H302" s="9">
        <v>7246.6010800000004</v>
      </c>
      <c r="I302" s="9">
        <v>12.3423</v>
      </c>
      <c r="J302" s="9">
        <v>68125.345400000006</v>
      </c>
      <c r="K302" s="9">
        <v>68125.345400000006</v>
      </c>
      <c r="L302" s="9">
        <v>4563.9438499999997</v>
      </c>
      <c r="M302" s="9">
        <v>2048.1927700000001</v>
      </c>
      <c r="N302" s="10" t="s">
        <v>12469</v>
      </c>
      <c r="P302" s="32">
        <v>45377</v>
      </c>
      <c r="R302" s="35">
        <v>16.69914</v>
      </c>
      <c r="S302" s="34">
        <v>45376</v>
      </c>
      <c r="T302" s="35">
        <v>16.643190000000001</v>
      </c>
      <c r="U302" s="34">
        <v>45375</v>
      </c>
      <c r="V302" s="35">
        <v>16.517130000000002</v>
      </c>
      <c r="W302" s="34">
        <v>45374</v>
      </c>
      <c r="X302" s="35">
        <v>16.517130000000002</v>
      </c>
      <c r="Y302" s="34">
        <v>45373</v>
      </c>
      <c r="Z302" s="35">
        <v>16.517130000000002</v>
      </c>
      <c r="AA302" s="34">
        <v>45378</v>
      </c>
      <c r="AB302" s="35">
        <v>16.630600000000001</v>
      </c>
      <c r="AC302" s="34">
        <v>45379</v>
      </c>
      <c r="AD302" s="35">
        <v>16.67747</v>
      </c>
      <c r="AE302" s="34">
        <v>45380</v>
      </c>
      <c r="AF302" s="35">
        <v>16.657679999999999</v>
      </c>
      <c r="AG302" s="34">
        <v>45381</v>
      </c>
      <c r="AH302" s="35">
        <v>16.657679999999999</v>
      </c>
      <c r="AI302" s="36">
        <v>-7.5646555738406729E-4</v>
      </c>
      <c r="AK302" s="34">
        <v>45370</v>
      </c>
      <c r="AL302" s="35">
        <v>16.77346</v>
      </c>
      <c r="AM302" s="34">
        <v>45384</v>
      </c>
      <c r="AN302" s="5">
        <v>17.160240000000002</v>
      </c>
      <c r="AP302" s="36">
        <v>2.3059046851395149E-2</v>
      </c>
      <c r="AS302" s="5" t="s">
        <v>12387</v>
      </c>
      <c r="AT302" s="5">
        <v>299.33999999999997</v>
      </c>
      <c r="AU302" s="5">
        <v>100</v>
      </c>
      <c r="AV302" s="5" t="s">
        <v>12400</v>
      </c>
      <c r="AW302" s="5" t="s">
        <v>12400</v>
      </c>
      <c r="AX302" s="5" t="s">
        <v>12400</v>
      </c>
      <c r="AZ302" s="49" t="s">
        <v>12413</v>
      </c>
      <c r="BA302" s="50" t="s">
        <v>12413</v>
      </c>
      <c r="BC302" s="51">
        <v>0.19284000000000001</v>
      </c>
    </row>
    <row r="303" spans="1:55" ht="15" customHeight="1" x14ac:dyDescent="0.4">
      <c r="A303" s="27" t="s">
        <v>11236</v>
      </c>
      <c r="B303" s="44" t="s">
        <v>12185</v>
      </c>
      <c r="C303" s="45" t="s">
        <v>11713</v>
      </c>
      <c r="D303" s="47">
        <v>0.85199999999999998</v>
      </c>
      <c r="E303" s="45" t="s">
        <v>12357</v>
      </c>
      <c r="F303" s="45"/>
      <c r="G303" s="9">
        <v>26.09722</v>
      </c>
      <c r="H303" s="9">
        <v>45.02758</v>
      </c>
      <c r="I303" s="9">
        <v>31.31</v>
      </c>
      <c r="J303" s="9">
        <v>341.65275000000003</v>
      </c>
      <c r="K303" s="9">
        <v>341.65275000000003</v>
      </c>
      <c r="L303" s="9">
        <v>15.13232</v>
      </c>
      <c r="M303" s="9">
        <v>236.36662000000001</v>
      </c>
      <c r="N303" s="10" t="s">
        <v>12468</v>
      </c>
      <c r="P303" s="32">
        <v>45377</v>
      </c>
      <c r="R303" s="35">
        <v>19.378589999999999</v>
      </c>
      <c r="S303" s="34">
        <v>45376</v>
      </c>
      <c r="T303" s="35">
        <v>19.222020000000001</v>
      </c>
      <c r="U303" s="34">
        <v>45375</v>
      </c>
      <c r="V303" s="35">
        <v>19.046589999999998</v>
      </c>
      <c r="W303" s="34">
        <v>45374</v>
      </c>
      <c r="X303" s="35">
        <v>19.046589999999998</v>
      </c>
      <c r="Y303" s="34">
        <v>45373</v>
      </c>
      <c r="Z303" s="35">
        <v>19.046589999999998</v>
      </c>
      <c r="AA303" s="34">
        <v>45378</v>
      </c>
      <c r="AB303" s="35">
        <v>19.476299999999998</v>
      </c>
      <c r="AC303" s="34">
        <v>45379</v>
      </c>
      <c r="AD303" s="35">
        <v>19.507449999999999</v>
      </c>
      <c r="AE303" s="34">
        <v>45380</v>
      </c>
      <c r="AF303" s="35">
        <v>19.484300000000001</v>
      </c>
      <c r="AG303" s="34">
        <v>45381</v>
      </c>
      <c r="AH303" s="35">
        <v>19.484300000000001</v>
      </c>
      <c r="AI303" s="36">
        <v>1.3228578474062447E-2</v>
      </c>
      <c r="AK303" s="34">
        <v>45370</v>
      </c>
      <c r="AL303" s="35">
        <v>19.092089999999999</v>
      </c>
      <c r="AM303" s="34">
        <v>45384</v>
      </c>
      <c r="AN303" s="5">
        <v>18.845569999999999</v>
      </c>
      <c r="AP303" s="36">
        <v>-1.2912153672018145E-2</v>
      </c>
      <c r="AS303" s="5" t="s">
        <v>12387</v>
      </c>
      <c r="AT303" s="5">
        <v>0.85199999999999998</v>
      </c>
      <c r="AU303" s="5">
        <v>100</v>
      </c>
      <c r="AV303" s="5" t="s">
        <v>12400</v>
      </c>
      <c r="AW303" s="5" t="s">
        <v>12400</v>
      </c>
      <c r="AX303" s="5" t="s">
        <v>12400</v>
      </c>
      <c r="AZ303" s="49" t="s">
        <v>12416</v>
      </c>
      <c r="BA303" s="50" t="s">
        <v>12412</v>
      </c>
      <c r="BC303" s="51">
        <v>1.7312700000000001</v>
      </c>
    </row>
    <row r="304" spans="1:55" ht="15" customHeight="1" x14ac:dyDescent="0.4">
      <c r="A304" s="27" t="s">
        <v>11218</v>
      </c>
      <c r="B304" s="44" t="s">
        <v>12167</v>
      </c>
      <c r="C304" s="45" t="s">
        <v>11714</v>
      </c>
      <c r="D304" s="46">
        <v>2.84</v>
      </c>
      <c r="E304" s="45" t="s">
        <v>12357</v>
      </c>
      <c r="F304" s="45"/>
      <c r="G304" s="9">
        <v>22.3325</v>
      </c>
      <c r="H304" s="9">
        <v>2.67116</v>
      </c>
      <c r="I304" s="9">
        <v>7.8465999999999996</v>
      </c>
      <c r="J304" s="9">
        <v>33.680100000000003</v>
      </c>
      <c r="K304" s="9">
        <v>33.680100000000003</v>
      </c>
      <c r="L304" s="9">
        <v>3.0101399999999998</v>
      </c>
      <c r="M304" s="9">
        <v>5.0118900000000002</v>
      </c>
      <c r="N304" s="10" t="s">
        <v>12467</v>
      </c>
      <c r="P304" s="32">
        <v>45377</v>
      </c>
      <c r="R304" s="35">
        <v>0.93113999999999997</v>
      </c>
      <c r="S304" s="34">
        <v>45376</v>
      </c>
      <c r="T304" s="35">
        <v>0.92720999999999998</v>
      </c>
      <c r="U304" s="34">
        <v>45375</v>
      </c>
      <c r="V304" s="35">
        <v>0.91747000000000001</v>
      </c>
      <c r="W304" s="34">
        <v>45374</v>
      </c>
      <c r="X304" s="35">
        <v>0.91747000000000001</v>
      </c>
      <c r="Y304" s="34">
        <v>45373</v>
      </c>
      <c r="Z304" s="35">
        <v>0.91747000000000001</v>
      </c>
      <c r="AA304" s="34">
        <v>45378</v>
      </c>
      <c r="AB304" s="35">
        <v>0.90851999999999999</v>
      </c>
      <c r="AC304" s="34">
        <v>45379</v>
      </c>
      <c r="AD304" s="35">
        <v>0.91722000000000004</v>
      </c>
      <c r="AE304" s="34">
        <v>45380</v>
      </c>
      <c r="AF304" s="35">
        <v>0.91656000000000004</v>
      </c>
      <c r="AG304" s="34">
        <v>45381</v>
      </c>
      <c r="AH304" s="35">
        <v>0.91656000000000004</v>
      </c>
      <c r="AI304" s="36">
        <v>-2.0157245931342382E-2</v>
      </c>
      <c r="AK304" s="34">
        <v>45370</v>
      </c>
      <c r="AL304" s="35">
        <v>0.92488999999999999</v>
      </c>
      <c r="AM304" s="34">
        <v>45384</v>
      </c>
      <c r="AN304" s="5">
        <v>0.90651000000000004</v>
      </c>
      <c r="AP304" s="36">
        <v>-1.9872633502362347E-2</v>
      </c>
      <c r="AS304" s="5" t="s">
        <v>12389</v>
      </c>
      <c r="AT304" s="5">
        <v>1.42</v>
      </c>
      <c r="AU304" s="5">
        <v>50</v>
      </c>
      <c r="AV304" s="5" t="s">
        <v>12400</v>
      </c>
      <c r="AW304" s="5" t="s">
        <v>12400</v>
      </c>
      <c r="AX304" s="5">
        <v>50</v>
      </c>
      <c r="AZ304" s="49" t="s">
        <v>12409</v>
      </c>
      <c r="BA304" s="50" t="s">
        <v>12409</v>
      </c>
      <c r="BC304" s="51">
        <v>-0.79285000000000005</v>
      </c>
    </row>
    <row r="305" spans="1:55" ht="15" customHeight="1" x14ac:dyDescent="0.4">
      <c r="A305" s="27" t="s">
        <v>11083</v>
      </c>
      <c r="B305" s="44" t="s">
        <v>12186</v>
      </c>
      <c r="C305" s="45" t="s">
        <v>11715</v>
      </c>
      <c r="D305" s="46">
        <v>11051.89</v>
      </c>
      <c r="E305" s="45" t="s">
        <v>12357</v>
      </c>
      <c r="F305" s="45"/>
      <c r="G305" s="9">
        <v>347.32208000000003</v>
      </c>
      <c r="H305" s="9">
        <v>2180</v>
      </c>
      <c r="I305" s="9">
        <v>11.5246</v>
      </c>
      <c r="J305" s="9">
        <v>23261</v>
      </c>
      <c r="K305" s="9">
        <v>23261</v>
      </c>
      <c r="L305" s="9">
        <v>1113</v>
      </c>
      <c r="M305" s="9">
        <v>4945</v>
      </c>
      <c r="N305" s="10" t="s">
        <v>12466</v>
      </c>
      <c r="P305" s="32">
        <v>45377</v>
      </c>
      <c r="R305" s="35">
        <v>38.200000000000003</v>
      </c>
      <c r="S305" s="34">
        <v>45376</v>
      </c>
      <c r="T305" s="35">
        <v>40.85</v>
      </c>
      <c r="U305" s="34">
        <v>45375</v>
      </c>
      <c r="V305" s="35">
        <v>39.53</v>
      </c>
      <c r="W305" s="34">
        <v>45374</v>
      </c>
      <c r="X305" s="35">
        <v>39.53</v>
      </c>
      <c r="Y305" s="34">
        <v>45373</v>
      </c>
      <c r="Z305" s="35">
        <v>39.53</v>
      </c>
      <c r="AA305" s="34">
        <v>45378</v>
      </c>
      <c r="AB305" s="35">
        <v>39.39</v>
      </c>
      <c r="AC305" s="34">
        <v>45379</v>
      </c>
      <c r="AD305" s="35">
        <v>39.020000000000003</v>
      </c>
      <c r="AE305" s="34">
        <v>45380</v>
      </c>
      <c r="AF305" s="35">
        <v>39.020000000000003</v>
      </c>
      <c r="AG305" s="34">
        <v>45381</v>
      </c>
      <c r="AH305" s="35">
        <v>39.020000000000003</v>
      </c>
      <c r="AI305" s="36">
        <v>-3.5740514075887408E-2</v>
      </c>
      <c r="AK305" s="34">
        <v>45370</v>
      </c>
      <c r="AL305" s="35">
        <v>38.770000000000003</v>
      </c>
      <c r="AM305" s="34">
        <v>45384</v>
      </c>
      <c r="AN305" s="5">
        <v>38.700000000000003</v>
      </c>
      <c r="AP305" s="36">
        <v>-1.8055197317513594E-3</v>
      </c>
      <c r="AS305" s="5" t="s">
        <v>721</v>
      </c>
      <c r="AT305" s="5" t="s">
        <v>12400</v>
      </c>
      <c r="AU305" s="5" t="s">
        <v>12400</v>
      </c>
      <c r="AV305" s="5" t="s">
        <v>12400</v>
      </c>
      <c r="AW305" s="5" t="s">
        <v>12400</v>
      </c>
      <c r="AX305" s="5">
        <v>100</v>
      </c>
      <c r="AZ305" s="49" t="s">
        <v>12403</v>
      </c>
      <c r="BA305" s="50" t="s">
        <v>12415</v>
      </c>
      <c r="BC305" s="51">
        <v>1.0554699999999999</v>
      </c>
    </row>
    <row r="306" spans="1:55" ht="15" customHeight="1" x14ac:dyDescent="0.4">
      <c r="A306" s="27" t="s">
        <v>11237</v>
      </c>
      <c r="B306" s="44" t="s">
        <v>12187</v>
      </c>
      <c r="C306" s="45" t="s">
        <v>11716</v>
      </c>
      <c r="D306" s="46">
        <v>1.85</v>
      </c>
      <c r="E306" s="45" t="s">
        <v>12357</v>
      </c>
      <c r="F306" s="45"/>
      <c r="G306" s="9">
        <v>11.44646</v>
      </c>
      <c r="H306" s="9">
        <v>0</v>
      </c>
      <c r="I306" s="9">
        <v>0</v>
      </c>
      <c r="J306" s="9">
        <v>0</v>
      </c>
      <c r="K306" s="9">
        <v>0</v>
      </c>
      <c r="L306" s="9">
        <v>0</v>
      </c>
      <c r="M306" s="9">
        <v>0</v>
      </c>
      <c r="N306" s="10" t="s">
        <v>12471</v>
      </c>
      <c r="P306" s="32">
        <v>45376</v>
      </c>
      <c r="R306" s="35">
        <v>6.6307499999999999</v>
      </c>
      <c r="S306" s="34">
        <v>45375</v>
      </c>
      <c r="T306" s="35">
        <v>6.6969799999999999</v>
      </c>
      <c r="U306" s="34">
        <v>45374</v>
      </c>
      <c r="V306" s="35">
        <v>6.6969799999999999</v>
      </c>
      <c r="W306" s="34">
        <v>45373</v>
      </c>
      <c r="X306" s="35">
        <v>6.6969799999999999</v>
      </c>
      <c r="Y306" s="34">
        <v>45372</v>
      </c>
      <c r="Z306" s="35">
        <v>6.0949900000000001</v>
      </c>
      <c r="AA306" s="34">
        <v>45377</v>
      </c>
      <c r="AB306" s="35">
        <v>6.5165899999999999</v>
      </c>
      <c r="AC306" s="34">
        <v>45378</v>
      </c>
      <c r="AD306" s="35">
        <v>6.4846399999999997</v>
      </c>
      <c r="AE306" s="34">
        <v>45379</v>
      </c>
      <c r="AF306" s="35">
        <v>6.4577299999999997</v>
      </c>
      <c r="AG306" s="34">
        <v>45380</v>
      </c>
      <c r="AH306" s="35">
        <v>6.4633200000000004</v>
      </c>
      <c r="AI306" s="36">
        <v>-2.6936021908382624E-2</v>
      </c>
      <c r="AK306" s="34">
        <v>45369</v>
      </c>
      <c r="AL306" s="35">
        <v>6.9431000000000003</v>
      </c>
      <c r="AM306" s="34">
        <v>45383</v>
      </c>
      <c r="AN306" s="5">
        <v>6.3833599999999997</v>
      </c>
      <c r="AP306" s="36">
        <v>-8.0618167677262376E-2</v>
      </c>
      <c r="AS306" s="5" t="s">
        <v>12389</v>
      </c>
      <c r="AT306" s="5">
        <v>0.92500000000000004</v>
      </c>
      <c r="AU306" s="5">
        <v>50</v>
      </c>
      <c r="AV306" s="5" t="s">
        <v>12400</v>
      </c>
      <c r="AW306" s="5" t="s">
        <v>12400</v>
      </c>
      <c r="AX306" s="5">
        <v>50</v>
      </c>
      <c r="AZ306" s="49" t="s">
        <v>12408</v>
      </c>
      <c r="BA306" s="50" t="s">
        <v>12408</v>
      </c>
      <c r="BC306" s="51">
        <v>0</v>
      </c>
    </row>
    <row r="307" spans="1:55" ht="15" customHeight="1" x14ac:dyDescent="0.4">
      <c r="A307" s="27" t="s">
        <v>11238</v>
      </c>
      <c r="B307" s="44" t="s">
        <v>12188</v>
      </c>
      <c r="C307" s="45" t="s">
        <v>11717</v>
      </c>
      <c r="D307" s="46">
        <v>1.26</v>
      </c>
      <c r="E307" s="45" t="s">
        <v>12357</v>
      </c>
      <c r="F307" s="45"/>
      <c r="G307" s="9">
        <v>1086.5608999999999</v>
      </c>
      <c r="H307" s="9">
        <v>3371.1851000000001</v>
      </c>
      <c r="I307" s="9">
        <v>23.941800000000001</v>
      </c>
      <c r="J307" s="9">
        <v>36009.323900000003</v>
      </c>
      <c r="K307" s="9">
        <v>36009.323900000003</v>
      </c>
      <c r="L307" s="9">
        <v>1319.4833699999999</v>
      </c>
      <c r="M307" s="9">
        <v>10436.643400000001</v>
      </c>
      <c r="N307" s="10" t="s">
        <v>12472</v>
      </c>
      <c r="P307" s="32">
        <v>45376</v>
      </c>
      <c r="R307" s="35">
        <v>20.512270000000001</v>
      </c>
      <c r="S307" s="34">
        <v>45375</v>
      </c>
      <c r="T307" s="35">
        <v>20.399419999999999</v>
      </c>
      <c r="U307" s="34">
        <v>45374</v>
      </c>
      <c r="V307" s="35">
        <v>20.399419999999999</v>
      </c>
      <c r="W307" s="34">
        <v>45373</v>
      </c>
      <c r="X307" s="35">
        <v>20.399419999999999</v>
      </c>
      <c r="Y307" s="34">
        <v>45372</v>
      </c>
      <c r="Z307" s="35">
        <v>20.51107</v>
      </c>
      <c r="AA307" s="34">
        <v>45377</v>
      </c>
      <c r="AB307" s="35">
        <v>20.369250000000001</v>
      </c>
      <c r="AC307" s="34">
        <v>45378</v>
      </c>
      <c r="AD307" s="35">
        <v>20.934080000000002</v>
      </c>
      <c r="AE307" s="34">
        <v>45379</v>
      </c>
      <c r="AF307" s="35">
        <v>20.85783</v>
      </c>
      <c r="AG307" s="34">
        <v>45380</v>
      </c>
      <c r="AH307" s="35">
        <v>20.839120000000001</v>
      </c>
      <c r="AI307" s="36">
        <v>-1.4789636175929211E-3</v>
      </c>
      <c r="AK307" s="34">
        <v>45369</v>
      </c>
      <c r="AL307" s="35">
        <v>20.468910000000001</v>
      </c>
      <c r="AM307" s="34">
        <v>45383</v>
      </c>
      <c r="AN307" s="5">
        <v>20.71069</v>
      </c>
      <c r="AP307" s="36">
        <v>1.181206033931459E-2</v>
      </c>
      <c r="AS307" s="5" t="s">
        <v>12387</v>
      </c>
      <c r="AT307" s="5">
        <v>1.26</v>
      </c>
      <c r="AU307" s="5">
        <v>100</v>
      </c>
      <c r="AV307" s="5" t="s">
        <v>12400</v>
      </c>
      <c r="AW307" s="5" t="s">
        <v>12400</v>
      </c>
      <c r="AX307" s="5" t="s">
        <v>12400</v>
      </c>
      <c r="AZ307" s="49" t="s">
        <v>12415</v>
      </c>
      <c r="BA307" s="50" t="s">
        <v>12415</v>
      </c>
      <c r="BC307" s="51">
        <v>0.64129999999999998</v>
      </c>
    </row>
    <row r="308" spans="1:55" ht="15" customHeight="1" x14ac:dyDescent="0.4">
      <c r="A308" s="27" t="s">
        <v>11239</v>
      </c>
      <c r="B308" s="44" t="s">
        <v>12189</v>
      </c>
      <c r="C308" s="45" t="s">
        <v>11718</v>
      </c>
      <c r="D308" s="46">
        <v>28.11</v>
      </c>
      <c r="E308" s="45" t="s">
        <v>12357</v>
      </c>
      <c r="F308" s="45"/>
      <c r="G308" s="9">
        <v>195.19399999999999</v>
      </c>
      <c r="H308" s="9">
        <v>138.01772</v>
      </c>
      <c r="I308" s="9">
        <v>24.325199999999999</v>
      </c>
      <c r="J308" s="9">
        <v>829.29953</v>
      </c>
      <c r="K308" s="9">
        <v>829.29953</v>
      </c>
      <c r="L308" s="9">
        <v>212.79389</v>
      </c>
      <c r="M308" s="9">
        <v>-190.12239</v>
      </c>
      <c r="N308" s="10" t="s">
        <v>12468</v>
      </c>
      <c r="P308" s="32">
        <v>45373</v>
      </c>
      <c r="R308" s="35">
        <v>16.626169999999998</v>
      </c>
      <c r="S308" s="34">
        <v>45372</v>
      </c>
      <c r="T308" s="35">
        <v>16.849119999999999</v>
      </c>
      <c r="U308" s="34">
        <v>45371</v>
      </c>
      <c r="V308" s="35">
        <v>16.51679</v>
      </c>
      <c r="W308" s="34">
        <v>45370</v>
      </c>
      <c r="X308" s="35">
        <v>16.63852</v>
      </c>
      <c r="Y308" s="34">
        <v>45369</v>
      </c>
      <c r="Z308" s="35">
        <v>16.797270000000001</v>
      </c>
      <c r="AA308" s="34">
        <v>45374</v>
      </c>
      <c r="AB308" s="35">
        <v>16.626169999999998</v>
      </c>
      <c r="AC308" s="34">
        <v>45375</v>
      </c>
      <c r="AD308" s="35">
        <v>16.626169999999998</v>
      </c>
      <c r="AE308" s="34">
        <v>45376</v>
      </c>
      <c r="AF308" s="35">
        <v>16.576280000000001</v>
      </c>
      <c r="AG308" s="34">
        <v>45377</v>
      </c>
      <c r="AH308" s="35">
        <v>16.514749999999999</v>
      </c>
      <c r="AI308" s="36">
        <v>-1.3232145061581879E-2</v>
      </c>
      <c r="AK308" s="34">
        <v>45366</v>
      </c>
      <c r="AL308" s="35">
        <v>16.853439999999999</v>
      </c>
      <c r="AM308" s="34">
        <v>45380</v>
      </c>
      <c r="AN308" s="5">
        <v>17.676449999999999</v>
      </c>
      <c r="AP308" s="36">
        <v>4.8833353902823395E-2</v>
      </c>
      <c r="AS308" s="5" t="s">
        <v>12387</v>
      </c>
      <c r="AT308" s="5">
        <v>19.46</v>
      </c>
      <c r="AU308" s="5">
        <v>100</v>
      </c>
      <c r="AV308" s="5" t="s">
        <v>12400</v>
      </c>
      <c r="AW308" s="5" t="s">
        <v>12400</v>
      </c>
      <c r="AX308" s="5" t="s">
        <v>12400</v>
      </c>
      <c r="AZ308" s="49" t="s">
        <v>12409</v>
      </c>
      <c r="BA308" s="50" t="s">
        <v>12406</v>
      </c>
      <c r="BC308" s="51">
        <v>0.81108999999999998</v>
      </c>
    </row>
    <row r="309" spans="1:55" ht="15" customHeight="1" x14ac:dyDescent="0.4">
      <c r="A309" s="27" t="s">
        <v>11240</v>
      </c>
      <c r="B309" s="44" t="s">
        <v>12190</v>
      </c>
      <c r="C309" s="45" t="s">
        <v>11719</v>
      </c>
      <c r="D309" s="46">
        <v>4.1100000000000003</v>
      </c>
      <c r="E309" s="45" t="s">
        <v>12358</v>
      </c>
      <c r="F309" s="45"/>
      <c r="G309" s="9">
        <v>52.827370000000002</v>
      </c>
      <c r="H309" s="9">
        <v>175.536</v>
      </c>
      <c r="I309" s="9">
        <v>10.847099999999999</v>
      </c>
      <c r="J309" s="9">
        <v>1276.1500000000001</v>
      </c>
      <c r="K309" s="9">
        <v>1276.1500000000001</v>
      </c>
      <c r="L309" s="9">
        <v>68.738</v>
      </c>
      <c r="M309" s="9">
        <v>392.298</v>
      </c>
      <c r="N309" s="10" t="s">
        <v>12467</v>
      </c>
      <c r="P309" s="32">
        <v>45373</v>
      </c>
      <c r="R309" s="35">
        <v>54.75</v>
      </c>
      <c r="S309" s="34">
        <v>45372</v>
      </c>
      <c r="T309" s="35">
        <v>53.96</v>
      </c>
      <c r="U309" s="34">
        <v>45371</v>
      </c>
      <c r="V309" s="35">
        <v>53.03</v>
      </c>
      <c r="W309" s="34">
        <v>45370</v>
      </c>
      <c r="X309" s="35">
        <v>51.96</v>
      </c>
      <c r="Y309" s="34">
        <v>45369</v>
      </c>
      <c r="Z309" s="35">
        <v>51.21</v>
      </c>
      <c r="AA309" s="34">
        <v>45374</v>
      </c>
      <c r="AB309" s="35">
        <v>54.75</v>
      </c>
      <c r="AC309" s="34">
        <v>45375</v>
      </c>
      <c r="AD309" s="35">
        <v>54.75</v>
      </c>
      <c r="AE309" s="34">
        <v>45376</v>
      </c>
      <c r="AF309" s="35">
        <v>55.5</v>
      </c>
      <c r="AG309" s="34">
        <v>45377</v>
      </c>
      <c r="AH309" s="35">
        <v>55.88</v>
      </c>
      <c r="AI309" s="36">
        <v>1.4640474425500427E-2</v>
      </c>
      <c r="AK309" s="34">
        <v>45366</v>
      </c>
      <c r="AL309" s="35">
        <v>51.4</v>
      </c>
      <c r="AM309" s="34">
        <v>45380</v>
      </c>
      <c r="AN309" s="5">
        <v>56.15</v>
      </c>
      <c r="AP309" s="36">
        <v>9.2412451361867598E-2</v>
      </c>
      <c r="AS309" s="5" t="s">
        <v>12387</v>
      </c>
      <c r="AT309" s="5">
        <v>4.1100000000000003</v>
      </c>
      <c r="AU309" s="5">
        <v>100</v>
      </c>
      <c r="AV309" s="5" t="s">
        <v>12400</v>
      </c>
      <c r="AW309" s="5" t="s">
        <v>12400</v>
      </c>
      <c r="AX309" s="5" t="s">
        <v>12400</v>
      </c>
      <c r="AZ309" s="49" t="s">
        <v>12445</v>
      </c>
      <c r="BA309" s="50" t="s">
        <v>12415</v>
      </c>
      <c r="BC309" s="51">
        <v>0.88471</v>
      </c>
    </row>
    <row r="310" spans="1:55" ht="15" customHeight="1" x14ac:dyDescent="0.4">
      <c r="A310" s="27" t="s">
        <v>11241</v>
      </c>
      <c r="B310" s="44" t="s">
        <v>12191</v>
      </c>
      <c r="C310" s="45" t="s">
        <v>11720</v>
      </c>
      <c r="D310" s="47">
        <v>0.94699999999999995</v>
      </c>
      <c r="E310" s="45" t="s">
        <v>12358</v>
      </c>
      <c r="F310" s="45"/>
      <c r="G310" s="9">
        <v>107.56513</v>
      </c>
      <c r="H310" s="9">
        <v>31.56071</v>
      </c>
      <c r="I310" s="9">
        <v>16.971599999999999</v>
      </c>
      <c r="J310" s="9">
        <v>136.85451</v>
      </c>
      <c r="K310" s="9">
        <v>136.85451</v>
      </c>
      <c r="L310" s="9">
        <v>75.341269999999994</v>
      </c>
      <c r="M310" s="9">
        <v>-64.718379999999996</v>
      </c>
      <c r="N310" s="10" t="s">
        <v>12470</v>
      </c>
      <c r="P310" s="32">
        <v>45373</v>
      </c>
      <c r="R310" s="35">
        <v>4.0618600000000002</v>
      </c>
      <c r="S310" s="34">
        <v>45372</v>
      </c>
      <c r="T310" s="35">
        <v>4.0258099999999999</v>
      </c>
      <c r="U310" s="34">
        <v>45371</v>
      </c>
      <c r="V310" s="35">
        <v>4.0098599999999998</v>
      </c>
      <c r="W310" s="34">
        <v>45370</v>
      </c>
      <c r="X310" s="35">
        <v>4.1165000000000003</v>
      </c>
      <c r="Y310" s="34">
        <v>45369</v>
      </c>
      <c r="Z310" s="35">
        <v>4.0652499999999998</v>
      </c>
      <c r="AA310" s="34">
        <v>45374</v>
      </c>
      <c r="AB310" s="35">
        <v>4.0618600000000002</v>
      </c>
      <c r="AC310" s="34">
        <v>45375</v>
      </c>
      <c r="AD310" s="35">
        <v>4.0618600000000002</v>
      </c>
      <c r="AE310" s="34">
        <v>45376</v>
      </c>
      <c r="AF310" s="35">
        <v>4.0399900000000004</v>
      </c>
      <c r="AG310" s="34">
        <v>45377</v>
      </c>
      <c r="AH310" s="35">
        <v>4.0081600000000002</v>
      </c>
      <c r="AI310" s="36">
        <v>8.9547196713208876E-3</v>
      </c>
      <c r="AK310" s="34">
        <v>45366</v>
      </c>
      <c r="AL310" s="35">
        <v>4.0492699999999999</v>
      </c>
      <c r="AM310" s="34">
        <v>45380</v>
      </c>
      <c r="AN310" s="5">
        <v>4.1432099999999998</v>
      </c>
      <c r="AP310" s="36">
        <v>2.3199243320400909E-2</v>
      </c>
      <c r="AS310" s="5" t="s">
        <v>12394</v>
      </c>
      <c r="AT310" s="5" t="s">
        <v>12400</v>
      </c>
      <c r="AU310" s="5" t="s">
        <v>12400</v>
      </c>
      <c r="AV310" s="5" t="s">
        <v>12400</v>
      </c>
      <c r="AW310" s="5" t="s">
        <v>12400</v>
      </c>
      <c r="AX310" s="5" t="s">
        <v>12400</v>
      </c>
      <c r="AZ310" s="49" t="s">
        <v>12409</v>
      </c>
      <c r="BA310" s="50" t="s">
        <v>12409</v>
      </c>
      <c r="BC310" s="51">
        <v>0.76143000000000005</v>
      </c>
    </row>
    <row r="311" spans="1:55" ht="15" customHeight="1" x14ac:dyDescent="0.4">
      <c r="A311" s="27" t="s">
        <v>11242</v>
      </c>
      <c r="B311" s="44" t="s">
        <v>12192</v>
      </c>
      <c r="C311" s="45" t="s">
        <v>11721</v>
      </c>
      <c r="D311" s="47">
        <v>0.55900000000000005</v>
      </c>
      <c r="E311" s="45" t="s">
        <v>12357</v>
      </c>
      <c r="F311" s="45"/>
      <c r="G311" s="9">
        <v>0.46855999999999998</v>
      </c>
      <c r="H311" s="9" t="s">
        <v>11415</v>
      </c>
      <c r="I311" s="9" t="s">
        <v>11415</v>
      </c>
      <c r="J311" s="9">
        <v>99.248859999999993</v>
      </c>
      <c r="K311" s="9">
        <v>99.248859999999993</v>
      </c>
      <c r="L311" s="9">
        <v>0</v>
      </c>
      <c r="M311" s="9">
        <v>-26.30123</v>
      </c>
      <c r="N311" s="10" t="s">
        <v>12473</v>
      </c>
      <c r="P311" s="32">
        <v>45373</v>
      </c>
      <c r="R311" s="35">
        <v>240.49250000000001</v>
      </c>
      <c r="S311" s="34">
        <v>45372</v>
      </c>
      <c r="T311" s="35">
        <v>242.88741999999999</v>
      </c>
      <c r="U311" s="34">
        <v>45371</v>
      </c>
      <c r="V311" s="35">
        <v>236.77248</v>
      </c>
      <c r="W311" s="34">
        <v>45370</v>
      </c>
      <c r="X311" s="35">
        <v>239.61002999999999</v>
      </c>
      <c r="Y311" s="34">
        <v>45369</v>
      </c>
      <c r="Z311" s="35">
        <v>239.41383999999999</v>
      </c>
      <c r="AA311" s="34">
        <v>45374</v>
      </c>
      <c r="AB311" s="35">
        <v>240.49250000000001</v>
      </c>
      <c r="AC311" s="34">
        <v>45375</v>
      </c>
      <c r="AD311" s="35">
        <v>240.49250000000001</v>
      </c>
      <c r="AE311" s="34">
        <v>45376</v>
      </c>
      <c r="AF311" s="35">
        <v>240.31819999999999</v>
      </c>
      <c r="AG311" s="34">
        <v>45377</v>
      </c>
      <c r="AH311" s="35">
        <v>240.11147</v>
      </c>
      <c r="AI311" s="36">
        <v>-9.8602060164334482E-3</v>
      </c>
      <c r="AK311" s="34">
        <v>45366</v>
      </c>
      <c r="AL311" s="35">
        <v>241.31506999999999</v>
      </c>
      <c r="AM311" s="34">
        <v>45380</v>
      </c>
      <c r="AN311" s="5">
        <v>237.55656999999999</v>
      </c>
      <c r="AP311" s="36">
        <v>-1.5575073699292785E-2</v>
      </c>
      <c r="AS311" s="5" t="s">
        <v>721</v>
      </c>
      <c r="AT311" s="5" t="s">
        <v>12400</v>
      </c>
      <c r="AU311" s="5" t="s">
        <v>12400</v>
      </c>
      <c r="AV311" s="5" t="s">
        <v>12400</v>
      </c>
      <c r="AW311" s="5" t="s">
        <v>12400</v>
      </c>
      <c r="AX311" s="5">
        <v>100</v>
      </c>
      <c r="AZ311" s="49" t="s">
        <v>12409</v>
      </c>
      <c r="BA311" s="50" t="s">
        <v>12409</v>
      </c>
      <c r="BC311" s="51">
        <v>0.25140000000000001</v>
      </c>
    </row>
    <row r="312" spans="1:55" ht="15" customHeight="1" x14ac:dyDescent="0.4">
      <c r="A312" s="27" t="s">
        <v>11243</v>
      </c>
      <c r="B312" s="44" t="s">
        <v>12193</v>
      </c>
      <c r="C312" s="45" t="s">
        <v>11722</v>
      </c>
      <c r="D312" s="46">
        <v>18.8</v>
      </c>
      <c r="E312" s="45" t="s">
        <v>12357</v>
      </c>
      <c r="F312" s="45"/>
      <c r="G312" s="9">
        <v>75.672640000000001</v>
      </c>
      <c r="H312" s="9">
        <v>538.24400000000003</v>
      </c>
      <c r="I312" s="9">
        <v>77.110100000000003</v>
      </c>
      <c r="J312" s="9">
        <v>5700.8850000000002</v>
      </c>
      <c r="K312" s="9">
        <v>5700.8850000000002</v>
      </c>
      <c r="L312" s="9">
        <v>78.078999999999994</v>
      </c>
      <c r="M312" s="9">
        <v>2964.1010000000001</v>
      </c>
      <c r="N312" s="10" t="s">
        <v>12475</v>
      </c>
      <c r="P312" s="32">
        <v>45372</v>
      </c>
      <c r="R312" s="35">
        <v>41.83</v>
      </c>
      <c r="S312" s="34">
        <v>45371</v>
      </c>
      <c r="T312" s="35">
        <v>41.68</v>
      </c>
      <c r="U312" s="34">
        <v>45370</v>
      </c>
      <c r="V312" s="35">
        <v>42.09</v>
      </c>
      <c r="W312" s="34">
        <v>45369</v>
      </c>
      <c r="X312" s="35">
        <v>41.45</v>
      </c>
      <c r="Y312" s="34">
        <v>45368</v>
      </c>
      <c r="Z312" s="35">
        <v>41.35</v>
      </c>
      <c r="AA312" s="34">
        <v>45373</v>
      </c>
      <c r="AB312" s="35">
        <v>41.41</v>
      </c>
      <c r="AC312" s="34">
        <v>45374</v>
      </c>
      <c r="AD312" s="35">
        <v>41.41</v>
      </c>
      <c r="AE312" s="34">
        <v>45375</v>
      </c>
      <c r="AF312" s="35">
        <v>41.41</v>
      </c>
      <c r="AG312" s="34">
        <v>45376</v>
      </c>
      <c r="AH312" s="35">
        <v>41.34</v>
      </c>
      <c r="AI312" s="36">
        <v>-6.4779270633398278E-3</v>
      </c>
      <c r="AK312" s="34">
        <v>45365</v>
      </c>
      <c r="AL312" s="35">
        <v>41.59</v>
      </c>
      <c r="AM312" s="34">
        <v>45379</v>
      </c>
      <c r="AN312" s="5">
        <v>42.45</v>
      </c>
      <c r="AP312" s="36">
        <v>2.067804760759806E-2</v>
      </c>
      <c r="AS312" s="5" t="s">
        <v>12389</v>
      </c>
      <c r="AT312" s="5">
        <v>1.22</v>
      </c>
      <c r="AU312" s="5">
        <v>6.48</v>
      </c>
      <c r="AV312" s="5" t="s">
        <v>12400</v>
      </c>
      <c r="AW312" s="5" t="s">
        <v>12400</v>
      </c>
      <c r="AX312" s="5">
        <v>93.52</v>
      </c>
      <c r="AZ312" s="49" t="s">
        <v>12408</v>
      </c>
      <c r="BA312" s="50" t="s">
        <v>12409</v>
      </c>
      <c r="BC312" s="51">
        <v>0.90703999999999996</v>
      </c>
    </row>
    <row r="313" spans="1:55" ht="15" customHeight="1" x14ac:dyDescent="0.4">
      <c r="A313" s="27" t="s">
        <v>11244</v>
      </c>
      <c r="B313" s="44" t="s">
        <v>12194</v>
      </c>
      <c r="C313" s="45" t="s">
        <v>11723</v>
      </c>
      <c r="D313" s="46">
        <v>959.04</v>
      </c>
      <c r="E313" s="45" t="s">
        <v>12357</v>
      </c>
      <c r="F313" s="45"/>
      <c r="G313" s="9">
        <v>2131.1051499999999</v>
      </c>
      <c r="H313" s="9">
        <v>107.01690000000001</v>
      </c>
      <c r="I313" s="9">
        <v>64.705799999999996</v>
      </c>
      <c r="J313" s="9">
        <v>12250.87523</v>
      </c>
      <c r="K313" s="9">
        <v>12250.87523</v>
      </c>
      <c r="L313" s="9">
        <v>314.39416</v>
      </c>
      <c r="M313" s="9">
        <v>-141.45177000000001</v>
      </c>
      <c r="N313" s="10" t="s">
        <v>12472</v>
      </c>
      <c r="P313" s="32">
        <v>45372</v>
      </c>
      <c r="R313" s="35">
        <v>6.0158399999999999</v>
      </c>
      <c r="S313" s="34">
        <v>45371</v>
      </c>
      <c r="T313" s="35">
        <v>5.85419</v>
      </c>
      <c r="U313" s="34">
        <v>45370</v>
      </c>
      <c r="V313" s="35">
        <v>5.8738000000000001</v>
      </c>
      <c r="W313" s="34">
        <v>45369</v>
      </c>
      <c r="X313" s="35">
        <v>5.89527</v>
      </c>
      <c r="Y313" s="34">
        <v>45368</v>
      </c>
      <c r="Z313" s="35">
        <v>5.8999100000000002</v>
      </c>
      <c r="AA313" s="34">
        <v>45373</v>
      </c>
      <c r="AB313" s="35">
        <v>5.9708199999999998</v>
      </c>
      <c r="AC313" s="34">
        <v>45374</v>
      </c>
      <c r="AD313" s="35">
        <v>5.9708199999999998</v>
      </c>
      <c r="AE313" s="34">
        <v>45375</v>
      </c>
      <c r="AF313" s="35">
        <v>5.9708199999999998</v>
      </c>
      <c r="AG313" s="34">
        <v>45376</v>
      </c>
      <c r="AH313" s="35">
        <v>5.9898499999999997</v>
      </c>
      <c r="AI313" s="36">
        <v>1.9922482871242542E-2</v>
      </c>
      <c r="AK313" s="34">
        <v>45365</v>
      </c>
      <c r="AL313" s="35">
        <v>5.92544</v>
      </c>
      <c r="AM313" s="34">
        <v>45379</v>
      </c>
      <c r="AN313" s="5">
        <v>5.8522100000000004</v>
      </c>
      <c r="AP313" s="36">
        <v>-1.2358575903223978E-2</v>
      </c>
      <c r="AS313" s="5" t="s">
        <v>12387</v>
      </c>
      <c r="AT313" s="5">
        <v>959.04</v>
      </c>
      <c r="AU313" s="5">
        <v>100</v>
      </c>
      <c r="AV313" s="5" t="s">
        <v>12400</v>
      </c>
      <c r="AW313" s="5" t="s">
        <v>12400</v>
      </c>
      <c r="AX313" s="5" t="s">
        <v>12400</v>
      </c>
      <c r="AZ313" s="49" t="s">
        <v>12460</v>
      </c>
      <c r="BA313" s="50" t="s">
        <v>12415</v>
      </c>
      <c r="BC313" s="51">
        <v>0.62822</v>
      </c>
    </row>
    <row r="314" spans="1:55" ht="15" customHeight="1" x14ac:dyDescent="0.4">
      <c r="A314" s="27" t="s">
        <v>11245</v>
      </c>
      <c r="B314" s="44" t="s">
        <v>12195</v>
      </c>
      <c r="C314" s="45" t="s">
        <v>11724</v>
      </c>
      <c r="D314" s="46">
        <v>130.52000000000001</v>
      </c>
      <c r="E314" s="45" t="s">
        <v>12357</v>
      </c>
      <c r="F314" s="45"/>
      <c r="G314" s="9">
        <v>1115.78811</v>
      </c>
      <c r="H314" s="9">
        <v>3607.8258000000001</v>
      </c>
      <c r="I314" s="9">
        <v>14.9869</v>
      </c>
      <c r="J314" s="9">
        <v>50327.180269999997</v>
      </c>
      <c r="K314" s="9">
        <v>50327.180269999997</v>
      </c>
      <c r="L314" s="9">
        <v>1620.4266600000001</v>
      </c>
      <c r="M314" s="9">
        <v>16056.15121</v>
      </c>
      <c r="N314" s="10" t="s">
        <v>12465</v>
      </c>
      <c r="P314" s="32">
        <v>45371</v>
      </c>
      <c r="R314" s="35">
        <v>59.689500000000002</v>
      </c>
      <c r="S314" s="34">
        <v>45370</v>
      </c>
      <c r="T314" s="35">
        <v>60.816679999999998</v>
      </c>
      <c r="U314" s="34">
        <v>45369</v>
      </c>
      <c r="V314" s="35">
        <v>60.339199999999998</v>
      </c>
      <c r="W314" s="34">
        <v>45368</v>
      </c>
      <c r="X314" s="35">
        <v>60.823169999999998</v>
      </c>
      <c r="Y314" s="34">
        <v>45367</v>
      </c>
      <c r="Z314" s="35">
        <v>60.823169999999998</v>
      </c>
      <c r="AA314" s="34">
        <v>45372</v>
      </c>
      <c r="AB314" s="35">
        <v>60.006520000000002</v>
      </c>
      <c r="AC314" s="34">
        <v>45373</v>
      </c>
      <c r="AD314" s="35">
        <v>59.842179999999999</v>
      </c>
      <c r="AE314" s="34">
        <v>45374</v>
      </c>
      <c r="AF314" s="35">
        <v>59.842179999999999</v>
      </c>
      <c r="AG314" s="34">
        <v>45375</v>
      </c>
      <c r="AH314" s="35">
        <v>59.842179999999999</v>
      </c>
      <c r="AI314" s="36">
        <v>-1.3321345394059603E-2</v>
      </c>
      <c r="AK314" s="34">
        <v>45364</v>
      </c>
      <c r="AL314" s="35">
        <v>61.376820000000002</v>
      </c>
      <c r="AM314" s="34">
        <v>45378</v>
      </c>
      <c r="AN314" s="5">
        <v>61.004109999999997</v>
      </c>
      <c r="AP314" s="36">
        <v>-6.0724879522922048E-3</v>
      </c>
      <c r="AS314" s="5" t="s">
        <v>12398</v>
      </c>
      <c r="AT314" s="5">
        <v>97.66</v>
      </c>
      <c r="AU314" s="5">
        <v>74.83</v>
      </c>
      <c r="AV314" s="5" t="s">
        <v>12400</v>
      </c>
      <c r="AW314" s="5" t="s">
        <v>12400</v>
      </c>
      <c r="AX314" s="5">
        <v>25.17</v>
      </c>
      <c r="AZ314" s="49" t="s">
        <v>12405</v>
      </c>
      <c r="BA314" s="50" t="s">
        <v>12412</v>
      </c>
      <c r="BC314" s="51">
        <v>0.85182999999999998</v>
      </c>
    </row>
    <row r="315" spans="1:55" ht="15" customHeight="1" x14ac:dyDescent="0.4">
      <c r="A315" s="27" t="s">
        <v>11246</v>
      </c>
      <c r="B315" s="44" t="s">
        <v>12196</v>
      </c>
      <c r="C315" s="45" t="s">
        <v>11725</v>
      </c>
      <c r="D315" s="46">
        <v>919.01</v>
      </c>
      <c r="E315" s="45" t="s">
        <v>12357</v>
      </c>
      <c r="F315" s="45"/>
      <c r="G315" s="9">
        <v>536.81025</v>
      </c>
      <c r="H315" s="9">
        <v>5632.7830700000004</v>
      </c>
      <c r="I315" s="9">
        <v>37.3795</v>
      </c>
      <c r="J315" s="9">
        <v>36950.120819999996</v>
      </c>
      <c r="K315" s="9">
        <v>36950.120819999996</v>
      </c>
      <c r="L315" s="9">
        <v>487.37923999999998</v>
      </c>
      <c r="M315" s="9">
        <v>6772.6115</v>
      </c>
      <c r="N315" s="10" t="s">
        <v>12472</v>
      </c>
      <c r="P315" s="32">
        <v>45371</v>
      </c>
      <c r="R315" s="35">
        <v>38.326720000000002</v>
      </c>
      <c r="S315" s="34">
        <v>45370</v>
      </c>
      <c r="T315" s="35">
        <v>38.209110000000003</v>
      </c>
      <c r="U315" s="34">
        <v>45369</v>
      </c>
      <c r="V315" s="35">
        <v>38.537260000000003</v>
      </c>
      <c r="W315" s="34">
        <v>45368</v>
      </c>
      <c r="X315" s="35">
        <v>37.745010000000001</v>
      </c>
      <c r="Y315" s="34">
        <v>45367</v>
      </c>
      <c r="Z315" s="35">
        <v>37.745010000000001</v>
      </c>
      <c r="AA315" s="34">
        <v>45372</v>
      </c>
      <c r="AB315" s="35">
        <v>35.875309999999999</v>
      </c>
      <c r="AC315" s="34">
        <v>45373</v>
      </c>
      <c r="AD315" s="35">
        <v>35.616639999999997</v>
      </c>
      <c r="AE315" s="34">
        <v>45374</v>
      </c>
      <c r="AF315" s="35">
        <v>35.616639999999997</v>
      </c>
      <c r="AG315" s="34">
        <v>45375</v>
      </c>
      <c r="AH315" s="35">
        <v>35.616639999999997</v>
      </c>
      <c r="AI315" s="36">
        <v>-6.1079674454600053E-2</v>
      </c>
      <c r="AK315" s="34">
        <v>45364</v>
      </c>
      <c r="AL315" s="35">
        <v>38.139650000000003</v>
      </c>
      <c r="AM315" s="34">
        <v>45378</v>
      </c>
      <c r="AN315" s="5">
        <v>36.484969999999997</v>
      </c>
      <c r="AP315" s="36">
        <v>-4.3384771491086216E-2</v>
      </c>
      <c r="AS315" s="5" t="s">
        <v>12387</v>
      </c>
      <c r="AT315" s="5">
        <v>919.01</v>
      </c>
      <c r="AU315" s="5">
        <v>100</v>
      </c>
      <c r="AV315" s="5" t="s">
        <v>12400</v>
      </c>
      <c r="AW315" s="5" t="s">
        <v>12400</v>
      </c>
      <c r="AX315" s="5" t="s">
        <v>12400</v>
      </c>
      <c r="AZ315" s="49" t="s">
        <v>12449</v>
      </c>
      <c r="BA315" s="50" t="s">
        <v>12449</v>
      </c>
      <c r="BC315" s="51">
        <v>0.25896999999999998</v>
      </c>
    </row>
    <row r="316" spans="1:55" ht="15" customHeight="1" x14ac:dyDescent="0.4">
      <c r="A316" s="27" t="s">
        <v>11247</v>
      </c>
      <c r="B316" s="44" t="s">
        <v>12197</v>
      </c>
      <c r="C316" s="45" t="s">
        <v>11726</v>
      </c>
      <c r="D316" s="46">
        <v>9.77</v>
      </c>
      <c r="E316" s="45" t="s">
        <v>12357</v>
      </c>
      <c r="F316" s="45"/>
      <c r="G316" s="9">
        <v>116.64922</v>
      </c>
      <c r="H316" s="9">
        <v>606</v>
      </c>
      <c r="I316" s="9">
        <v>11.472899999999999</v>
      </c>
      <c r="J316" s="9">
        <v>7617</v>
      </c>
      <c r="K316" s="9">
        <v>7617</v>
      </c>
      <c r="L316" s="9">
        <v>249</v>
      </c>
      <c r="M316" s="9">
        <v>3462</v>
      </c>
      <c r="N316" s="10" t="s">
        <v>12474</v>
      </c>
      <c r="P316" s="32">
        <v>45371</v>
      </c>
      <c r="R316" s="35">
        <v>45.75</v>
      </c>
      <c r="S316" s="34">
        <v>45370</v>
      </c>
      <c r="T316" s="35">
        <v>46.05</v>
      </c>
      <c r="U316" s="34">
        <v>45369</v>
      </c>
      <c r="V316" s="35">
        <v>45.89</v>
      </c>
      <c r="W316" s="34">
        <v>45368</v>
      </c>
      <c r="X316" s="35">
        <v>46.82</v>
      </c>
      <c r="Y316" s="34">
        <v>45367</v>
      </c>
      <c r="Z316" s="35">
        <v>46.82</v>
      </c>
      <c r="AA316" s="34">
        <v>45372</v>
      </c>
      <c r="AB316" s="35">
        <v>45.55</v>
      </c>
      <c r="AC316" s="34">
        <v>45373</v>
      </c>
      <c r="AD316" s="35">
        <v>45.29</v>
      </c>
      <c r="AE316" s="34">
        <v>45374</v>
      </c>
      <c r="AF316" s="35">
        <v>45.29</v>
      </c>
      <c r="AG316" s="34">
        <v>45375</v>
      </c>
      <c r="AH316" s="35">
        <v>45.29</v>
      </c>
      <c r="AI316" s="36">
        <v>-1.0857763300760048E-2</v>
      </c>
      <c r="AK316" s="34">
        <v>45364</v>
      </c>
      <c r="AL316" s="35">
        <v>46.7</v>
      </c>
      <c r="AM316" s="34">
        <v>45378</v>
      </c>
      <c r="AN316" s="5">
        <v>45.26</v>
      </c>
      <c r="AP316" s="36">
        <v>-3.0835117773019394E-2</v>
      </c>
      <c r="AS316" s="5" t="s">
        <v>12387</v>
      </c>
      <c r="AT316" s="5" t="s">
        <v>12400</v>
      </c>
      <c r="AU316" s="5" t="s">
        <v>12400</v>
      </c>
      <c r="AV316" s="5" t="s">
        <v>12400</v>
      </c>
      <c r="AW316" s="5" t="s">
        <v>12400</v>
      </c>
      <c r="AX316" s="5" t="s">
        <v>12400</v>
      </c>
      <c r="AZ316" s="49" t="s">
        <v>12415</v>
      </c>
      <c r="BA316" s="50" t="s">
        <v>12416</v>
      </c>
      <c r="BC316" s="51">
        <v>1.4745699999999999</v>
      </c>
    </row>
    <row r="317" spans="1:55" ht="15" customHeight="1" x14ac:dyDescent="0.4">
      <c r="A317" s="27" t="s">
        <v>11248</v>
      </c>
      <c r="B317" s="44" t="s">
        <v>12198</v>
      </c>
      <c r="C317" s="45" t="s">
        <v>11727</v>
      </c>
      <c r="D317" s="46">
        <v>52.29</v>
      </c>
      <c r="E317" s="45" t="s">
        <v>12357</v>
      </c>
      <c r="F317" s="45"/>
      <c r="G317" s="9">
        <v>55.972810000000003</v>
      </c>
      <c r="H317" s="9">
        <v>32.475000000000001</v>
      </c>
      <c r="I317" s="9">
        <v>2.0794999999999999</v>
      </c>
      <c r="J317" s="9">
        <v>1804.136</v>
      </c>
      <c r="K317" s="9">
        <v>1804.136</v>
      </c>
      <c r="L317" s="9">
        <v>609.62199999999996</v>
      </c>
      <c r="M317" s="9">
        <v>-31.379000000000001</v>
      </c>
      <c r="N317" s="10" t="s">
        <v>12468</v>
      </c>
      <c r="P317" s="32">
        <v>45370</v>
      </c>
      <c r="R317" s="35">
        <v>136.52500000000001</v>
      </c>
      <c r="S317" s="34">
        <v>45369</v>
      </c>
      <c r="T317" s="35">
        <v>138.52000000000001</v>
      </c>
      <c r="U317" s="34">
        <v>45368</v>
      </c>
      <c r="V317" s="35">
        <v>135.57</v>
      </c>
      <c r="W317" s="34">
        <v>45367</v>
      </c>
      <c r="X317" s="35">
        <v>135.57</v>
      </c>
      <c r="Y317" s="34">
        <v>45366</v>
      </c>
      <c r="Z317" s="35">
        <v>135.57</v>
      </c>
      <c r="AA317" s="34">
        <v>45371</v>
      </c>
      <c r="AB317" s="35">
        <v>141.79</v>
      </c>
      <c r="AC317" s="34">
        <v>45372</v>
      </c>
      <c r="AD317" s="35">
        <v>139.88999999999999</v>
      </c>
      <c r="AE317" s="34">
        <v>45373</v>
      </c>
      <c r="AF317" s="35">
        <v>139.34</v>
      </c>
      <c r="AG317" s="34">
        <v>45374</v>
      </c>
      <c r="AH317" s="35">
        <v>139.34</v>
      </c>
      <c r="AI317" s="36">
        <v>2.3606699393589281E-2</v>
      </c>
      <c r="AK317" s="34">
        <v>45363</v>
      </c>
      <c r="AL317" s="35">
        <v>141.27000000000001</v>
      </c>
      <c r="AM317" s="34">
        <v>45377</v>
      </c>
      <c r="AN317" s="5">
        <v>138.05000000000001</v>
      </c>
      <c r="AP317" s="36">
        <v>-2.279323281659229E-2</v>
      </c>
      <c r="AS317" s="5" t="s">
        <v>12387</v>
      </c>
      <c r="AT317" s="5">
        <v>45.8</v>
      </c>
      <c r="AU317" s="5">
        <v>100</v>
      </c>
      <c r="AV317" s="5" t="s">
        <v>12400</v>
      </c>
      <c r="AW317" s="5" t="s">
        <v>12400</v>
      </c>
      <c r="AX317" s="5" t="s">
        <v>12400</v>
      </c>
      <c r="AZ317" s="49" t="s">
        <v>12415</v>
      </c>
      <c r="BA317" s="50" t="s">
        <v>12415</v>
      </c>
      <c r="BC317" s="51">
        <v>1.41614</v>
      </c>
    </row>
    <row r="318" spans="1:55" ht="15" customHeight="1" x14ac:dyDescent="0.4">
      <c r="A318" s="27" t="s">
        <v>11249</v>
      </c>
      <c r="B318" s="44" t="s">
        <v>12199</v>
      </c>
      <c r="C318" s="45" t="s">
        <v>11728</v>
      </c>
      <c r="D318" s="46">
        <v>4.4000000000000004</v>
      </c>
      <c r="E318" s="45" t="s">
        <v>12357</v>
      </c>
      <c r="F318" s="45"/>
      <c r="G318" s="9">
        <v>427.34690000000001</v>
      </c>
      <c r="H318" s="9">
        <v>-5.0205099999999998</v>
      </c>
      <c r="I318" s="9" t="s">
        <v>11413</v>
      </c>
      <c r="J318" s="9">
        <v>3.9002400000000002</v>
      </c>
      <c r="K318" s="9">
        <v>3.9002400000000002</v>
      </c>
      <c r="L318" s="9">
        <v>2.55261</v>
      </c>
      <c r="M318" s="9">
        <v>-2.55261</v>
      </c>
      <c r="N318" s="10" t="s">
        <v>12465</v>
      </c>
      <c r="P318" s="32">
        <v>45370</v>
      </c>
      <c r="R318" s="35">
        <v>1.1769999999999999E-2</v>
      </c>
      <c r="S318" s="34">
        <v>45369</v>
      </c>
      <c r="T318" s="35">
        <v>1.209E-2</v>
      </c>
      <c r="U318" s="34">
        <v>45368</v>
      </c>
      <c r="V318" s="35">
        <v>1.242E-2</v>
      </c>
      <c r="W318" s="34">
        <v>45367</v>
      </c>
      <c r="X318" s="35">
        <v>1.242E-2</v>
      </c>
      <c r="Y318" s="34">
        <v>45366</v>
      </c>
      <c r="Z318" s="35">
        <v>1.242E-2</v>
      </c>
      <c r="AA318" s="34">
        <v>45371</v>
      </c>
      <c r="AB318" s="35">
        <v>1.24E-2</v>
      </c>
      <c r="AC318" s="34">
        <v>45372</v>
      </c>
      <c r="AD318" s="35">
        <v>1.235E-2</v>
      </c>
      <c r="AE318" s="34">
        <v>45373</v>
      </c>
      <c r="AF318" s="35">
        <v>1.197E-2</v>
      </c>
      <c r="AG318" s="34">
        <v>45374</v>
      </c>
      <c r="AH318" s="35">
        <v>1.197E-2</v>
      </c>
      <c r="AI318" s="36">
        <v>2.564102564102555E-2</v>
      </c>
      <c r="AK318" s="34">
        <v>45363</v>
      </c>
      <c r="AL318" s="35">
        <v>1.342E-2</v>
      </c>
      <c r="AM318" s="34">
        <v>45377</v>
      </c>
      <c r="AN318" s="5">
        <v>1.1050000000000001E-2</v>
      </c>
      <c r="AP318" s="36">
        <v>-0.1766020864381519</v>
      </c>
      <c r="AS318" s="5" t="s">
        <v>12388</v>
      </c>
      <c r="AT318" s="5">
        <v>0.1</v>
      </c>
      <c r="AU318" s="5">
        <v>8.1</v>
      </c>
      <c r="AV318" s="5" t="s">
        <v>12400</v>
      </c>
      <c r="AW318" s="5" t="s">
        <v>12400</v>
      </c>
      <c r="AX318" s="5">
        <v>91.9</v>
      </c>
      <c r="AZ318" s="49" t="s">
        <v>12415</v>
      </c>
      <c r="BA318" s="50" t="s">
        <v>12415</v>
      </c>
      <c r="BC318" s="51">
        <v>1.4997</v>
      </c>
    </row>
    <row r="319" spans="1:55" ht="15" customHeight="1" x14ac:dyDescent="0.4">
      <c r="A319" s="27" t="s">
        <v>11250</v>
      </c>
      <c r="B319" s="44" t="s">
        <v>12200</v>
      </c>
      <c r="C319" s="45" t="s">
        <v>11729</v>
      </c>
      <c r="D319" s="46">
        <v>22.24</v>
      </c>
      <c r="E319" s="45" t="s">
        <v>12357</v>
      </c>
      <c r="F319" s="45"/>
      <c r="G319" s="9">
        <v>182.53310999999999</v>
      </c>
      <c r="H319" s="9">
        <v>186.34379999999999</v>
      </c>
      <c r="I319" s="9">
        <v>13.4529</v>
      </c>
      <c r="J319" s="9">
        <v>1663.6703299999999</v>
      </c>
      <c r="K319" s="9">
        <v>1663.6703299999999</v>
      </c>
      <c r="L319" s="9">
        <v>152.33655999999999</v>
      </c>
      <c r="M319" s="9">
        <v>429.46579000000003</v>
      </c>
      <c r="N319" s="10" t="s">
        <v>12467</v>
      </c>
      <c r="P319" s="32">
        <v>45370</v>
      </c>
      <c r="R319" s="35">
        <v>18.718340000000001</v>
      </c>
      <c r="S319" s="34">
        <v>45369</v>
      </c>
      <c r="T319" s="35">
        <v>18.607240000000001</v>
      </c>
      <c r="U319" s="34">
        <v>45368</v>
      </c>
      <c r="V319" s="35">
        <v>18.677790000000002</v>
      </c>
      <c r="W319" s="34">
        <v>45367</v>
      </c>
      <c r="X319" s="35">
        <v>18.677790000000002</v>
      </c>
      <c r="Y319" s="34">
        <v>45366</v>
      </c>
      <c r="Z319" s="35">
        <v>18.677790000000002</v>
      </c>
      <c r="AA319" s="34">
        <v>45371</v>
      </c>
      <c r="AB319" s="35">
        <v>18.75085</v>
      </c>
      <c r="AC319" s="34">
        <v>45372</v>
      </c>
      <c r="AD319" s="35">
        <v>18.780740000000002</v>
      </c>
      <c r="AE319" s="34">
        <v>45373</v>
      </c>
      <c r="AF319" s="35">
        <v>18.463010000000001</v>
      </c>
      <c r="AG319" s="34">
        <v>45374</v>
      </c>
      <c r="AH319" s="35">
        <v>18.463010000000001</v>
      </c>
      <c r="AI319" s="36">
        <v>7.7179635453725748E-3</v>
      </c>
      <c r="AK319" s="34">
        <v>45363</v>
      </c>
      <c r="AL319" s="35">
        <v>18.26164</v>
      </c>
      <c r="AM319" s="34">
        <v>45377</v>
      </c>
      <c r="AN319" s="5">
        <v>18.65118</v>
      </c>
      <c r="AP319" s="36">
        <v>2.1331052413693374E-2</v>
      </c>
      <c r="AS319" s="5" t="s">
        <v>12387</v>
      </c>
      <c r="AT319" s="5">
        <v>22.24</v>
      </c>
      <c r="AU319" s="5">
        <v>100</v>
      </c>
      <c r="AV319" s="5" t="s">
        <v>12400</v>
      </c>
      <c r="AW319" s="5" t="s">
        <v>12400</v>
      </c>
      <c r="AX319" s="5" t="s">
        <v>12400</v>
      </c>
      <c r="AZ319" s="49" t="s">
        <v>12409</v>
      </c>
      <c r="BA319" s="50" t="s">
        <v>12416</v>
      </c>
      <c r="BC319" s="51">
        <v>0.60531999999999997</v>
      </c>
    </row>
    <row r="320" spans="1:55" ht="15" customHeight="1" x14ac:dyDescent="0.4">
      <c r="A320" s="27" t="s">
        <v>11026</v>
      </c>
      <c r="B320" s="44" t="s">
        <v>11971</v>
      </c>
      <c r="C320" s="45" t="s">
        <v>11730</v>
      </c>
      <c r="D320" s="46">
        <v>64</v>
      </c>
      <c r="E320" s="45" t="s">
        <v>12357</v>
      </c>
      <c r="F320" s="45"/>
      <c r="G320" s="9">
        <v>1127.09871</v>
      </c>
      <c r="H320" s="9">
        <v>1071.8772899999999</v>
      </c>
      <c r="I320" s="9">
        <v>13.385999999999999</v>
      </c>
      <c r="J320" s="9">
        <v>10621.55263</v>
      </c>
      <c r="K320" s="9">
        <v>10621.55263</v>
      </c>
      <c r="L320" s="9">
        <v>1494.3863200000001</v>
      </c>
      <c r="M320" s="9">
        <v>212.85199</v>
      </c>
      <c r="N320" s="10" t="s">
        <v>12472</v>
      </c>
      <c r="P320" s="32">
        <v>45369</v>
      </c>
      <c r="R320" s="35">
        <v>6.3757200000000003</v>
      </c>
      <c r="S320" s="34">
        <v>45368</v>
      </c>
      <c r="T320" s="35">
        <v>6.3860400000000004</v>
      </c>
      <c r="U320" s="34">
        <v>45367</v>
      </c>
      <c r="V320" s="35">
        <v>6.3860400000000004</v>
      </c>
      <c r="W320" s="34">
        <v>45366</v>
      </c>
      <c r="X320" s="35">
        <v>6.3860400000000004</v>
      </c>
      <c r="Y320" s="34">
        <v>45365</v>
      </c>
      <c r="Z320" s="35">
        <v>6.5585599999999999</v>
      </c>
      <c r="AA320" s="34">
        <v>45370</v>
      </c>
      <c r="AB320" s="35">
        <v>6.31372</v>
      </c>
      <c r="AC320" s="34">
        <v>45371</v>
      </c>
      <c r="AD320" s="35">
        <v>6.3333899999999996</v>
      </c>
      <c r="AE320" s="34">
        <v>45372</v>
      </c>
      <c r="AF320" s="35">
        <v>6.3979999999999997</v>
      </c>
      <c r="AG320" s="34">
        <v>45373</v>
      </c>
      <c r="AH320" s="35">
        <v>6.4619200000000001</v>
      </c>
      <c r="AI320" s="36">
        <v>-1.1324702006251242E-2</v>
      </c>
      <c r="AK320" s="34">
        <v>45362</v>
      </c>
      <c r="AL320" s="35">
        <v>6.5366600000000004</v>
      </c>
      <c r="AM320" s="34">
        <v>45376</v>
      </c>
      <c r="AN320" s="5">
        <v>6.4024200000000002</v>
      </c>
      <c r="AP320" s="36">
        <v>-2.053648193419888E-2</v>
      </c>
      <c r="AS320" s="5" t="s">
        <v>12387</v>
      </c>
      <c r="AT320" s="5">
        <v>64</v>
      </c>
      <c r="AU320" s="5">
        <v>100</v>
      </c>
      <c r="AV320" s="5" t="s">
        <v>12400</v>
      </c>
      <c r="AW320" s="5" t="s">
        <v>12400</v>
      </c>
      <c r="AX320" s="5" t="s">
        <v>12400</v>
      </c>
      <c r="AZ320" s="49" t="s">
        <v>12417</v>
      </c>
      <c r="BA320" s="50" t="s">
        <v>12415</v>
      </c>
      <c r="BC320" s="51">
        <v>9.5499999999999995E-3</v>
      </c>
    </row>
    <row r="321" spans="1:55" ht="15" customHeight="1" x14ac:dyDescent="0.4">
      <c r="A321" s="27" t="s">
        <v>11251</v>
      </c>
      <c r="B321" s="44" t="s">
        <v>12201</v>
      </c>
      <c r="C321" s="45" t="s">
        <v>11731</v>
      </c>
      <c r="D321" s="46">
        <v>5</v>
      </c>
      <c r="E321" s="45" t="s">
        <v>12358</v>
      </c>
      <c r="F321" s="45"/>
      <c r="G321" s="9">
        <v>2E-3</v>
      </c>
      <c r="H321" s="9">
        <v>7.3035699999999997</v>
      </c>
      <c r="I321" s="9">
        <v>36.900599999999997</v>
      </c>
      <c r="J321" s="9">
        <v>25.73246</v>
      </c>
      <c r="K321" s="9">
        <v>25.73246</v>
      </c>
      <c r="L321" s="9">
        <v>1.01085</v>
      </c>
      <c r="M321" s="9">
        <v>-1.15133</v>
      </c>
      <c r="N321" s="10" t="s">
        <v>12467</v>
      </c>
      <c r="P321" s="32">
        <v>45369</v>
      </c>
      <c r="R321" s="35">
        <v>33810.005409999998</v>
      </c>
      <c r="S321" s="34">
        <v>45368</v>
      </c>
      <c r="T321" s="35">
        <v>33810.005409999998</v>
      </c>
      <c r="U321" s="34">
        <v>45367</v>
      </c>
      <c r="V321" s="35">
        <v>33810.005409999998</v>
      </c>
      <c r="W321" s="34">
        <v>45366</v>
      </c>
      <c r="X321" s="35">
        <v>33810.005409999998</v>
      </c>
      <c r="Y321" s="34">
        <v>45365</v>
      </c>
      <c r="Z321" s="35">
        <v>32928.005270000001</v>
      </c>
      <c r="AA321" s="34">
        <v>45370</v>
      </c>
      <c r="AB321" s="35">
        <v>32634.005219999999</v>
      </c>
      <c r="AC321" s="34">
        <v>45371</v>
      </c>
      <c r="AD321" s="35">
        <v>33222.005319999997</v>
      </c>
      <c r="AE321" s="34">
        <v>45372</v>
      </c>
      <c r="AF321" s="35">
        <v>30576.00489</v>
      </c>
      <c r="AG321" s="34">
        <v>45373</v>
      </c>
      <c r="AH321" s="35">
        <v>33222.005319999997</v>
      </c>
      <c r="AI321" s="36">
        <v>-3.4782608749662436E-2</v>
      </c>
      <c r="AK321" s="34">
        <v>45362</v>
      </c>
      <c r="AL321" s="35">
        <v>32340.00517</v>
      </c>
      <c r="AM321" s="34">
        <v>45376</v>
      </c>
      <c r="AN321" s="5">
        <v>34692.005550000002</v>
      </c>
      <c r="AP321" s="36">
        <v>7.272727285095848E-2</v>
      </c>
      <c r="AS321" s="5" t="s">
        <v>721</v>
      </c>
      <c r="AT321" s="5" t="s">
        <v>12400</v>
      </c>
      <c r="AU321" s="5" t="s">
        <v>12400</v>
      </c>
      <c r="AV321" s="5" t="s">
        <v>12400</v>
      </c>
      <c r="AW321" s="5" t="s">
        <v>12400</v>
      </c>
      <c r="AX321" s="5">
        <v>100</v>
      </c>
      <c r="AZ321" s="49" t="s">
        <v>12446</v>
      </c>
      <c r="BA321" s="50" t="s">
        <v>12406</v>
      </c>
      <c r="BC321" s="51">
        <v>1.36171</v>
      </c>
    </row>
    <row r="322" spans="1:55" ht="15" customHeight="1" x14ac:dyDescent="0.4">
      <c r="A322" s="27" t="s">
        <v>11252</v>
      </c>
      <c r="B322" s="44" t="s">
        <v>12202</v>
      </c>
      <c r="C322" s="45" t="s">
        <v>11732</v>
      </c>
      <c r="D322" s="46">
        <v>281.51</v>
      </c>
      <c r="E322" s="45" t="s">
        <v>12357</v>
      </c>
      <c r="F322" s="45"/>
      <c r="G322" s="9">
        <v>23.805720000000001</v>
      </c>
      <c r="H322" s="9">
        <v>53.764780000000002</v>
      </c>
      <c r="I322" s="9">
        <v>2.7254</v>
      </c>
      <c r="J322" s="9">
        <v>657.40355999999997</v>
      </c>
      <c r="K322" s="9">
        <v>657.40355999999997</v>
      </c>
      <c r="L322" s="9">
        <v>78.523269999999997</v>
      </c>
      <c r="M322" s="9">
        <v>-59.568919999999999</v>
      </c>
      <c r="N322" s="10" t="s">
        <v>12465</v>
      </c>
      <c r="P322" s="32">
        <v>45369</v>
      </c>
      <c r="R322" s="35">
        <v>15.09024</v>
      </c>
      <c r="S322" s="34">
        <v>45368</v>
      </c>
      <c r="T322" s="35">
        <v>15.135020000000001</v>
      </c>
      <c r="U322" s="34">
        <v>45367</v>
      </c>
      <c r="V322" s="35">
        <v>15.135020000000001</v>
      </c>
      <c r="W322" s="34">
        <v>45366</v>
      </c>
      <c r="X322" s="35">
        <v>15.135020000000001</v>
      </c>
      <c r="Y322" s="34">
        <v>45365</v>
      </c>
      <c r="Z322" s="35">
        <v>15.292450000000001</v>
      </c>
      <c r="AA322" s="34">
        <v>45370</v>
      </c>
      <c r="AB322" s="35">
        <v>19.048649999999999</v>
      </c>
      <c r="AC322" s="34">
        <v>45371</v>
      </c>
      <c r="AD322" s="35">
        <v>17.69623</v>
      </c>
      <c r="AE322" s="34">
        <v>45372</v>
      </c>
      <c r="AF322" s="35">
        <v>18.177869999999999</v>
      </c>
      <c r="AG322" s="34">
        <v>45373</v>
      </c>
      <c r="AH322" s="35">
        <v>17.835909999999998</v>
      </c>
      <c r="AI322" s="36">
        <v>0.25858109206330737</v>
      </c>
      <c r="AK322" s="34">
        <v>45362</v>
      </c>
      <c r="AL322" s="35">
        <v>15.9764</v>
      </c>
      <c r="AM322" s="34">
        <v>45376</v>
      </c>
      <c r="AN322" s="5">
        <v>17.813410000000001</v>
      </c>
      <c r="AP322" s="36">
        <v>0.1149827245186652</v>
      </c>
      <c r="AS322" s="5" t="s">
        <v>12389</v>
      </c>
      <c r="AT322" s="5">
        <v>255.82</v>
      </c>
      <c r="AU322" s="5">
        <v>90.87</v>
      </c>
      <c r="AV322" s="5" t="s">
        <v>12400</v>
      </c>
      <c r="AW322" s="5" t="s">
        <v>12400</v>
      </c>
      <c r="AX322" s="5">
        <v>9.1300000000000008</v>
      </c>
      <c r="AZ322" s="49" t="s">
        <v>12406</v>
      </c>
      <c r="BA322" s="50" t="s">
        <v>12419</v>
      </c>
      <c r="BC322" s="51">
        <v>1.04094</v>
      </c>
    </row>
    <row r="323" spans="1:55" ht="15" customHeight="1" x14ac:dyDescent="0.4">
      <c r="A323" s="27" t="s">
        <v>11253</v>
      </c>
      <c r="B323" s="44" t="s">
        <v>12203</v>
      </c>
      <c r="C323" s="45" t="s">
        <v>11733</v>
      </c>
      <c r="D323" s="47">
        <v>0.28299999999999997</v>
      </c>
      <c r="E323" s="45" t="s">
        <v>12357</v>
      </c>
      <c r="F323" s="45"/>
      <c r="G323" s="9">
        <v>1140.3948600000001</v>
      </c>
      <c r="H323" s="9">
        <v>15784</v>
      </c>
      <c r="I323" s="9">
        <v>9.1851000000000003</v>
      </c>
      <c r="J323" s="9">
        <v>273064</v>
      </c>
      <c r="K323" s="9">
        <v>273064</v>
      </c>
      <c r="L323" s="9">
        <v>13553</v>
      </c>
      <c r="M323" s="9">
        <v>101746</v>
      </c>
      <c r="N323" s="10" t="s">
        <v>12474</v>
      </c>
      <c r="P323" s="32">
        <v>45369</v>
      </c>
      <c r="R323" s="35">
        <v>40.82</v>
      </c>
      <c r="S323" s="34">
        <v>45368</v>
      </c>
      <c r="T323" s="35">
        <v>40.69</v>
      </c>
      <c r="U323" s="34">
        <v>45367</v>
      </c>
      <c r="V323" s="35">
        <v>40.69</v>
      </c>
      <c r="W323" s="34">
        <v>45366</v>
      </c>
      <c r="X323" s="35">
        <v>40.69</v>
      </c>
      <c r="Y323" s="34">
        <v>45365</v>
      </c>
      <c r="Z323" s="35">
        <v>39.380000000000003</v>
      </c>
      <c r="AA323" s="34">
        <v>45370</v>
      </c>
      <c r="AB323" s="35">
        <v>41.51</v>
      </c>
      <c r="AC323" s="34">
        <v>45371</v>
      </c>
      <c r="AD323" s="35">
        <v>42.85</v>
      </c>
      <c r="AE323" s="34">
        <v>45372</v>
      </c>
      <c r="AF323" s="35">
        <v>43.42</v>
      </c>
      <c r="AG323" s="34">
        <v>45373</v>
      </c>
      <c r="AH323" s="35">
        <v>43.06</v>
      </c>
      <c r="AI323" s="36">
        <v>2.0152371590071327E-2</v>
      </c>
      <c r="AK323" s="34">
        <v>45362</v>
      </c>
      <c r="AL323" s="35">
        <v>39.53</v>
      </c>
      <c r="AM323" s="34">
        <v>45376</v>
      </c>
      <c r="AN323" s="5">
        <v>43.55</v>
      </c>
      <c r="AP323" s="36">
        <v>0.10169491525423724</v>
      </c>
      <c r="AS323" s="5" t="s">
        <v>12387</v>
      </c>
      <c r="AT323" s="5">
        <v>0.28299999999999997</v>
      </c>
      <c r="AU323" s="5">
        <v>100</v>
      </c>
      <c r="AV323" s="5" t="s">
        <v>12400</v>
      </c>
      <c r="AW323" s="5" t="s">
        <v>12400</v>
      </c>
      <c r="AX323" s="5" t="s">
        <v>12400</v>
      </c>
      <c r="AZ323" s="49" t="s">
        <v>12416</v>
      </c>
      <c r="BA323" s="50" t="s">
        <v>12416</v>
      </c>
      <c r="BC323" s="51">
        <v>1.3049500000000001</v>
      </c>
    </row>
    <row r="324" spans="1:55" ht="15" customHeight="1" x14ac:dyDescent="0.4">
      <c r="A324" s="27" t="s">
        <v>11254</v>
      </c>
      <c r="B324" s="44" t="s">
        <v>12204</v>
      </c>
      <c r="C324" s="45" t="s">
        <v>11734</v>
      </c>
      <c r="D324" s="46">
        <v>10.199999999999999</v>
      </c>
      <c r="E324" s="45" t="s">
        <v>12357</v>
      </c>
      <c r="F324" s="45"/>
      <c r="G324" s="9">
        <v>115.23193999999999</v>
      </c>
      <c r="H324" s="9">
        <v>-0.53</v>
      </c>
      <c r="I324" s="9">
        <v>-0.36799999999999999</v>
      </c>
      <c r="J324" s="9">
        <v>250.62899999999999</v>
      </c>
      <c r="K324" s="9">
        <v>250.62899999999999</v>
      </c>
      <c r="L324" s="9">
        <v>42.732999999999997</v>
      </c>
      <c r="M324" s="9">
        <v>22.581</v>
      </c>
      <c r="N324" s="10" t="s">
        <v>12468</v>
      </c>
      <c r="P324" s="32">
        <v>45366</v>
      </c>
      <c r="R324" s="35">
        <v>1.4410700000000001</v>
      </c>
      <c r="S324" s="34">
        <v>45365</v>
      </c>
      <c r="T324" s="35">
        <v>1.3982699999999999</v>
      </c>
      <c r="U324" s="34">
        <v>45364</v>
      </c>
      <c r="V324" s="35">
        <v>1.4029799999999999</v>
      </c>
      <c r="W324" s="34">
        <v>45363</v>
      </c>
      <c r="X324" s="35">
        <v>1.41466</v>
      </c>
      <c r="Y324" s="34">
        <v>45362</v>
      </c>
      <c r="Z324" s="35">
        <v>1.3573900000000001</v>
      </c>
      <c r="AA324" s="34">
        <v>45367</v>
      </c>
      <c r="AB324" s="35">
        <v>1.4410700000000001</v>
      </c>
      <c r="AC324" s="34">
        <v>45368</v>
      </c>
      <c r="AD324" s="35">
        <v>1.4410700000000001</v>
      </c>
      <c r="AE324" s="34">
        <v>45369</v>
      </c>
      <c r="AF324" s="35">
        <v>1.39537</v>
      </c>
      <c r="AG324" s="34">
        <v>45370</v>
      </c>
      <c r="AH324" s="35">
        <v>1.3635200000000001</v>
      </c>
      <c r="AI324" s="36">
        <v>3.0609252862465963E-2</v>
      </c>
      <c r="AK324" s="34">
        <v>45359</v>
      </c>
      <c r="AL324" s="35">
        <v>1.3582399999999999</v>
      </c>
      <c r="AM324" s="34">
        <v>45373</v>
      </c>
      <c r="AN324" s="5">
        <v>1.3379399999999999</v>
      </c>
      <c r="AP324" s="36">
        <v>-1.4945812227588617E-2</v>
      </c>
      <c r="AS324" s="5" t="s">
        <v>12389</v>
      </c>
      <c r="AT324" s="5" t="s">
        <v>12400</v>
      </c>
      <c r="AU324" s="5" t="s">
        <v>12400</v>
      </c>
      <c r="AV324" s="5" t="s">
        <v>12400</v>
      </c>
      <c r="AW324" s="5" t="s">
        <v>12400</v>
      </c>
      <c r="AX324" s="5" t="s">
        <v>12400</v>
      </c>
      <c r="AZ324" s="49" t="s">
        <v>12417</v>
      </c>
      <c r="BA324" s="50" t="s">
        <v>12415</v>
      </c>
      <c r="BC324" s="51">
        <v>0.86990999999999996</v>
      </c>
    </row>
    <row r="325" spans="1:55" ht="15" customHeight="1" x14ac:dyDescent="0.4">
      <c r="A325" s="27" t="s">
        <v>10995</v>
      </c>
      <c r="B325" s="44" t="s">
        <v>11940</v>
      </c>
      <c r="C325" s="45" t="s">
        <v>11735</v>
      </c>
      <c r="D325" s="46">
        <v>2.36</v>
      </c>
      <c r="E325" s="45" t="s">
        <v>12357</v>
      </c>
      <c r="F325" s="45"/>
      <c r="G325" s="9">
        <v>64.970600000000005</v>
      </c>
      <c r="H325" s="9">
        <v>116.6</v>
      </c>
      <c r="I325" s="9">
        <v>11.932</v>
      </c>
      <c r="J325" s="9">
        <v>905.7</v>
      </c>
      <c r="K325" s="9">
        <v>905.7</v>
      </c>
      <c r="L325" s="9">
        <v>52.1</v>
      </c>
      <c r="M325" s="9">
        <v>402.3</v>
      </c>
      <c r="N325" s="10" t="s">
        <v>12469</v>
      </c>
      <c r="P325" s="32">
        <v>45366</v>
      </c>
      <c r="R325" s="35">
        <v>2.5578599999999998</v>
      </c>
      <c r="S325" s="34">
        <v>45365</v>
      </c>
      <c r="T325" s="35">
        <v>2.72472</v>
      </c>
      <c r="U325" s="34">
        <v>45364</v>
      </c>
      <c r="V325" s="35">
        <v>2.7446100000000002</v>
      </c>
      <c r="W325" s="34">
        <v>45363</v>
      </c>
      <c r="X325" s="35">
        <v>2.76234</v>
      </c>
      <c r="Y325" s="34">
        <v>45362</v>
      </c>
      <c r="Z325" s="35">
        <v>2.66561</v>
      </c>
      <c r="AA325" s="34">
        <v>45367</v>
      </c>
      <c r="AB325" s="35">
        <v>2.5578599999999998</v>
      </c>
      <c r="AC325" s="34">
        <v>45368</v>
      </c>
      <c r="AD325" s="35">
        <v>2.5578599999999998</v>
      </c>
      <c r="AE325" s="34">
        <v>45369</v>
      </c>
      <c r="AF325" s="35">
        <v>2.5098400000000001</v>
      </c>
      <c r="AG325" s="34">
        <v>45370</v>
      </c>
      <c r="AH325" s="35">
        <v>2.4656600000000002</v>
      </c>
      <c r="AI325" s="36">
        <v>-6.123932000352339E-2</v>
      </c>
      <c r="AK325" s="34">
        <v>45359</v>
      </c>
      <c r="AL325" s="35">
        <v>2.5331999999999999</v>
      </c>
      <c r="AM325" s="34">
        <v>45373</v>
      </c>
      <c r="AN325" s="5">
        <v>2.3950999999999998</v>
      </c>
      <c r="AP325" s="36">
        <v>-5.4516027159324243E-2</v>
      </c>
      <c r="AS325" s="5" t="s">
        <v>12387</v>
      </c>
      <c r="AT325" s="5">
        <v>2.36</v>
      </c>
      <c r="AU325" s="5">
        <v>100</v>
      </c>
      <c r="AV325" s="5" t="s">
        <v>12400</v>
      </c>
      <c r="AW325" s="5" t="s">
        <v>12400</v>
      </c>
      <c r="AX325" s="5" t="s">
        <v>12400</v>
      </c>
      <c r="AZ325" s="49" t="s">
        <v>12408</v>
      </c>
      <c r="BA325" s="50" t="s">
        <v>12408</v>
      </c>
      <c r="BC325" s="51">
        <v>0.26145000000000002</v>
      </c>
    </row>
    <row r="326" spans="1:55" ht="15" customHeight="1" x14ac:dyDescent="0.4">
      <c r="A326" s="27" t="s">
        <v>11255</v>
      </c>
      <c r="B326" s="44" t="s">
        <v>12205</v>
      </c>
      <c r="C326" s="45" t="s">
        <v>11736</v>
      </c>
      <c r="D326" s="46">
        <v>2.0699999999999998</v>
      </c>
      <c r="E326" s="45" t="s">
        <v>12357</v>
      </c>
      <c r="F326" s="45"/>
      <c r="G326" s="9">
        <v>166.45850999999999</v>
      </c>
      <c r="H326" s="9">
        <v>24.869019999999999</v>
      </c>
      <c r="I326" s="9">
        <v>1.4040999999999999</v>
      </c>
      <c r="J326" s="9">
        <v>1004.19808</v>
      </c>
      <c r="K326" s="9">
        <v>1004.19808</v>
      </c>
      <c r="L326" s="9">
        <v>18.254670000000001</v>
      </c>
      <c r="M326" s="9">
        <v>378.11761000000001</v>
      </c>
      <c r="N326" s="10" t="s">
        <v>12471</v>
      </c>
      <c r="P326" s="32">
        <v>45366</v>
      </c>
      <c r="R326" s="35">
        <v>1.0714300000000001</v>
      </c>
      <c r="S326" s="34">
        <v>45365</v>
      </c>
      <c r="T326" s="35">
        <v>1.07178</v>
      </c>
      <c r="U326" s="34">
        <v>45364</v>
      </c>
      <c r="V326" s="35">
        <v>1.07256</v>
      </c>
      <c r="W326" s="34">
        <v>45363</v>
      </c>
      <c r="X326" s="35">
        <v>1.0721700000000001</v>
      </c>
      <c r="Y326" s="34">
        <v>45362</v>
      </c>
      <c r="Z326" s="35">
        <v>1.0752900000000001</v>
      </c>
      <c r="AA326" s="34">
        <v>45367</v>
      </c>
      <c r="AB326" s="35">
        <v>1.0714300000000001</v>
      </c>
      <c r="AC326" s="34">
        <v>45368</v>
      </c>
      <c r="AD326" s="35">
        <v>1.0714300000000001</v>
      </c>
      <c r="AE326" s="34">
        <v>45369</v>
      </c>
      <c r="AF326" s="35">
        <v>1.0698000000000001</v>
      </c>
      <c r="AG326" s="34">
        <v>45370</v>
      </c>
      <c r="AH326" s="35">
        <v>1.0816699999999999</v>
      </c>
      <c r="AI326" s="36">
        <v>-3.2655955513238855E-4</v>
      </c>
      <c r="AK326" s="34">
        <v>45359</v>
      </c>
      <c r="AL326" s="35">
        <v>1.0770599999999999</v>
      </c>
      <c r="AM326" s="34">
        <v>45373</v>
      </c>
      <c r="AN326" s="5">
        <v>1.0701499999999999</v>
      </c>
      <c r="AP326" s="36">
        <v>-6.4156128720777028E-3</v>
      </c>
      <c r="AS326" s="5" t="s">
        <v>12387</v>
      </c>
      <c r="AT326" s="5">
        <v>2.0699999999999998</v>
      </c>
      <c r="AU326" s="5">
        <v>100</v>
      </c>
      <c r="AV326" s="5" t="s">
        <v>12400</v>
      </c>
      <c r="AW326" s="5" t="s">
        <v>12400</v>
      </c>
      <c r="AX326" s="5" t="s">
        <v>12400</v>
      </c>
      <c r="AZ326" s="49" t="s">
        <v>12461</v>
      </c>
      <c r="BA326" s="50" t="s">
        <v>12461</v>
      </c>
      <c r="BC326" s="51">
        <v>1.567E-2</v>
      </c>
    </row>
    <row r="327" spans="1:55" ht="15" customHeight="1" x14ac:dyDescent="0.4">
      <c r="A327" s="27" t="s">
        <v>11256</v>
      </c>
      <c r="B327" s="44" t="s">
        <v>12206</v>
      </c>
      <c r="C327" s="45" t="s">
        <v>11737</v>
      </c>
      <c r="D327" s="46">
        <v>1.87</v>
      </c>
      <c r="E327" s="45" t="s">
        <v>12357</v>
      </c>
      <c r="F327" s="45"/>
      <c r="G327" s="9">
        <v>480.67871000000002</v>
      </c>
      <c r="H327" s="9">
        <v>69.031419999999997</v>
      </c>
      <c r="I327" s="9">
        <v>1.9508000000000001</v>
      </c>
      <c r="J327" s="9">
        <v>4068.2188000000001</v>
      </c>
      <c r="K327" s="9">
        <v>4068.2188000000001</v>
      </c>
      <c r="L327" s="9">
        <v>591.99373000000003</v>
      </c>
      <c r="M327" s="9">
        <v>-807.07591000000002</v>
      </c>
      <c r="N327" s="10" t="s">
        <v>12469</v>
      </c>
      <c r="P327" s="32">
        <v>45366</v>
      </c>
      <c r="R327" s="35">
        <v>3.50604</v>
      </c>
      <c r="S327" s="34">
        <v>45365</v>
      </c>
      <c r="T327" s="35">
        <v>3.4933299999999998</v>
      </c>
      <c r="U327" s="34">
        <v>45364</v>
      </c>
      <c r="V327" s="35">
        <v>3.4940099999999998</v>
      </c>
      <c r="W327" s="34">
        <v>45363</v>
      </c>
      <c r="X327" s="35">
        <v>3.43716</v>
      </c>
      <c r="Y327" s="34">
        <v>45362</v>
      </c>
      <c r="Z327" s="35">
        <v>3.4043399999999999</v>
      </c>
      <c r="AA327" s="34">
        <v>45367</v>
      </c>
      <c r="AB327" s="35">
        <v>3.50604</v>
      </c>
      <c r="AC327" s="34">
        <v>45368</v>
      </c>
      <c r="AD327" s="35">
        <v>3.50604</v>
      </c>
      <c r="AE327" s="34">
        <v>45369</v>
      </c>
      <c r="AF327" s="35">
        <v>3.5165799999999998</v>
      </c>
      <c r="AG327" s="34">
        <v>45370</v>
      </c>
      <c r="AH327" s="35">
        <v>3.5317599999999998</v>
      </c>
      <c r="AI327" s="36">
        <v>3.6383622503457502E-3</v>
      </c>
      <c r="AK327" s="34">
        <v>45359</v>
      </c>
      <c r="AL327" s="35">
        <v>3.4653200000000002</v>
      </c>
      <c r="AM327" s="34">
        <v>45373</v>
      </c>
      <c r="AN327" s="5">
        <v>3.52149</v>
      </c>
      <c r="AP327" s="36">
        <v>1.6209181258873606E-2</v>
      </c>
      <c r="AS327" s="5" t="s">
        <v>12387</v>
      </c>
      <c r="AT327" s="5">
        <v>1.87</v>
      </c>
      <c r="AU327" s="5">
        <v>100</v>
      </c>
      <c r="AV327" s="5" t="s">
        <v>12400</v>
      </c>
      <c r="AW327" s="5" t="s">
        <v>12400</v>
      </c>
      <c r="AX327" s="5" t="s">
        <v>12400</v>
      </c>
      <c r="AZ327" s="49" t="s">
        <v>12408</v>
      </c>
      <c r="BA327" s="50" t="s">
        <v>12408</v>
      </c>
      <c r="BC327" s="51">
        <v>-7.7259999999999995E-2</v>
      </c>
    </row>
    <row r="328" spans="1:55" ht="15" customHeight="1" x14ac:dyDescent="0.4">
      <c r="A328" s="27" t="s">
        <v>11257</v>
      </c>
      <c r="B328" s="44" t="s">
        <v>12207</v>
      </c>
      <c r="C328" s="45" t="s">
        <v>11738</v>
      </c>
      <c r="D328" s="47">
        <v>0.54900000000000004</v>
      </c>
      <c r="E328" s="45" t="s">
        <v>12357</v>
      </c>
      <c r="F328" s="45"/>
      <c r="G328" s="9">
        <v>418.19533000000001</v>
      </c>
      <c r="H328" s="9">
        <v>5.0402199999999997</v>
      </c>
      <c r="I328" s="9">
        <v>10.6775</v>
      </c>
      <c r="J328" s="9">
        <v>65.655760000000001</v>
      </c>
      <c r="K328" s="9">
        <v>65.655760000000001</v>
      </c>
      <c r="L328" s="9">
        <v>28.98705</v>
      </c>
      <c r="M328" s="9">
        <v>-25.374230000000001</v>
      </c>
      <c r="N328" s="10" t="s">
        <v>12474</v>
      </c>
      <c r="P328" s="32">
        <v>45365</v>
      </c>
      <c r="R328" s="35">
        <v>9.2240000000000003E-2</v>
      </c>
      <c r="S328" s="34">
        <v>45364</v>
      </c>
      <c r="T328" s="35">
        <v>9.9349999999999994E-2</v>
      </c>
      <c r="U328" s="34">
        <v>45363</v>
      </c>
      <c r="V328" s="35">
        <v>9.2350000000000002E-2</v>
      </c>
      <c r="W328" s="34">
        <v>45362</v>
      </c>
      <c r="X328" s="35">
        <v>9.5860000000000001E-2</v>
      </c>
      <c r="Y328" s="34">
        <v>45361</v>
      </c>
      <c r="Z328" s="35">
        <v>9.9360000000000004E-2</v>
      </c>
      <c r="AA328" s="34">
        <v>45366</v>
      </c>
      <c r="AB328" s="35">
        <v>9.8519999999999996E-2</v>
      </c>
      <c r="AC328" s="34">
        <v>45367</v>
      </c>
      <c r="AD328" s="35">
        <v>9.8519999999999996E-2</v>
      </c>
      <c r="AE328" s="34">
        <v>45368</v>
      </c>
      <c r="AF328" s="35">
        <v>9.8519999999999996E-2</v>
      </c>
      <c r="AG328" s="34">
        <v>45369</v>
      </c>
      <c r="AH328" s="35">
        <v>9.1770000000000004E-2</v>
      </c>
      <c r="AI328" s="36">
        <v>-8.3543029693003978E-3</v>
      </c>
      <c r="AK328" s="34">
        <v>45358</v>
      </c>
      <c r="AL328" s="35">
        <v>9.9349999999999994E-2</v>
      </c>
      <c r="AM328" s="34">
        <v>45372</v>
      </c>
      <c r="AN328" s="5">
        <v>9.2009999999999995E-2</v>
      </c>
      <c r="AP328" s="36">
        <v>-7.3880221439355798E-2</v>
      </c>
      <c r="AS328" s="5" t="s">
        <v>721</v>
      </c>
      <c r="AT328" s="5" t="s">
        <v>12400</v>
      </c>
      <c r="AU328" s="5" t="s">
        <v>12400</v>
      </c>
      <c r="AV328" s="5" t="s">
        <v>12400</v>
      </c>
      <c r="AW328" s="5" t="s">
        <v>12400</v>
      </c>
      <c r="AX328" s="5">
        <v>100</v>
      </c>
      <c r="AZ328" s="49" t="s">
        <v>12405</v>
      </c>
      <c r="BA328" s="50" t="s">
        <v>12416</v>
      </c>
      <c r="BC328" s="51">
        <v>0.98211999999999999</v>
      </c>
    </row>
    <row r="329" spans="1:55" ht="15" customHeight="1" x14ac:dyDescent="0.4">
      <c r="A329" s="27" t="s">
        <v>11258</v>
      </c>
      <c r="B329" s="44" t="s">
        <v>12208</v>
      </c>
      <c r="C329" s="45" t="s">
        <v>11739</v>
      </c>
      <c r="D329" s="46">
        <v>1050</v>
      </c>
      <c r="E329" s="45" t="s">
        <v>12357</v>
      </c>
      <c r="F329" s="45"/>
      <c r="G329" s="9">
        <v>1550.2563</v>
      </c>
      <c r="H329" s="9">
        <v>14224</v>
      </c>
      <c r="I329" s="9">
        <v>31.049299999999999</v>
      </c>
      <c r="J329" s="9">
        <v>101119</v>
      </c>
      <c r="K329" s="9">
        <v>101119</v>
      </c>
      <c r="L329" s="9">
        <v>5840</v>
      </c>
      <c r="M329" s="9">
        <v>23789</v>
      </c>
      <c r="N329" s="10" t="s">
        <v>12465</v>
      </c>
      <c r="P329" s="32">
        <v>45365</v>
      </c>
      <c r="R329" s="35">
        <v>132.67348999999999</v>
      </c>
      <c r="S329" s="34">
        <v>45364</v>
      </c>
      <c r="T329" s="35">
        <v>133.84183999999999</v>
      </c>
      <c r="U329" s="34">
        <v>45363</v>
      </c>
      <c r="V329" s="35">
        <v>133.3623</v>
      </c>
      <c r="W329" s="34">
        <v>45362</v>
      </c>
      <c r="X329" s="35">
        <v>133.87137999999999</v>
      </c>
      <c r="Y329" s="34">
        <v>45361</v>
      </c>
      <c r="Z329" s="35">
        <v>131.07588999999999</v>
      </c>
      <c r="AA329" s="34">
        <v>45366</v>
      </c>
      <c r="AB329" s="35">
        <v>131.10203000000001</v>
      </c>
      <c r="AC329" s="34">
        <v>45367</v>
      </c>
      <c r="AD329" s="35">
        <v>131.10203000000001</v>
      </c>
      <c r="AE329" s="34">
        <v>45368</v>
      </c>
      <c r="AF329" s="35">
        <v>131.10203000000001</v>
      </c>
      <c r="AG329" s="34">
        <v>45369</v>
      </c>
      <c r="AH329" s="35">
        <v>130.90437</v>
      </c>
      <c r="AI329" s="36">
        <v>-2.0470504589595984E-2</v>
      </c>
      <c r="AK329" s="34">
        <v>45358</v>
      </c>
      <c r="AL329" s="35">
        <v>130.94827000000001</v>
      </c>
      <c r="AM329" s="34">
        <v>45372</v>
      </c>
      <c r="AN329" s="5">
        <v>132.11204000000001</v>
      </c>
      <c r="AP329" s="36">
        <v>8.8872499041032782E-3</v>
      </c>
      <c r="AS329" s="5" t="s">
        <v>12387</v>
      </c>
      <c r="AT329" s="5">
        <v>800</v>
      </c>
      <c r="AU329" s="5">
        <v>100</v>
      </c>
      <c r="AV329" s="5" t="s">
        <v>12400</v>
      </c>
      <c r="AW329" s="5" t="s">
        <v>12400</v>
      </c>
      <c r="AX329" s="5" t="s">
        <v>12400</v>
      </c>
      <c r="AZ329" s="49" t="s">
        <v>12415</v>
      </c>
      <c r="BA329" s="50" t="s">
        <v>12410</v>
      </c>
      <c r="BC329" s="51">
        <v>0.16807</v>
      </c>
    </row>
    <row r="330" spans="1:55" ht="15" customHeight="1" x14ac:dyDescent="0.4">
      <c r="A330" s="27" t="s">
        <v>11259</v>
      </c>
      <c r="B330" s="44" t="s">
        <v>12209</v>
      </c>
      <c r="C330" s="45" t="s">
        <v>11740</v>
      </c>
      <c r="D330" s="46">
        <v>154.76</v>
      </c>
      <c r="E330" s="45" t="s">
        <v>12357</v>
      </c>
      <c r="F330" s="45"/>
      <c r="G330" s="9">
        <v>6.3301400000000001</v>
      </c>
      <c r="H330" s="9">
        <v>7.4870000000000001</v>
      </c>
      <c r="I330" s="9">
        <v>35.109000000000002</v>
      </c>
      <c r="J330" s="9">
        <v>48.161999999999999</v>
      </c>
      <c r="K330" s="9">
        <v>48.161999999999999</v>
      </c>
      <c r="L330" s="9">
        <v>13.69</v>
      </c>
      <c r="M330" s="9">
        <v>1.992</v>
      </c>
      <c r="N330" s="10" t="s">
        <v>12465</v>
      </c>
      <c r="P330" s="32">
        <v>45364</v>
      </c>
      <c r="R330" s="35">
        <v>2.64</v>
      </c>
      <c r="S330" s="34">
        <v>45363</v>
      </c>
      <c r="T330" s="35">
        <v>2.61</v>
      </c>
      <c r="U330" s="34">
        <v>45362</v>
      </c>
      <c r="V330" s="35">
        <v>2.69</v>
      </c>
      <c r="W330" s="34">
        <v>45361</v>
      </c>
      <c r="X330" s="35">
        <v>2.7374999999999998</v>
      </c>
      <c r="Y330" s="34">
        <v>45360</v>
      </c>
      <c r="Z330" s="35">
        <v>2.7374999999999998</v>
      </c>
      <c r="AA330" s="34">
        <v>45365</v>
      </c>
      <c r="AB330" s="35">
        <v>2.6549999999999998</v>
      </c>
      <c r="AC330" s="34">
        <v>45366</v>
      </c>
      <c r="AD330" s="35">
        <v>2.57</v>
      </c>
      <c r="AE330" s="34">
        <v>45367</v>
      </c>
      <c r="AF330" s="35">
        <v>2.57</v>
      </c>
      <c r="AG330" s="34">
        <v>45368</v>
      </c>
      <c r="AH330" s="35">
        <v>2.57</v>
      </c>
      <c r="AI330" s="36">
        <v>1.7241379310344751E-2</v>
      </c>
      <c r="AK330" s="34">
        <v>45357</v>
      </c>
      <c r="AL330" s="35">
        <v>2.7</v>
      </c>
      <c r="AM330" s="34">
        <v>45371</v>
      </c>
      <c r="AN330" s="5">
        <v>2.66</v>
      </c>
      <c r="AP330" s="36">
        <v>-1.4814814814814836E-2</v>
      </c>
      <c r="AS330" s="5" t="s">
        <v>12387</v>
      </c>
      <c r="AT330" s="5">
        <v>145.01</v>
      </c>
      <c r="AU330" s="5">
        <v>100</v>
      </c>
      <c r="AV330" s="5" t="s">
        <v>12400</v>
      </c>
      <c r="AW330" s="5" t="s">
        <v>12400</v>
      </c>
      <c r="AX330" s="5" t="s">
        <v>12400</v>
      </c>
      <c r="AZ330" s="49" t="s">
        <v>12415</v>
      </c>
      <c r="BA330" s="50" t="s">
        <v>12410</v>
      </c>
      <c r="BC330" s="51">
        <v>0.11940000000000001</v>
      </c>
    </row>
    <row r="331" spans="1:55" ht="15" customHeight="1" x14ac:dyDescent="0.4">
      <c r="A331" s="27" t="s">
        <v>11260</v>
      </c>
      <c r="B331" s="44" t="s">
        <v>12210</v>
      </c>
      <c r="C331" s="45" t="s">
        <v>11741</v>
      </c>
      <c r="D331" s="46">
        <v>1.76</v>
      </c>
      <c r="E331" s="45" t="s">
        <v>12357</v>
      </c>
      <c r="F331" s="45"/>
      <c r="G331" s="9">
        <v>59.071649999999998</v>
      </c>
      <c r="H331" s="9">
        <v>723.2</v>
      </c>
      <c r="I331" s="9">
        <v>41.946800000000003</v>
      </c>
      <c r="J331" s="9">
        <v>3954.5120000000002</v>
      </c>
      <c r="K331" s="9">
        <v>3954.5120000000002</v>
      </c>
      <c r="L331" s="9">
        <v>137.58600000000001</v>
      </c>
      <c r="M331" s="9">
        <v>3225.7310000000002</v>
      </c>
      <c r="N331" s="10" t="s">
        <v>12474</v>
      </c>
      <c r="P331" s="32">
        <v>45364</v>
      </c>
      <c r="R331" s="35">
        <v>57.29</v>
      </c>
      <c r="S331" s="34">
        <v>45363</v>
      </c>
      <c r="T331" s="35">
        <v>57.47</v>
      </c>
      <c r="U331" s="34">
        <v>45362</v>
      </c>
      <c r="V331" s="35">
        <v>56.7</v>
      </c>
      <c r="W331" s="34">
        <v>45361</v>
      </c>
      <c r="X331" s="35">
        <v>57.26</v>
      </c>
      <c r="Y331" s="34">
        <v>45360</v>
      </c>
      <c r="Z331" s="35">
        <v>57.26</v>
      </c>
      <c r="AA331" s="34">
        <v>45365</v>
      </c>
      <c r="AB331" s="35">
        <v>55.73</v>
      </c>
      <c r="AC331" s="34">
        <v>45366</v>
      </c>
      <c r="AD331" s="35">
        <v>55.02</v>
      </c>
      <c r="AE331" s="34">
        <v>45367</v>
      </c>
      <c r="AF331" s="35">
        <v>55.02</v>
      </c>
      <c r="AG331" s="34">
        <v>45368</v>
      </c>
      <c r="AH331" s="35">
        <v>55.02</v>
      </c>
      <c r="AI331" s="36">
        <v>-3.0276666086653914E-2</v>
      </c>
      <c r="AK331" s="34">
        <v>45357</v>
      </c>
      <c r="AL331" s="35">
        <v>56.85</v>
      </c>
      <c r="AM331" s="34">
        <v>45371</v>
      </c>
      <c r="AN331" s="5">
        <v>56.47</v>
      </c>
      <c r="AP331" s="36">
        <v>-6.6842568161830096E-3</v>
      </c>
      <c r="AS331" s="5" t="s">
        <v>12388</v>
      </c>
      <c r="AT331" s="5">
        <v>0.32</v>
      </c>
      <c r="AU331" s="5">
        <v>39.79</v>
      </c>
      <c r="AV331" s="5" t="s">
        <v>12400</v>
      </c>
      <c r="AW331" s="5" t="s">
        <v>12400</v>
      </c>
      <c r="AX331" s="5">
        <v>20.420000000000002</v>
      </c>
      <c r="AZ331" s="49" t="s">
        <v>12415</v>
      </c>
      <c r="BA331" s="50" t="s">
        <v>12415</v>
      </c>
      <c r="BC331" s="51">
        <v>1.5216700000000001</v>
      </c>
    </row>
    <row r="332" spans="1:55" ht="15" customHeight="1" x14ac:dyDescent="0.4">
      <c r="A332" s="27" t="s">
        <v>11261</v>
      </c>
      <c r="B332" s="44" t="s">
        <v>12211</v>
      </c>
      <c r="C332" s="45" t="s">
        <v>11742</v>
      </c>
      <c r="D332" s="46">
        <v>152.88999999999999</v>
      </c>
      <c r="E332" s="45" t="s">
        <v>12357</v>
      </c>
      <c r="F332" s="45"/>
      <c r="G332" s="9">
        <v>181.31611000000001</v>
      </c>
      <c r="H332" s="9">
        <v>75.504769999999994</v>
      </c>
      <c r="I332" s="9">
        <v>21.694400000000002</v>
      </c>
      <c r="J332" s="9">
        <v>504.71983999999998</v>
      </c>
      <c r="K332" s="9">
        <v>504.71983999999998</v>
      </c>
      <c r="L332" s="9">
        <v>16.08248</v>
      </c>
      <c r="M332" s="9">
        <v>89.146559999999994</v>
      </c>
      <c r="N332" s="10" t="s">
        <v>12468</v>
      </c>
      <c r="P332" s="32">
        <v>45364</v>
      </c>
      <c r="R332" s="35">
        <v>7.0009300000000003</v>
      </c>
      <c r="S332" s="34">
        <v>45363</v>
      </c>
      <c r="T332" s="35">
        <v>6.8474199999999996</v>
      </c>
      <c r="U332" s="34">
        <v>45362</v>
      </c>
      <c r="V332" s="35">
        <v>6.8288500000000001</v>
      </c>
      <c r="W332" s="34">
        <v>45361</v>
      </c>
      <c r="X332" s="35">
        <v>6.9024900000000002</v>
      </c>
      <c r="Y332" s="34">
        <v>45360</v>
      </c>
      <c r="Z332" s="35">
        <v>6.9024900000000002</v>
      </c>
      <c r="AA332" s="34">
        <v>45365</v>
      </c>
      <c r="AB332" s="35">
        <v>6.9310799999999997</v>
      </c>
      <c r="AC332" s="34">
        <v>45366</v>
      </c>
      <c r="AD332" s="35">
        <v>6.9355099999999998</v>
      </c>
      <c r="AE332" s="34">
        <v>45367</v>
      </c>
      <c r="AF332" s="35">
        <v>6.9355099999999998</v>
      </c>
      <c r="AG332" s="34">
        <v>45368</v>
      </c>
      <c r="AH332" s="35">
        <v>6.9355099999999998</v>
      </c>
      <c r="AI332" s="36">
        <v>1.2217740404415034E-2</v>
      </c>
      <c r="AK332" s="34">
        <v>45357</v>
      </c>
      <c r="AL332" s="35">
        <v>7.0654000000000003</v>
      </c>
      <c r="AM332" s="34">
        <v>45371</v>
      </c>
      <c r="AN332" s="5">
        <v>6.7859699999999998</v>
      </c>
      <c r="AP332" s="36">
        <v>-3.9549070116341678E-2</v>
      </c>
      <c r="AS332" s="5" t="s">
        <v>12387</v>
      </c>
      <c r="AT332" s="5">
        <v>141.94999999999999</v>
      </c>
      <c r="AU332" s="5">
        <v>100</v>
      </c>
      <c r="AV332" s="5" t="s">
        <v>12400</v>
      </c>
      <c r="AW332" s="5" t="s">
        <v>12400</v>
      </c>
      <c r="AX332" s="5" t="s">
        <v>12400</v>
      </c>
      <c r="AZ332" s="49" t="s">
        <v>12410</v>
      </c>
      <c r="BA332" s="50" t="s">
        <v>12410</v>
      </c>
      <c r="BC332" s="51">
        <v>1.2787599999999999</v>
      </c>
    </row>
    <row r="333" spans="1:55" ht="15" customHeight="1" x14ac:dyDescent="0.4">
      <c r="A333" s="27" t="s">
        <v>11262</v>
      </c>
      <c r="B333" s="44" t="s">
        <v>12212</v>
      </c>
      <c r="C333" s="45" t="s">
        <v>11743</v>
      </c>
      <c r="D333" s="46">
        <v>100.34</v>
      </c>
      <c r="E333" s="45" t="s">
        <v>12357</v>
      </c>
      <c r="F333" s="45"/>
      <c r="G333" s="9">
        <v>397.50506000000001</v>
      </c>
      <c r="H333" s="9">
        <v>150.30314999999999</v>
      </c>
      <c r="I333" s="9">
        <v>17.358000000000001</v>
      </c>
      <c r="J333" s="9">
        <v>652.79971999999998</v>
      </c>
      <c r="K333" s="9">
        <v>652.79971999999998</v>
      </c>
      <c r="L333" s="9">
        <v>66.362660000000005</v>
      </c>
      <c r="M333" s="9">
        <v>589.87618999999995</v>
      </c>
      <c r="N333" s="10" t="s">
        <v>12474</v>
      </c>
      <c r="P333" s="32">
        <v>45363</v>
      </c>
      <c r="R333" s="35">
        <v>4.5365700000000002</v>
      </c>
      <c r="S333" s="34">
        <v>45362</v>
      </c>
      <c r="T333" s="35">
        <v>4.7168799999999997</v>
      </c>
      <c r="U333" s="34">
        <v>45361</v>
      </c>
      <c r="V333" s="35">
        <v>4.6280200000000002</v>
      </c>
      <c r="W333" s="34">
        <v>45360</v>
      </c>
      <c r="X333" s="35">
        <v>4.6280200000000002</v>
      </c>
      <c r="Y333" s="34">
        <v>45359</v>
      </c>
      <c r="Z333" s="35">
        <v>4.6280200000000002</v>
      </c>
      <c r="AA333" s="34">
        <v>45364</v>
      </c>
      <c r="AB333" s="35">
        <v>4.6431300000000002</v>
      </c>
      <c r="AC333" s="34">
        <v>45365</v>
      </c>
      <c r="AD333" s="35">
        <v>4.7625700000000002</v>
      </c>
      <c r="AE333" s="34">
        <v>45366</v>
      </c>
      <c r="AF333" s="35">
        <v>4.7147800000000002</v>
      </c>
      <c r="AG333" s="34">
        <v>45367</v>
      </c>
      <c r="AH333" s="35">
        <v>4.7147800000000002</v>
      </c>
      <c r="AI333" s="36">
        <v>-1.5635335221586999E-2</v>
      </c>
      <c r="AK333" s="34">
        <v>45356</v>
      </c>
      <c r="AL333" s="35">
        <v>4.4194500000000003</v>
      </c>
      <c r="AM333" s="34">
        <v>45370</v>
      </c>
      <c r="AN333" s="5">
        <v>4.5263099999999996</v>
      </c>
      <c r="AP333" s="36">
        <v>2.4179479346977395E-2</v>
      </c>
      <c r="AS333" s="5" t="s">
        <v>12388</v>
      </c>
      <c r="AT333" s="5">
        <v>47.95</v>
      </c>
      <c r="AU333" s="5">
        <v>61</v>
      </c>
      <c r="AV333" s="5" t="s">
        <v>12400</v>
      </c>
      <c r="AW333" s="5" t="s">
        <v>12400</v>
      </c>
      <c r="AX333" s="5">
        <v>39</v>
      </c>
      <c r="AZ333" s="49" t="s">
        <v>12415</v>
      </c>
      <c r="BA333" s="50" t="s">
        <v>12438</v>
      </c>
      <c r="BC333" s="51">
        <v>1.11822</v>
      </c>
    </row>
    <row r="334" spans="1:55" ht="15" customHeight="1" x14ac:dyDescent="0.4">
      <c r="A334" s="27" t="s">
        <v>11263</v>
      </c>
      <c r="B334" s="44" t="s">
        <v>12213</v>
      </c>
      <c r="C334" s="45" t="s">
        <v>11744</v>
      </c>
      <c r="D334" s="46">
        <v>45.37</v>
      </c>
      <c r="E334" s="45" t="s">
        <v>12357</v>
      </c>
      <c r="F334" s="45"/>
      <c r="G334" s="9">
        <v>47.422490000000003</v>
      </c>
      <c r="H334" s="9">
        <v>1363.2</v>
      </c>
      <c r="I334" s="9">
        <v>24.189499999999999</v>
      </c>
      <c r="J334" s="9">
        <v>14527.9</v>
      </c>
      <c r="K334" s="9">
        <v>14527.9</v>
      </c>
      <c r="L334" s="9">
        <v>648.29999999999995</v>
      </c>
      <c r="M334" s="9">
        <v>2750.1</v>
      </c>
      <c r="N334" s="10" t="s">
        <v>12468</v>
      </c>
      <c r="P334" s="32">
        <v>45363</v>
      </c>
      <c r="R334" s="35">
        <v>424.87</v>
      </c>
      <c r="S334" s="34">
        <v>45362</v>
      </c>
      <c r="T334" s="35">
        <v>424.9</v>
      </c>
      <c r="U334" s="34">
        <v>45361</v>
      </c>
      <c r="V334" s="35">
        <v>425.98</v>
      </c>
      <c r="W334" s="34">
        <v>45360</v>
      </c>
      <c r="X334" s="35">
        <v>425.98</v>
      </c>
      <c r="Y334" s="34">
        <v>45359</v>
      </c>
      <c r="Z334" s="35">
        <v>425.98</v>
      </c>
      <c r="AA334" s="34">
        <v>45364</v>
      </c>
      <c r="AB334" s="35">
        <v>421.24</v>
      </c>
      <c r="AC334" s="34">
        <v>45365</v>
      </c>
      <c r="AD334" s="35">
        <v>415.56</v>
      </c>
      <c r="AE334" s="34">
        <v>45366</v>
      </c>
      <c r="AF334" s="35">
        <v>415.12</v>
      </c>
      <c r="AG334" s="34">
        <v>45367</v>
      </c>
      <c r="AH334" s="35">
        <v>415.12</v>
      </c>
      <c r="AI334" s="36">
        <v>-8.6137914803482429E-3</v>
      </c>
      <c r="AK334" s="34">
        <v>45356</v>
      </c>
      <c r="AL334" s="35">
        <v>423.21</v>
      </c>
      <c r="AM334" s="34">
        <v>45370</v>
      </c>
      <c r="AN334" s="5">
        <v>421.5</v>
      </c>
      <c r="AP334" s="36">
        <v>-4.0405472460479652E-3</v>
      </c>
      <c r="AS334" s="5" t="s">
        <v>12387</v>
      </c>
      <c r="AT334" s="5">
        <v>40.83</v>
      </c>
      <c r="AU334" s="5">
        <v>100</v>
      </c>
      <c r="AV334" s="5" t="s">
        <v>12400</v>
      </c>
      <c r="AW334" s="5" t="s">
        <v>12400</v>
      </c>
      <c r="AX334" s="5" t="s">
        <v>12400</v>
      </c>
      <c r="AZ334" s="49" t="s">
        <v>12403</v>
      </c>
      <c r="BA334" s="50" t="s">
        <v>12415</v>
      </c>
      <c r="BC334" s="51">
        <v>1.0305200000000001</v>
      </c>
    </row>
    <row r="335" spans="1:55" ht="15" customHeight="1" x14ac:dyDescent="0.4">
      <c r="A335" s="27" t="s">
        <v>11264</v>
      </c>
      <c r="B335" s="44" t="s">
        <v>12214</v>
      </c>
      <c r="C335" s="45" t="s">
        <v>11745</v>
      </c>
      <c r="D335" s="46">
        <v>1042.8699999999999</v>
      </c>
      <c r="E335" s="45" t="s">
        <v>12359</v>
      </c>
      <c r="F335" s="45"/>
      <c r="G335" s="9">
        <v>819.27175999999997</v>
      </c>
      <c r="H335" s="9">
        <v>5579</v>
      </c>
      <c r="I335" s="9">
        <v>8.1713000000000005</v>
      </c>
      <c r="J335" s="9">
        <v>93917</v>
      </c>
      <c r="K335" s="9">
        <v>93917</v>
      </c>
      <c r="L335" s="9">
        <v>7686</v>
      </c>
      <c r="M335" s="9">
        <v>2995</v>
      </c>
      <c r="N335" s="10" t="s">
        <v>12466</v>
      </c>
      <c r="P335" s="32">
        <v>45363</v>
      </c>
      <c r="R335" s="35">
        <v>26.9298</v>
      </c>
      <c r="S335" s="34">
        <v>45362</v>
      </c>
      <c r="T335" s="35">
        <v>26.10097</v>
      </c>
      <c r="U335" s="34">
        <v>45361</v>
      </c>
      <c r="V335" s="35">
        <v>26.13288</v>
      </c>
      <c r="W335" s="34">
        <v>45360</v>
      </c>
      <c r="X335" s="35">
        <v>26.13288</v>
      </c>
      <c r="Y335" s="34">
        <v>45359</v>
      </c>
      <c r="Z335" s="35">
        <v>26.13288</v>
      </c>
      <c r="AA335" s="34">
        <v>45364</v>
      </c>
      <c r="AB335" s="35">
        <v>27.076720000000002</v>
      </c>
      <c r="AC335" s="34">
        <v>45365</v>
      </c>
      <c r="AD335" s="35">
        <v>26.625640000000001</v>
      </c>
      <c r="AE335" s="34">
        <v>45366</v>
      </c>
      <c r="AF335" s="35">
        <v>26.366510000000002</v>
      </c>
      <c r="AG335" s="34">
        <v>45367</v>
      </c>
      <c r="AH335" s="35">
        <v>26.366510000000002</v>
      </c>
      <c r="AI335" s="36">
        <v>3.7383668116548918E-2</v>
      </c>
      <c r="AK335" s="34">
        <v>45356</v>
      </c>
      <c r="AL335" s="35">
        <v>25.369479999999999</v>
      </c>
      <c r="AM335" s="34">
        <v>45370</v>
      </c>
      <c r="AN335" s="5">
        <v>26.482410000000002</v>
      </c>
      <c r="AP335" s="36">
        <v>4.3868853441221489E-2</v>
      </c>
      <c r="AS335" s="5" t="s">
        <v>12387</v>
      </c>
      <c r="AT335" s="5">
        <v>1042.8699999999999</v>
      </c>
      <c r="AU335" s="5">
        <v>100</v>
      </c>
      <c r="AV335" s="5" t="s">
        <v>12400</v>
      </c>
      <c r="AW335" s="5" t="s">
        <v>12400</v>
      </c>
      <c r="AX335" s="5" t="s">
        <v>12400</v>
      </c>
      <c r="AZ335" s="49" t="s">
        <v>12436</v>
      </c>
      <c r="BA335" s="50" t="s">
        <v>12410</v>
      </c>
      <c r="BC335" s="51">
        <v>1.68316</v>
      </c>
    </row>
    <row r="336" spans="1:55" ht="15" customHeight="1" x14ac:dyDescent="0.4">
      <c r="A336" s="27" t="s">
        <v>11109</v>
      </c>
      <c r="B336" s="44" t="s">
        <v>12215</v>
      </c>
      <c r="C336" s="45" t="s">
        <v>11746</v>
      </c>
      <c r="D336" s="46">
        <v>28.71</v>
      </c>
      <c r="E336" s="45" t="s">
        <v>12357</v>
      </c>
      <c r="F336" s="45"/>
      <c r="G336" s="9">
        <v>112.80674</v>
      </c>
      <c r="H336" s="9">
        <v>395.11896999999999</v>
      </c>
      <c r="I336" s="9">
        <v>11.021100000000001</v>
      </c>
      <c r="J336" s="9">
        <v>2544.7088199999998</v>
      </c>
      <c r="K336" s="9">
        <v>2544.7088199999998</v>
      </c>
      <c r="L336" s="9">
        <v>197.94161</v>
      </c>
      <c r="M336" s="9">
        <v>722.21938999999998</v>
      </c>
      <c r="N336" s="10" t="s">
        <v>12467</v>
      </c>
      <c r="P336" s="32">
        <v>45363</v>
      </c>
      <c r="R336" s="35">
        <v>2.7717800000000001</v>
      </c>
      <c r="S336" s="34">
        <v>45362</v>
      </c>
      <c r="T336" s="35">
        <v>2.80938</v>
      </c>
      <c r="U336" s="34">
        <v>45361</v>
      </c>
      <c r="V336" s="35">
        <v>3.03328</v>
      </c>
      <c r="W336" s="34">
        <v>45360</v>
      </c>
      <c r="X336" s="35">
        <v>3.03328</v>
      </c>
      <c r="Y336" s="34">
        <v>45359</v>
      </c>
      <c r="Z336" s="35">
        <v>3.03328</v>
      </c>
      <c r="AA336" s="34">
        <v>45364</v>
      </c>
      <c r="AB336" s="35">
        <v>2.5608900000000001</v>
      </c>
      <c r="AC336" s="34">
        <v>45365</v>
      </c>
      <c r="AD336" s="35">
        <v>2.5522</v>
      </c>
      <c r="AE336" s="34">
        <v>45366</v>
      </c>
      <c r="AF336" s="35">
        <v>2.5885400000000001</v>
      </c>
      <c r="AG336" s="34">
        <v>45367</v>
      </c>
      <c r="AH336" s="35">
        <v>2.5885400000000001</v>
      </c>
      <c r="AI336" s="36">
        <v>-8.8450120667193377E-2</v>
      </c>
      <c r="AK336" s="34">
        <v>45356</v>
      </c>
      <c r="AL336" s="35">
        <v>3.8508</v>
      </c>
      <c r="AM336" s="34">
        <v>45370</v>
      </c>
      <c r="AN336" s="5">
        <v>2.55321</v>
      </c>
      <c r="AP336" s="36">
        <v>-0.336966344655656</v>
      </c>
      <c r="AS336" s="5" t="s">
        <v>12387</v>
      </c>
      <c r="AT336" s="5">
        <v>28.71</v>
      </c>
      <c r="AU336" s="5">
        <v>100</v>
      </c>
      <c r="AV336" s="5" t="s">
        <v>12400</v>
      </c>
      <c r="AW336" s="5" t="s">
        <v>12400</v>
      </c>
      <c r="AX336" s="5" t="s">
        <v>12400</v>
      </c>
      <c r="AZ336" s="49" t="s">
        <v>12447</v>
      </c>
      <c r="BA336" s="50" t="s">
        <v>12418</v>
      </c>
      <c r="BC336" s="51">
        <v>0.71889000000000003</v>
      </c>
    </row>
    <row r="337" spans="1:55" ht="15" customHeight="1" x14ac:dyDescent="0.4">
      <c r="A337" s="27" t="s">
        <v>11265</v>
      </c>
      <c r="B337" s="44" t="s">
        <v>12216</v>
      </c>
      <c r="C337" s="45" t="s">
        <v>11747</v>
      </c>
      <c r="D337" s="46">
        <v>222.6</v>
      </c>
      <c r="E337" s="45" t="s">
        <v>12357</v>
      </c>
      <c r="F337" s="45"/>
      <c r="G337" s="9">
        <v>166.90758</v>
      </c>
      <c r="H337" s="9">
        <v>750.90196000000003</v>
      </c>
      <c r="I337" s="9">
        <v>7.7073</v>
      </c>
      <c r="J337" s="9">
        <v>10114.34951</v>
      </c>
      <c r="K337" s="9">
        <v>10114.34951</v>
      </c>
      <c r="L337" s="9">
        <v>1342.92031</v>
      </c>
      <c r="M337" s="9">
        <v>1487.681</v>
      </c>
      <c r="N337" s="10" t="s">
        <v>12467</v>
      </c>
      <c r="P337" s="32">
        <v>45362</v>
      </c>
      <c r="R337" s="35">
        <v>36.957709999999999</v>
      </c>
      <c r="S337" s="34">
        <v>45361</v>
      </c>
      <c r="T337" s="35">
        <v>36.164619999999999</v>
      </c>
      <c r="U337" s="34">
        <v>45360</v>
      </c>
      <c r="V337" s="35">
        <v>36.164619999999999</v>
      </c>
      <c r="W337" s="34">
        <v>45359</v>
      </c>
      <c r="X337" s="35">
        <v>36.164619999999999</v>
      </c>
      <c r="Y337" s="34">
        <v>45358</v>
      </c>
      <c r="Z337" s="35">
        <v>35.803280000000001</v>
      </c>
      <c r="AA337" s="34">
        <v>45363</v>
      </c>
      <c r="AB337" s="35">
        <v>37.908070000000002</v>
      </c>
      <c r="AC337" s="34">
        <v>45364</v>
      </c>
      <c r="AD337" s="35">
        <v>38.305790000000002</v>
      </c>
      <c r="AE337" s="34">
        <v>45365</v>
      </c>
      <c r="AF337" s="35">
        <v>38.296480000000003</v>
      </c>
      <c r="AG337" s="34">
        <v>45366</v>
      </c>
      <c r="AH337" s="35">
        <v>38.044429999999998</v>
      </c>
      <c r="AI337" s="36">
        <v>4.8208718908148374E-2</v>
      </c>
      <c r="AK337" s="34">
        <v>45355</v>
      </c>
      <c r="AL337" s="35">
        <v>33.865540000000003</v>
      </c>
      <c r="AM337" s="34">
        <v>45369</v>
      </c>
      <c r="AN337" s="5">
        <v>38.07349</v>
      </c>
      <c r="AP337" s="36">
        <v>0.12425462579365321</v>
      </c>
      <c r="AS337" s="5" t="s">
        <v>12387</v>
      </c>
      <c r="AT337" s="5">
        <v>222.6</v>
      </c>
      <c r="AU337" s="5">
        <v>100</v>
      </c>
      <c r="AV337" s="5" t="s">
        <v>12400</v>
      </c>
      <c r="AW337" s="5" t="s">
        <v>12400</v>
      </c>
      <c r="AX337" s="5" t="s">
        <v>12400</v>
      </c>
      <c r="AZ337" s="49" t="s">
        <v>12410</v>
      </c>
      <c r="BA337" s="50" t="s">
        <v>12406</v>
      </c>
      <c r="BC337" s="51">
        <v>0.59318000000000004</v>
      </c>
    </row>
    <row r="338" spans="1:55" ht="15" customHeight="1" x14ac:dyDescent="0.4">
      <c r="A338" s="27" t="s">
        <v>11266</v>
      </c>
      <c r="B338" s="44" t="s">
        <v>12217</v>
      </c>
      <c r="C338" s="45" t="s">
        <v>11748</v>
      </c>
      <c r="D338" s="46">
        <v>270</v>
      </c>
      <c r="E338" s="45" t="s">
        <v>12357</v>
      </c>
      <c r="F338" s="45"/>
      <c r="G338" s="9">
        <v>57.126939999999998</v>
      </c>
      <c r="H338" s="9">
        <v>384.4</v>
      </c>
      <c r="I338" s="9">
        <v>27.628799999999998</v>
      </c>
      <c r="J338" s="9">
        <v>2129.4</v>
      </c>
      <c r="K338" s="9">
        <v>2129.4</v>
      </c>
      <c r="L338" s="9">
        <v>227.2</v>
      </c>
      <c r="M338" s="9">
        <v>467.5</v>
      </c>
      <c r="N338" s="10" t="s">
        <v>12468</v>
      </c>
      <c r="P338" s="32">
        <v>45362</v>
      </c>
      <c r="R338" s="35">
        <v>59.6</v>
      </c>
      <c r="S338" s="34">
        <v>45361</v>
      </c>
      <c r="T338" s="35">
        <v>59.59</v>
      </c>
      <c r="U338" s="34">
        <v>45360</v>
      </c>
      <c r="V338" s="35">
        <v>59.59</v>
      </c>
      <c r="W338" s="34">
        <v>45359</v>
      </c>
      <c r="X338" s="35">
        <v>59.59</v>
      </c>
      <c r="Y338" s="34">
        <v>45358</v>
      </c>
      <c r="Z338" s="35">
        <v>60.23</v>
      </c>
      <c r="AA338" s="34">
        <v>45363</v>
      </c>
      <c r="AB338" s="35">
        <v>60.28</v>
      </c>
      <c r="AC338" s="34">
        <v>45364</v>
      </c>
      <c r="AD338" s="35">
        <v>60.79</v>
      </c>
      <c r="AE338" s="34">
        <v>45365</v>
      </c>
      <c r="AF338" s="35">
        <v>59.89</v>
      </c>
      <c r="AG338" s="34">
        <v>45366</v>
      </c>
      <c r="AH338" s="35">
        <v>60.75</v>
      </c>
      <c r="AI338" s="36">
        <v>1.1579124014096331E-2</v>
      </c>
      <c r="AK338" s="34">
        <v>45355</v>
      </c>
      <c r="AL338" s="35">
        <v>59.52</v>
      </c>
      <c r="AM338" s="34">
        <v>45369</v>
      </c>
      <c r="AN338" s="5">
        <v>60.62</v>
      </c>
      <c r="AP338" s="36">
        <v>1.848118279569877E-2</v>
      </c>
      <c r="AS338" s="5" t="s">
        <v>12387</v>
      </c>
      <c r="AT338" s="5">
        <v>270</v>
      </c>
      <c r="AU338" s="5">
        <v>100</v>
      </c>
      <c r="AV338" s="5" t="s">
        <v>12400</v>
      </c>
      <c r="AW338" s="5" t="s">
        <v>12400</v>
      </c>
      <c r="AX338" s="5" t="s">
        <v>12400</v>
      </c>
      <c r="AZ338" s="49" t="s">
        <v>12403</v>
      </c>
      <c r="BA338" s="50" t="s">
        <v>12415</v>
      </c>
      <c r="BC338" s="51">
        <v>1.2634099999999999</v>
      </c>
    </row>
    <row r="339" spans="1:55" ht="15" customHeight="1" x14ac:dyDescent="0.4">
      <c r="A339" s="27" t="s">
        <v>11259</v>
      </c>
      <c r="B339" s="44" t="s">
        <v>12218</v>
      </c>
      <c r="C339" s="45" t="s">
        <v>11749</v>
      </c>
      <c r="D339" s="46">
        <v>123.48</v>
      </c>
      <c r="E339" s="45" t="s">
        <v>12357</v>
      </c>
      <c r="F339" s="45"/>
      <c r="G339" s="9">
        <v>6.3301400000000001</v>
      </c>
      <c r="H339" s="9">
        <v>7.4870000000000001</v>
      </c>
      <c r="I339" s="9">
        <v>35.109000000000002</v>
      </c>
      <c r="J339" s="9">
        <v>48.161999999999999</v>
      </c>
      <c r="K339" s="9">
        <v>48.161999999999999</v>
      </c>
      <c r="L339" s="9">
        <v>13.69</v>
      </c>
      <c r="M339" s="9">
        <v>1.992</v>
      </c>
      <c r="N339" s="10" t="s">
        <v>12465</v>
      </c>
      <c r="P339" s="32">
        <v>45362</v>
      </c>
      <c r="R339" s="35">
        <v>2.69</v>
      </c>
      <c r="S339" s="34">
        <v>45361</v>
      </c>
      <c r="T339" s="35">
        <v>2.7374999999999998</v>
      </c>
      <c r="U339" s="34">
        <v>45360</v>
      </c>
      <c r="V339" s="35">
        <v>2.7374999999999998</v>
      </c>
      <c r="W339" s="34">
        <v>45359</v>
      </c>
      <c r="X339" s="35">
        <v>2.7374999999999998</v>
      </c>
      <c r="Y339" s="34">
        <v>45358</v>
      </c>
      <c r="Z339" s="35">
        <v>2.6928000000000001</v>
      </c>
      <c r="AA339" s="34">
        <v>45363</v>
      </c>
      <c r="AB339" s="35">
        <v>2.61</v>
      </c>
      <c r="AC339" s="34">
        <v>45364</v>
      </c>
      <c r="AD339" s="35">
        <v>2.64</v>
      </c>
      <c r="AE339" s="34">
        <v>45365</v>
      </c>
      <c r="AF339" s="35">
        <v>2.6549999999999998</v>
      </c>
      <c r="AG339" s="34">
        <v>45366</v>
      </c>
      <c r="AH339" s="35">
        <v>2.57</v>
      </c>
      <c r="AI339" s="36">
        <v>-4.6575342465753455E-2</v>
      </c>
      <c r="AK339" s="34">
        <v>45355</v>
      </c>
      <c r="AL339" s="35">
        <v>2.7</v>
      </c>
      <c r="AM339" s="34">
        <v>45369</v>
      </c>
      <c r="AN339" s="5">
        <v>2.57</v>
      </c>
      <c r="AP339" s="36">
        <v>-4.8148148148148273E-2</v>
      </c>
      <c r="AS339" s="5" t="s">
        <v>12387</v>
      </c>
      <c r="AT339" s="5">
        <v>123.48</v>
      </c>
      <c r="AU339" s="5">
        <v>100</v>
      </c>
      <c r="AV339" s="5" t="s">
        <v>12400</v>
      </c>
      <c r="AW339" s="5" t="s">
        <v>12400</v>
      </c>
      <c r="AX339" s="5" t="s">
        <v>12400</v>
      </c>
      <c r="AZ339" s="49" t="s">
        <v>12413</v>
      </c>
      <c r="BA339" s="50" t="s">
        <v>12413</v>
      </c>
      <c r="BC339" s="51">
        <v>0.11940000000000001</v>
      </c>
    </row>
    <row r="340" spans="1:55" ht="15" customHeight="1" x14ac:dyDescent="0.4">
      <c r="A340" s="27" t="s">
        <v>11267</v>
      </c>
      <c r="B340" s="44" t="s">
        <v>12219</v>
      </c>
      <c r="C340" s="45" t="s">
        <v>11750</v>
      </c>
      <c r="D340" s="46">
        <v>3.91</v>
      </c>
      <c r="E340" s="45" t="s">
        <v>12357</v>
      </c>
      <c r="F340" s="45"/>
      <c r="G340" s="9">
        <v>91.470290000000006</v>
      </c>
      <c r="H340" s="9">
        <v>99.635270000000006</v>
      </c>
      <c r="I340" s="9">
        <v>11.173</v>
      </c>
      <c r="J340" s="9">
        <v>592.64090999999996</v>
      </c>
      <c r="K340" s="9">
        <v>592.64090999999996</v>
      </c>
      <c r="L340" s="9">
        <v>42.359900000000003</v>
      </c>
      <c r="M340" s="9">
        <v>28.93599</v>
      </c>
      <c r="N340" s="10" t="s">
        <v>12467</v>
      </c>
      <c r="P340" s="32">
        <v>45362</v>
      </c>
      <c r="R340" s="35">
        <v>10.64907</v>
      </c>
      <c r="S340" s="34">
        <v>45361</v>
      </c>
      <c r="T340" s="35">
        <v>10.597440000000001</v>
      </c>
      <c r="U340" s="34">
        <v>45360</v>
      </c>
      <c r="V340" s="35">
        <v>10.597440000000001</v>
      </c>
      <c r="W340" s="34">
        <v>45359</v>
      </c>
      <c r="X340" s="35">
        <v>10.597440000000001</v>
      </c>
      <c r="Y340" s="34">
        <v>45358</v>
      </c>
      <c r="Z340" s="35">
        <v>10.57821</v>
      </c>
      <c r="AA340" s="34">
        <v>45363</v>
      </c>
      <c r="AB340" s="35">
        <v>10.52167</v>
      </c>
      <c r="AC340" s="34">
        <v>45364</v>
      </c>
      <c r="AD340" s="35">
        <v>10.501569999999999</v>
      </c>
      <c r="AE340" s="34">
        <v>45365</v>
      </c>
      <c r="AF340" s="35">
        <v>10.42116</v>
      </c>
      <c r="AG340" s="34">
        <v>45366</v>
      </c>
      <c r="AH340" s="35">
        <v>10.366899999999999</v>
      </c>
      <c r="AI340" s="36">
        <v>-7.1498399613492136E-3</v>
      </c>
      <c r="AK340" s="34">
        <v>45355</v>
      </c>
      <c r="AL340" s="35">
        <v>10.64289</v>
      </c>
      <c r="AM340" s="34">
        <v>45369</v>
      </c>
      <c r="AN340" s="5">
        <v>10.285220000000001</v>
      </c>
      <c r="AP340" s="36">
        <v>-3.3606473429679262E-2</v>
      </c>
      <c r="AS340" s="5" t="s">
        <v>12387</v>
      </c>
      <c r="AT340" s="5">
        <v>3.91</v>
      </c>
      <c r="AU340" s="5">
        <v>100</v>
      </c>
      <c r="AV340" s="5" t="s">
        <v>12400</v>
      </c>
      <c r="AW340" s="5" t="s">
        <v>12400</v>
      </c>
      <c r="AX340" s="5" t="s">
        <v>12400</v>
      </c>
      <c r="AZ340" s="49" t="s">
        <v>12409</v>
      </c>
      <c r="BA340" s="50" t="s">
        <v>12409</v>
      </c>
      <c r="BC340" s="51">
        <v>0.74734</v>
      </c>
    </row>
    <row r="341" spans="1:55" ht="15" customHeight="1" x14ac:dyDescent="0.4">
      <c r="A341" s="27" t="s">
        <v>11268</v>
      </c>
      <c r="B341" s="44" t="s">
        <v>12220</v>
      </c>
      <c r="C341" s="45" t="s">
        <v>11751</v>
      </c>
      <c r="D341" s="46">
        <v>1313.49</v>
      </c>
      <c r="E341" s="45" t="s">
        <v>12358</v>
      </c>
      <c r="F341" s="45"/>
      <c r="G341" s="9">
        <v>3132.9052799999999</v>
      </c>
      <c r="H341" s="9">
        <v>1955.34431</v>
      </c>
      <c r="I341" s="9">
        <v>12.0915</v>
      </c>
      <c r="J341" s="9">
        <v>20778.158500000001</v>
      </c>
      <c r="K341" s="9">
        <v>20778.158500000001</v>
      </c>
      <c r="L341" s="9">
        <v>1800.5968800000001</v>
      </c>
      <c r="M341" s="9">
        <v>5219.4097499999998</v>
      </c>
      <c r="N341" s="10" t="s">
        <v>12472</v>
      </c>
      <c r="P341" s="32">
        <v>45360</v>
      </c>
      <c r="R341" s="35">
        <v>1.91659</v>
      </c>
      <c r="S341" s="34">
        <v>45359</v>
      </c>
      <c r="T341" s="35">
        <v>1.91659</v>
      </c>
      <c r="U341" s="34">
        <v>45358</v>
      </c>
      <c r="V341" s="35">
        <v>1.89781</v>
      </c>
      <c r="W341" s="34">
        <v>45357</v>
      </c>
      <c r="X341" s="35">
        <v>1.90178</v>
      </c>
      <c r="Y341" s="34">
        <v>45356</v>
      </c>
      <c r="Z341" s="35">
        <v>1.87351</v>
      </c>
      <c r="AA341" s="34">
        <v>45361</v>
      </c>
      <c r="AB341" s="35">
        <v>1.91659</v>
      </c>
      <c r="AC341" s="34">
        <v>45362</v>
      </c>
      <c r="AD341" s="35">
        <v>1.84406</v>
      </c>
      <c r="AE341" s="34">
        <v>45363</v>
      </c>
      <c r="AF341" s="35">
        <v>1.8380799999999999</v>
      </c>
      <c r="AG341" s="34">
        <v>45364</v>
      </c>
      <c r="AH341" s="35">
        <v>1.7948999999999999</v>
      </c>
      <c r="AI341" s="36">
        <v>0</v>
      </c>
      <c r="AK341" s="34">
        <v>45353</v>
      </c>
      <c r="AL341" s="35">
        <v>1.8079499999999999</v>
      </c>
      <c r="AM341" s="34">
        <v>45367</v>
      </c>
      <c r="AN341" s="5">
        <v>1.82056</v>
      </c>
      <c r="AP341" s="36">
        <v>6.9747504079205047E-3</v>
      </c>
      <c r="AS341" s="5" t="s">
        <v>12387</v>
      </c>
      <c r="AT341" s="5">
        <v>1313.49</v>
      </c>
      <c r="AU341" s="5">
        <v>100</v>
      </c>
      <c r="AV341" s="5" t="s">
        <v>12400</v>
      </c>
      <c r="AW341" s="5" t="s">
        <v>12400</v>
      </c>
      <c r="AX341" s="5" t="s">
        <v>12400</v>
      </c>
      <c r="AZ341" s="49" t="s">
        <v>12416</v>
      </c>
      <c r="BA341" s="50" t="s">
        <v>12416</v>
      </c>
      <c r="BC341" s="51">
        <v>0.94396999999999998</v>
      </c>
    </row>
    <row r="342" spans="1:55" ht="15" customHeight="1" x14ac:dyDescent="0.4">
      <c r="A342" s="27" t="s">
        <v>11269</v>
      </c>
      <c r="B342" s="44" t="s">
        <v>12221</v>
      </c>
      <c r="C342" s="45" t="s">
        <v>11752</v>
      </c>
      <c r="D342" s="46">
        <v>3649.56</v>
      </c>
      <c r="E342" s="45" t="s">
        <v>12357</v>
      </c>
      <c r="F342" s="45"/>
      <c r="G342" s="9">
        <v>9.1223500000000008</v>
      </c>
      <c r="H342" s="9" t="s">
        <v>11415</v>
      </c>
      <c r="I342" s="9" t="s">
        <v>11415</v>
      </c>
      <c r="J342" s="9">
        <v>334946.18414999999</v>
      </c>
      <c r="K342" s="9">
        <v>334946.18414999999</v>
      </c>
      <c r="L342" s="9">
        <v>35398.921249999999</v>
      </c>
      <c r="M342" s="9">
        <v>7916.1887100000004</v>
      </c>
      <c r="N342" s="10" t="s">
        <v>12473</v>
      </c>
      <c r="P342" s="32">
        <v>45358</v>
      </c>
      <c r="R342" s="35">
        <v>172.73809</v>
      </c>
      <c r="S342" s="34">
        <v>45357</v>
      </c>
      <c r="T342" s="35">
        <v>169.54122000000001</v>
      </c>
      <c r="U342" s="34">
        <v>45356</v>
      </c>
      <c r="V342" s="35">
        <v>169.19613000000001</v>
      </c>
      <c r="W342" s="34">
        <v>45355</v>
      </c>
      <c r="X342" s="35">
        <v>168.87388000000001</v>
      </c>
      <c r="Y342" s="34">
        <v>45354</v>
      </c>
      <c r="Z342" s="35">
        <v>168.05024</v>
      </c>
      <c r="AA342" s="34">
        <v>45359</v>
      </c>
      <c r="AB342" s="35">
        <v>170.33695</v>
      </c>
      <c r="AC342" s="34">
        <v>45360</v>
      </c>
      <c r="AD342" s="35">
        <v>170.33695</v>
      </c>
      <c r="AE342" s="34">
        <v>45361</v>
      </c>
      <c r="AF342" s="35">
        <v>170.33695</v>
      </c>
      <c r="AG342" s="34">
        <v>45362</v>
      </c>
      <c r="AH342" s="35">
        <v>170.38176000000001</v>
      </c>
      <c r="AI342" s="36">
        <v>4.6934308954482695E-3</v>
      </c>
      <c r="AK342" s="34">
        <v>45351</v>
      </c>
      <c r="AL342" s="35">
        <v>168.02475999999999</v>
      </c>
      <c r="AM342" s="34">
        <v>45365</v>
      </c>
      <c r="AN342" s="5">
        <v>171.54956000000001</v>
      </c>
      <c r="AP342" s="36">
        <v>2.0977860643871971E-2</v>
      </c>
      <c r="AS342" s="5" t="s">
        <v>12387</v>
      </c>
      <c r="AT342" s="5">
        <v>3649.56</v>
      </c>
      <c r="AU342" s="5">
        <v>100</v>
      </c>
      <c r="AV342" s="5" t="s">
        <v>12400</v>
      </c>
      <c r="AW342" s="5" t="s">
        <v>12400</v>
      </c>
      <c r="AX342" s="5" t="s">
        <v>12400</v>
      </c>
      <c r="AZ342" s="49" t="s">
        <v>12415</v>
      </c>
      <c r="BA342" s="50" t="s">
        <v>12415</v>
      </c>
      <c r="BC342" s="51">
        <v>0.46433999999999997</v>
      </c>
    </row>
    <row r="343" spans="1:55" ht="15" customHeight="1" x14ac:dyDescent="0.4">
      <c r="A343" s="27" t="s">
        <v>11270</v>
      </c>
      <c r="B343" s="44" t="s">
        <v>12222</v>
      </c>
      <c r="C343" s="45" t="s">
        <v>11753</v>
      </c>
      <c r="D343" s="46">
        <v>25.5</v>
      </c>
      <c r="E343" s="45" t="s">
        <v>12357</v>
      </c>
      <c r="F343" s="45"/>
      <c r="G343" s="9">
        <v>13.996499999999999</v>
      </c>
      <c r="H343" s="9">
        <v>31.341000000000001</v>
      </c>
      <c r="I343" s="9">
        <v>10.651400000000001</v>
      </c>
      <c r="J343" s="9">
        <v>285.19</v>
      </c>
      <c r="K343" s="9">
        <v>285.19</v>
      </c>
      <c r="L343" s="9">
        <v>21.021000000000001</v>
      </c>
      <c r="M343" s="9">
        <v>13.903</v>
      </c>
      <c r="N343" s="10" t="s">
        <v>12467</v>
      </c>
      <c r="P343" s="32">
        <v>45357</v>
      </c>
      <c r="R343" s="35">
        <v>15.85</v>
      </c>
      <c r="S343" s="34">
        <v>45356</v>
      </c>
      <c r="T343" s="35">
        <v>15.75</v>
      </c>
      <c r="U343" s="34">
        <v>45355</v>
      </c>
      <c r="V343" s="35">
        <v>15.75</v>
      </c>
      <c r="W343" s="34">
        <v>45354</v>
      </c>
      <c r="X343" s="35">
        <v>15.87</v>
      </c>
      <c r="Y343" s="34">
        <v>45353</v>
      </c>
      <c r="Z343" s="35">
        <v>15.87</v>
      </c>
      <c r="AA343" s="34">
        <v>45358</v>
      </c>
      <c r="AB343" s="35">
        <v>16.100000000000001</v>
      </c>
      <c r="AC343" s="34">
        <v>45359</v>
      </c>
      <c r="AD343" s="35">
        <v>16.8</v>
      </c>
      <c r="AE343" s="34">
        <v>45360</v>
      </c>
      <c r="AF343" s="35">
        <v>16.8</v>
      </c>
      <c r="AG343" s="34">
        <v>45361</v>
      </c>
      <c r="AH343" s="35">
        <v>16.8</v>
      </c>
      <c r="AI343" s="36">
        <v>2.2222222222222365E-2</v>
      </c>
      <c r="AK343" s="34">
        <v>45350</v>
      </c>
      <c r="AL343" s="35">
        <v>15.7</v>
      </c>
      <c r="AM343" s="34">
        <v>45364</v>
      </c>
      <c r="AN343" s="5">
        <v>16.16</v>
      </c>
      <c r="AP343" s="36">
        <v>2.9299363057324834E-2</v>
      </c>
      <c r="AS343" s="5" t="s">
        <v>12387</v>
      </c>
      <c r="AT343" s="5">
        <v>25.5</v>
      </c>
      <c r="AU343" s="5">
        <v>100</v>
      </c>
      <c r="AV343" s="5" t="s">
        <v>12400</v>
      </c>
      <c r="AW343" s="5" t="s">
        <v>12400</v>
      </c>
      <c r="AX343" s="5" t="s">
        <v>12400</v>
      </c>
      <c r="AZ343" s="49" t="s">
        <v>12403</v>
      </c>
      <c r="BA343" s="50" t="s">
        <v>12411</v>
      </c>
      <c r="BC343" s="51">
        <v>0.72363</v>
      </c>
    </row>
    <row r="344" spans="1:55" ht="15" customHeight="1" x14ac:dyDescent="0.4">
      <c r="A344" s="27" t="s">
        <v>11271</v>
      </c>
      <c r="B344" s="44" t="s">
        <v>12223</v>
      </c>
      <c r="C344" s="45" t="s">
        <v>11754</v>
      </c>
      <c r="D344" s="46">
        <v>5.88</v>
      </c>
      <c r="E344" s="45" t="s">
        <v>12357</v>
      </c>
      <c r="F344" s="45"/>
      <c r="G344" s="9">
        <v>23.021650000000001</v>
      </c>
      <c r="H344" s="9">
        <v>10.776120000000001</v>
      </c>
      <c r="I344" s="9">
        <v>8.9202999999999992</v>
      </c>
      <c r="J344" s="9">
        <v>126.0061</v>
      </c>
      <c r="K344" s="9">
        <v>126.0061</v>
      </c>
      <c r="L344" s="9">
        <v>0.27892</v>
      </c>
      <c r="M344" s="9">
        <v>24.02533</v>
      </c>
      <c r="N344" s="10" t="s">
        <v>12467</v>
      </c>
      <c r="P344" s="32">
        <v>45357</v>
      </c>
      <c r="R344" s="35">
        <v>4.1207099999999999</v>
      </c>
      <c r="S344" s="34">
        <v>45356</v>
      </c>
      <c r="T344" s="35">
        <v>3.9261699999999999</v>
      </c>
      <c r="U344" s="34">
        <v>45355</v>
      </c>
      <c r="V344" s="35">
        <v>3.9886699999999999</v>
      </c>
      <c r="W344" s="34">
        <v>45354</v>
      </c>
      <c r="X344" s="35">
        <v>4.0764199999999997</v>
      </c>
      <c r="Y344" s="34">
        <v>45353</v>
      </c>
      <c r="Z344" s="35">
        <v>4.0764199999999997</v>
      </c>
      <c r="AA344" s="34">
        <v>45358</v>
      </c>
      <c r="AB344" s="35">
        <v>4.1208099999999996</v>
      </c>
      <c r="AC344" s="34">
        <v>45359</v>
      </c>
      <c r="AD344" s="35">
        <v>4.0450499999999998</v>
      </c>
      <c r="AE344" s="34">
        <v>45360</v>
      </c>
      <c r="AF344" s="35">
        <v>4.0450499999999998</v>
      </c>
      <c r="AG344" s="34">
        <v>45361</v>
      </c>
      <c r="AH344" s="35">
        <v>4.0450499999999998</v>
      </c>
      <c r="AI344" s="36">
        <v>4.9575031137215175E-2</v>
      </c>
      <c r="AK344" s="34">
        <v>45350</v>
      </c>
      <c r="AL344" s="35">
        <v>4.1676500000000001</v>
      </c>
      <c r="AM344" s="34">
        <v>45364</v>
      </c>
      <c r="AN344" s="5">
        <v>4.1409799999999999</v>
      </c>
      <c r="AP344" s="36">
        <v>-6.3992897676148353E-3</v>
      </c>
      <c r="AS344" s="5" t="s">
        <v>12389</v>
      </c>
      <c r="AT344" s="5">
        <v>4.3600000000000003</v>
      </c>
      <c r="AU344" s="5">
        <v>74.19</v>
      </c>
      <c r="AV344" s="5" t="s">
        <v>12400</v>
      </c>
      <c r="AW344" s="5" t="s">
        <v>12400</v>
      </c>
      <c r="AX344" s="5">
        <v>25.81</v>
      </c>
      <c r="AZ344" s="49" t="s">
        <v>12409</v>
      </c>
      <c r="BA344" s="50" t="s">
        <v>12411</v>
      </c>
      <c r="BC344" s="51">
        <v>0.54847000000000001</v>
      </c>
    </row>
    <row r="345" spans="1:55" ht="15" customHeight="1" x14ac:dyDescent="0.4">
      <c r="A345" s="27" t="s">
        <v>11272</v>
      </c>
      <c r="B345" s="44" t="s">
        <v>12224</v>
      </c>
      <c r="C345" s="45" t="s">
        <v>11755</v>
      </c>
      <c r="D345" s="46">
        <v>14.17</v>
      </c>
      <c r="E345" s="45" t="s">
        <v>12357</v>
      </c>
      <c r="F345" s="45"/>
      <c r="G345" s="9">
        <v>24.511030000000002</v>
      </c>
      <c r="H345" s="9">
        <v>10.87834</v>
      </c>
      <c r="I345" s="9">
        <v>6.9557000000000002</v>
      </c>
      <c r="J345" s="9">
        <v>157.19900000000001</v>
      </c>
      <c r="K345" s="9">
        <v>157.19900000000001</v>
      </c>
      <c r="L345" s="9">
        <v>6.2147800000000002</v>
      </c>
      <c r="M345" s="9">
        <v>34.76296</v>
      </c>
      <c r="N345" s="10" t="s">
        <v>12468</v>
      </c>
      <c r="P345" s="32">
        <v>45357</v>
      </c>
      <c r="R345" s="35">
        <v>3.74654</v>
      </c>
      <c r="S345" s="34">
        <v>45356</v>
      </c>
      <c r="T345" s="35">
        <v>3.5933600000000001</v>
      </c>
      <c r="U345" s="34">
        <v>45355</v>
      </c>
      <c r="V345" s="35">
        <v>3.8051699999999999</v>
      </c>
      <c r="W345" s="34">
        <v>45354</v>
      </c>
      <c r="X345" s="35">
        <v>3.8391999999999999</v>
      </c>
      <c r="Y345" s="34">
        <v>45353</v>
      </c>
      <c r="Z345" s="35">
        <v>3.8391999999999999</v>
      </c>
      <c r="AA345" s="34">
        <v>45358</v>
      </c>
      <c r="AB345" s="35">
        <v>3.67598</v>
      </c>
      <c r="AC345" s="34">
        <v>45359</v>
      </c>
      <c r="AD345" s="35">
        <v>3.6532800000000001</v>
      </c>
      <c r="AE345" s="34">
        <v>45360</v>
      </c>
      <c r="AF345" s="35">
        <v>3.6532800000000001</v>
      </c>
      <c r="AG345" s="34">
        <v>45361</v>
      </c>
      <c r="AH345" s="35">
        <v>3.6532800000000001</v>
      </c>
      <c r="AI345" s="36">
        <v>2.2992408219605132E-2</v>
      </c>
      <c r="AK345" s="34">
        <v>45350</v>
      </c>
      <c r="AL345" s="35">
        <v>3.8582200000000002</v>
      </c>
      <c r="AM345" s="34">
        <v>45364</v>
      </c>
      <c r="AN345" s="5">
        <v>3.6374200000000001</v>
      </c>
      <c r="AP345" s="36">
        <v>-5.7228462866295904E-2</v>
      </c>
      <c r="AS345" s="5" t="s">
        <v>12388</v>
      </c>
      <c r="AT345" s="5">
        <v>8.26</v>
      </c>
      <c r="AU345" s="5">
        <v>75</v>
      </c>
      <c r="AV345" s="5" t="s">
        <v>12400</v>
      </c>
      <c r="AW345" s="5" t="s">
        <v>12400</v>
      </c>
      <c r="AX345" s="5">
        <v>25</v>
      </c>
      <c r="AZ345" s="49" t="s">
        <v>12409</v>
      </c>
      <c r="BA345" s="50" t="s">
        <v>12438</v>
      </c>
      <c r="BC345" s="51">
        <v>0.74421999999999999</v>
      </c>
    </row>
    <row r="346" spans="1:55" ht="15" customHeight="1" x14ac:dyDescent="0.4">
      <c r="A346" s="27" t="s">
        <v>11036</v>
      </c>
      <c r="B346" s="44" t="s">
        <v>11981</v>
      </c>
      <c r="C346" s="45" t="s">
        <v>11756</v>
      </c>
      <c r="D346" s="46">
        <v>200.81</v>
      </c>
      <c r="E346" s="45" t="s">
        <v>12358</v>
      </c>
      <c r="F346" s="45"/>
      <c r="G346" s="9">
        <v>182.77288999999999</v>
      </c>
      <c r="H346" s="9">
        <v>770.77786000000003</v>
      </c>
      <c r="I346" s="9">
        <v>33.126399999999997</v>
      </c>
      <c r="J346" s="9">
        <v>3933.6979700000002</v>
      </c>
      <c r="K346" s="9">
        <v>3933.6979700000002</v>
      </c>
      <c r="L346" s="9">
        <v>232.61180999999999</v>
      </c>
      <c r="M346" s="9">
        <v>-1.2541899999999999</v>
      </c>
      <c r="N346" s="10" t="s">
        <v>12465</v>
      </c>
      <c r="P346" s="32">
        <v>45357</v>
      </c>
      <c r="R346" s="35">
        <v>26.649319999999999</v>
      </c>
      <c r="S346" s="34">
        <v>45356</v>
      </c>
      <c r="T346" s="35">
        <v>26.50543</v>
      </c>
      <c r="U346" s="34">
        <v>45355</v>
      </c>
      <c r="V346" s="35">
        <v>26.36636</v>
      </c>
      <c r="W346" s="34">
        <v>45354</v>
      </c>
      <c r="X346" s="35">
        <v>26.435040000000001</v>
      </c>
      <c r="Y346" s="34">
        <v>45353</v>
      </c>
      <c r="Z346" s="35">
        <v>26.435040000000001</v>
      </c>
      <c r="AA346" s="34">
        <v>45358</v>
      </c>
      <c r="AB346" s="35">
        <v>26.574259999999999</v>
      </c>
      <c r="AC346" s="34">
        <v>45359</v>
      </c>
      <c r="AD346" s="35">
        <v>26.903220000000001</v>
      </c>
      <c r="AE346" s="34">
        <v>45360</v>
      </c>
      <c r="AF346" s="35">
        <v>26.903220000000001</v>
      </c>
      <c r="AG346" s="34">
        <v>45361</v>
      </c>
      <c r="AH346" s="35">
        <v>26.903220000000001</v>
      </c>
      <c r="AI346" s="36">
        <v>2.5968263861404495E-3</v>
      </c>
      <c r="AK346" s="34">
        <v>45350</v>
      </c>
      <c r="AL346" s="35">
        <v>27.059049999999999</v>
      </c>
      <c r="AM346" s="34">
        <v>45364</v>
      </c>
      <c r="AN346" s="5">
        <v>26.511279999999999</v>
      </c>
      <c r="AP346" s="36">
        <v>-2.0243504483712482E-2</v>
      </c>
      <c r="AS346" s="5" t="s">
        <v>12387</v>
      </c>
      <c r="AT346" s="5">
        <v>122.53</v>
      </c>
      <c r="AU346" s="5">
        <v>100</v>
      </c>
      <c r="AV346" s="5" t="s">
        <v>12400</v>
      </c>
      <c r="AW346" s="5" t="s">
        <v>12400</v>
      </c>
      <c r="AX346" s="5" t="s">
        <v>12400</v>
      </c>
      <c r="AZ346" s="49" t="s">
        <v>12448</v>
      </c>
      <c r="BA346" s="50" t="s">
        <v>12406</v>
      </c>
      <c r="BC346" s="51">
        <v>0.23144999999999999</v>
      </c>
    </row>
    <row r="347" spans="1:55" ht="15" customHeight="1" x14ac:dyDescent="0.4">
      <c r="A347" s="27" t="s">
        <v>11273</v>
      </c>
      <c r="B347" s="44" t="s">
        <v>12225</v>
      </c>
      <c r="C347" s="45" t="s">
        <v>11757</v>
      </c>
      <c r="D347" s="47">
        <v>6.8000000000000005E-2</v>
      </c>
      <c r="E347" s="45" t="s">
        <v>12357</v>
      </c>
      <c r="F347" s="45"/>
      <c r="G347" s="9">
        <v>116.99756000000001</v>
      </c>
      <c r="H347" s="9">
        <v>6.1750100000000003</v>
      </c>
      <c r="I347" s="9">
        <v>13.7136</v>
      </c>
      <c r="J347" s="9">
        <v>56.705530000000003</v>
      </c>
      <c r="K347" s="9">
        <v>56.705530000000003</v>
      </c>
      <c r="L347" s="9">
        <v>0.79854999999999998</v>
      </c>
      <c r="M347" s="9">
        <v>28.045739999999999</v>
      </c>
      <c r="N347" s="10" t="s">
        <v>12465</v>
      </c>
      <c r="P347" s="32">
        <v>45357</v>
      </c>
      <c r="R347" s="35">
        <v>0.22944999999999999</v>
      </c>
      <c r="S347" s="34">
        <v>45356</v>
      </c>
      <c r="T347" s="35">
        <v>0.22101000000000001</v>
      </c>
      <c r="U347" s="34">
        <v>45355</v>
      </c>
      <c r="V347" s="35">
        <v>0.28016999999999997</v>
      </c>
      <c r="W347" s="34">
        <v>45354</v>
      </c>
      <c r="X347" s="35">
        <v>0.22123000000000001</v>
      </c>
      <c r="Y347" s="34">
        <v>45353</v>
      </c>
      <c r="Z347" s="35">
        <v>0.22123000000000001</v>
      </c>
      <c r="AA347" s="34">
        <v>45358</v>
      </c>
      <c r="AB347" s="35">
        <v>0.23022000000000001</v>
      </c>
      <c r="AC347" s="34">
        <v>45359</v>
      </c>
      <c r="AD347" s="35">
        <v>0.19669</v>
      </c>
      <c r="AE347" s="34">
        <v>45360</v>
      </c>
      <c r="AF347" s="35">
        <v>0.19669</v>
      </c>
      <c r="AG347" s="34">
        <v>45361</v>
      </c>
      <c r="AH347" s="35">
        <v>0.19669</v>
      </c>
      <c r="AI347" s="36">
        <v>4.1672322519342941E-2</v>
      </c>
      <c r="AK347" s="34">
        <v>45350</v>
      </c>
      <c r="AL347" s="35">
        <v>0.29094999999999999</v>
      </c>
      <c r="AM347" s="34">
        <v>45364</v>
      </c>
      <c r="AN347" s="5">
        <v>0.20043</v>
      </c>
      <c r="AP347" s="36">
        <v>-0.31111874892593228</v>
      </c>
      <c r="AS347" s="5" t="s">
        <v>12387</v>
      </c>
      <c r="AT347" s="5">
        <v>6.8000000000000005E-2</v>
      </c>
      <c r="AU347" s="5">
        <v>100</v>
      </c>
      <c r="AV347" s="5" t="s">
        <v>12400</v>
      </c>
      <c r="AW347" s="5" t="s">
        <v>12400</v>
      </c>
      <c r="AX347" s="5" t="s">
        <v>12400</v>
      </c>
      <c r="AZ347" s="49" t="s">
        <v>12439</v>
      </c>
      <c r="BA347" s="50" t="s">
        <v>12439</v>
      </c>
      <c r="BC347" s="51">
        <v>-0.45306999999999997</v>
      </c>
    </row>
    <row r="348" spans="1:55" ht="15" customHeight="1" x14ac:dyDescent="0.4">
      <c r="A348" s="27" t="s">
        <v>10986</v>
      </c>
      <c r="B348" s="44" t="s">
        <v>11931</v>
      </c>
      <c r="C348" s="45" t="s">
        <v>11758</v>
      </c>
      <c r="D348" s="46">
        <v>5.12</v>
      </c>
      <c r="E348" s="45" t="s">
        <v>12357</v>
      </c>
      <c r="F348" s="45"/>
      <c r="G348" s="9">
        <v>11.152850000000001</v>
      </c>
      <c r="H348" s="9">
        <v>93.511660000000006</v>
      </c>
      <c r="I348" s="9">
        <v>11.0646</v>
      </c>
      <c r="J348" s="9">
        <v>571.23909000000003</v>
      </c>
      <c r="K348" s="9">
        <v>571.23909000000003</v>
      </c>
      <c r="L348" s="9">
        <v>85.332149999999999</v>
      </c>
      <c r="M348" s="9">
        <v>-78.257990000000007</v>
      </c>
      <c r="N348" s="10" t="s">
        <v>12467</v>
      </c>
      <c r="P348" s="32">
        <v>45357</v>
      </c>
      <c r="R348" s="35">
        <v>62.80538</v>
      </c>
      <c r="S348" s="34">
        <v>45356</v>
      </c>
      <c r="T348" s="35">
        <v>62.139919999999996</v>
      </c>
      <c r="U348" s="34">
        <v>45355</v>
      </c>
      <c r="V348" s="35">
        <v>61.962910000000001</v>
      </c>
      <c r="W348" s="34">
        <v>45354</v>
      </c>
      <c r="X348" s="35">
        <v>60.443100000000001</v>
      </c>
      <c r="Y348" s="34">
        <v>45353</v>
      </c>
      <c r="Z348" s="35">
        <v>60.443100000000001</v>
      </c>
      <c r="AA348" s="34">
        <v>45358</v>
      </c>
      <c r="AB348" s="35">
        <v>63.208970000000001</v>
      </c>
      <c r="AC348" s="34">
        <v>45359</v>
      </c>
      <c r="AD348" s="35">
        <v>62.730960000000003</v>
      </c>
      <c r="AE348" s="34">
        <v>45360</v>
      </c>
      <c r="AF348" s="35">
        <v>62.730960000000003</v>
      </c>
      <c r="AG348" s="34">
        <v>45361</v>
      </c>
      <c r="AH348" s="35">
        <v>62.730960000000003</v>
      </c>
      <c r="AI348" s="36">
        <v>1.720391658051712E-2</v>
      </c>
      <c r="AK348" s="34">
        <v>45350</v>
      </c>
      <c r="AL348" s="35">
        <v>63.766669999999998</v>
      </c>
      <c r="AM348" s="34">
        <v>45364</v>
      </c>
      <c r="AN348" s="5">
        <v>61.40981</v>
      </c>
      <c r="AP348" s="36">
        <v>-3.6960688083602311E-2</v>
      </c>
      <c r="AS348" s="5" t="s">
        <v>12387</v>
      </c>
      <c r="AT348" s="5">
        <v>5.12</v>
      </c>
      <c r="AU348" s="5">
        <v>100</v>
      </c>
      <c r="AV348" s="5" t="s">
        <v>12400</v>
      </c>
      <c r="AW348" s="5" t="s">
        <v>12400</v>
      </c>
      <c r="AX348" s="5" t="s">
        <v>12400</v>
      </c>
      <c r="AZ348" s="49" t="s">
        <v>12412</v>
      </c>
      <c r="BA348" s="50" t="s">
        <v>12410</v>
      </c>
      <c r="BC348" s="51">
        <v>1.40316</v>
      </c>
    </row>
    <row r="349" spans="1:55" ht="15" customHeight="1" x14ac:dyDescent="0.4">
      <c r="A349" s="27" t="s">
        <v>11274</v>
      </c>
      <c r="B349" s="44" t="s">
        <v>12226</v>
      </c>
      <c r="C349" s="45" t="s">
        <v>11759</v>
      </c>
      <c r="D349" s="46">
        <v>7.01</v>
      </c>
      <c r="E349" s="45" t="s">
        <v>12357</v>
      </c>
      <c r="F349" s="45"/>
      <c r="G349" s="9">
        <v>343.53546999999998</v>
      </c>
      <c r="H349" s="9">
        <v>296.53028999999998</v>
      </c>
      <c r="I349" s="9">
        <v>15.650399999999999</v>
      </c>
      <c r="J349" s="9">
        <v>2385.48938</v>
      </c>
      <c r="K349" s="9">
        <v>2385.48938</v>
      </c>
      <c r="L349" s="9">
        <v>161.63958</v>
      </c>
      <c r="M349" s="9">
        <v>216.41107</v>
      </c>
      <c r="N349" s="10" t="s">
        <v>12466</v>
      </c>
      <c r="P349" s="32">
        <v>45357</v>
      </c>
      <c r="R349" s="35">
        <v>5.0352499999999996</v>
      </c>
      <c r="S349" s="34">
        <v>45356</v>
      </c>
      <c r="T349" s="35">
        <v>4.8341799999999999</v>
      </c>
      <c r="U349" s="34">
        <v>45355</v>
      </c>
      <c r="V349" s="35">
        <v>4.8122699999999998</v>
      </c>
      <c r="W349" s="34">
        <v>45354</v>
      </c>
      <c r="X349" s="35">
        <v>4.7193100000000001</v>
      </c>
      <c r="Y349" s="34">
        <v>45353</v>
      </c>
      <c r="Z349" s="35">
        <v>4.7193100000000001</v>
      </c>
      <c r="AA349" s="34">
        <v>45358</v>
      </c>
      <c r="AB349" s="35">
        <v>5.0733800000000002</v>
      </c>
      <c r="AC349" s="34">
        <v>45359</v>
      </c>
      <c r="AD349" s="35">
        <v>5.0843999999999996</v>
      </c>
      <c r="AE349" s="34">
        <v>45360</v>
      </c>
      <c r="AF349" s="35">
        <v>5.0843999999999996</v>
      </c>
      <c r="AG349" s="34">
        <v>45361</v>
      </c>
      <c r="AH349" s="35">
        <v>5.0843999999999996</v>
      </c>
      <c r="AI349" s="36">
        <v>4.9480987468402127E-2</v>
      </c>
      <c r="AK349" s="34">
        <v>45350</v>
      </c>
      <c r="AL349" s="35">
        <v>4.6313300000000002</v>
      </c>
      <c r="AM349" s="34">
        <v>45364</v>
      </c>
      <c r="AN349" s="5">
        <v>4.99763</v>
      </c>
      <c r="AP349" s="36">
        <v>7.9091751181626035E-2</v>
      </c>
      <c r="AS349" s="5" t="s">
        <v>12394</v>
      </c>
      <c r="AT349" s="5" t="s">
        <v>12400</v>
      </c>
      <c r="AU349" s="5" t="s">
        <v>12400</v>
      </c>
      <c r="AV349" s="5" t="s">
        <v>12400</v>
      </c>
      <c r="AW349" s="5" t="s">
        <v>12400</v>
      </c>
      <c r="AX349" s="5" t="s">
        <v>12400</v>
      </c>
      <c r="AZ349" s="49" t="s">
        <v>12415</v>
      </c>
      <c r="BA349" s="50" t="s">
        <v>12415</v>
      </c>
      <c r="BC349" s="51">
        <v>1.10442</v>
      </c>
    </row>
    <row r="350" spans="1:55" ht="15" customHeight="1" x14ac:dyDescent="0.4">
      <c r="A350" s="27" t="s">
        <v>11275</v>
      </c>
      <c r="B350" s="44" t="s">
        <v>12227</v>
      </c>
      <c r="C350" s="45" t="s">
        <v>11760</v>
      </c>
      <c r="D350" s="46">
        <v>1270.4000000000001</v>
      </c>
      <c r="E350" s="45" t="s">
        <v>12357</v>
      </c>
      <c r="F350" s="45"/>
      <c r="G350" s="9">
        <v>274.16392000000002</v>
      </c>
      <c r="H350" s="9">
        <v>1419.63</v>
      </c>
      <c r="I350" s="9">
        <v>34.709800000000001</v>
      </c>
      <c r="J350" s="9">
        <v>5669.491</v>
      </c>
      <c r="K350" s="9">
        <v>5669.491</v>
      </c>
      <c r="L350" s="9">
        <v>1008.152</v>
      </c>
      <c r="M350" s="9">
        <v>-332.47800000000001</v>
      </c>
      <c r="N350" s="10" t="s">
        <v>12468</v>
      </c>
      <c r="P350" s="32">
        <v>45356</v>
      </c>
      <c r="R350" s="35">
        <v>307.7</v>
      </c>
      <c r="S350" s="34">
        <v>45355</v>
      </c>
      <c r="T350" s="35">
        <v>317.31</v>
      </c>
      <c r="U350" s="34">
        <v>45354</v>
      </c>
      <c r="V350" s="35">
        <v>315.24</v>
      </c>
      <c r="W350" s="34">
        <v>45353</v>
      </c>
      <c r="X350" s="35">
        <v>315.24</v>
      </c>
      <c r="Y350" s="34">
        <v>45352</v>
      </c>
      <c r="Z350" s="35">
        <v>315.24</v>
      </c>
      <c r="AA350" s="34">
        <v>45357</v>
      </c>
      <c r="AB350" s="35">
        <v>312.64999999999998</v>
      </c>
      <c r="AC350" s="34">
        <v>45358</v>
      </c>
      <c r="AD350" s="35">
        <v>318.04000000000002</v>
      </c>
      <c r="AE350" s="34">
        <v>45359</v>
      </c>
      <c r="AF350" s="35">
        <v>308.60000000000002</v>
      </c>
      <c r="AG350" s="34">
        <v>45360</v>
      </c>
      <c r="AH350" s="35">
        <v>308.60000000000002</v>
      </c>
      <c r="AI350" s="36">
        <v>-1.4685953799123963E-2</v>
      </c>
      <c r="AK350" s="34">
        <v>45349</v>
      </c>
      <c r="AL350" s="35">
        <v>300.01</v>
      </c>
      <c r="AM350" s="34">
        <v>45363</v>
      </c>
      <c r="AN350" s="5">
        <v>311.27999999999997</v>
      </c>
      <c r="AP350" s="36">
        <v>3.7565414486183668E-2</v>
      </c>
      <c r="AS350" s="5" t="s">
        <v>12389</v>
      </c>
      <c r="AT350" s="5">
        <v>636.20000000000005</v>
      </c>
      <c r="AU350" s="5">
        <v>53.54</v>
      </c>
      <c r="AV350" s="5" t="s">
        <v>12400</v>
      </c>
      <c r="AW350" s="5" t="s">
        <v>12400</v>
      </c>
      <c r="AX350" s="5">
        <v>46.46</v>
      </c>
      <c r="AZ350" s="49" t="s">
        <v>12403</v>
      </c>
      <c r="BA350" s="50" t="s">
        <v>12412</v>
      </c>
      <c r="BC350" s="51">
        <v>1.0505599999999999</v>
      </c>
    </row>
    <row r="351" spans="1:55" ht="15" customHeight="1" x14ac:dyDescent="0.4">
      <c r="A351" s="27" t="s">
        <v>11276</v>
      </c>
      <c r="B351" s="44" t="s">
        <v>12228</v>
      </c>
      <c r="C351" s="45" t="s">
        <v>11761</v>
      </c>
      <c r="D351" s="46">
        <v>11</v>
      </c>
      <c r="E351" s="45" t="s">
        <v>12357</v>
      </c>
      <c r="F351" s="45"/>
      <c r="G351" s="9">
        <v>12.32281</v>
      </c>
      <c r="H351" s="9">
        <v>124.1</v>
      </c>
      <c r="I351" s="9">
        <v>7.4771999999999998</v>
      </c>
      <c r="J351" s="9">
        <v>1340.7</v>
      </c>
      <c r="K351" s="9">
        <v>1340.7</v>
      </c>
      <c r="L351" s="9">
        <v>54.8</v>
      </c>
      <c r="M351" s="9">
        <v>633</v>
      </c>
      <c r="N351" s="10" t="s">
        <v>12467</v>
      </c>
      <c r="P351" s="32">
        <v>45356</v>
      </c>
      <c r="R351" s="35">
        <v>25.86</v>
      </c>
      <c r="S351" s="34">
        <v>45355</v>
      </c>
      <c r="T351" s="35">
        <v>26.51</v>
      </c>
      <c r="U351" s="34">
        <v>45354</v>
      </c>
      <c r="V351" s="35">
        <v>26.49</v>
      </c>
      <c r="W351" s="34">
        <v>45353</v>
      </c>
      <c r="X351" s="35">
        <v>26.49</v>
      </c>
      <c r="Y351" s="34">
        <v>45352</v>
      </c>
      <c r="Z351" s="35">
        <v>26.49</v>
      </c>
      <c r="AA351" s="34">
        <v>45357</v>
      </c>
      <c r="AB351" s="35">
        <v>24.07</v>
      </c>
      <c r="AC351" s="34">
        <v>45358</v>
      </c>
      <c r="AD351" s="35">
        <v>23.56</v>
      </c>
      <c r="AE351" s="34">
        <v>45359</v>
      </c>
      <c r="AF351" s="35">
        <v>23.7</v>
      </c>
      <c r="AG351" s="34">
        <v>45360</v>
      </c>
      <c r="AH351" s="35">
        <v>23.7</v>
      </c>
      <c r="AI351" s="36">
        <v>-9.2040739343643985E-2</v>
      </c>
      <c r="AK351" s="34">
        <v>45349</v>
      </c>
      <c r="AL351" s="35">
        <v>26.36</v>
      </c>
      <c r="AM351" s="34">
        <v>45363</v>
      </c>
      <c r="AN351" s="5">
        <v>24.21</v>
      </c>
      <c r="AP351" s="36">
        <v>-8.1562974203338356E-2</v>
      </c>
      <c r="AS351" s="5" t="s">
        <v>12387</v>
      </c>
      <c r="AT351" s="5" t="s">
        <v>12400</v>
      </c>
      <c r="AU351" s="5" t="s">
        <v>12400</v>
      </c>
      <c r="AV351" s="5" t="s">
        <v>12400</v>
      </c>
      <c r="AW351" s="5" t="s">
        <v>12400</v>
      </c>
      <c r="AX351" s="5" t="s">
        <v>12400</v>
      </c>
      <c r="AZ351" s="49" t="s">
        <v>12403</v>
      </c>
      <c r="BA351" s="50" t="s">
        <v>12406</v>
      </c>
      <c r="BC351" s="51">
        <v>1.1771499999999999</v>
      </c>
    </row>
    <row r="352" spans="1:55" ht="15" customHeight="1" x14ac:dyDescent="0.4">
      <c r="A352" s="27" t="s">
        <v>11277</v>
      </c>
      <c r="B352" s="44" t="s">
        <v>12229</v>
      </c>
      <c r="C352" s="45" t="s">
        <v>11762</v>
      </c>
      <c r="D352" s="46">
        <v>3.78</v>
      </c>
      <c r="E352" s="45" t="s">
        <v>12358</v>
      </c>
      <c r="F352" s="45"/>
      <c r="G352" s="9">
        <v>348.65508</v>
      </c>
      <c r="H352" s="9">
        <v>8.1846800000000002</v>
      </c>
      <c r="I352" s="9">
        <v>24.113</v>
      </c>
      <c r="J352" s="9">
        <v>39.015180000000001</v>
      </c>
      <c r="K352" s="9">
        <v>39.015180000000001</v>
      </c>
      <c r="L352" s="9">
        <v>6.6158900000000003</v>
      </c>
      <c r="M352" s="9">
        <v>4.7134600000000004</v>
      </c>
      <c r="N352" s="10" t="s">
        <v>12467</v>
      </c>
      <c r="P352" s="32">
        <v>45356</v>
      </c>
      <c r="R352" s="35">
        <v>0.31252000000000002</v>
      </c>
      <c r="S352" s="34">
        <v>45355</v>
      </c>
      <c r="T352" s="35">
        <v>0.27056999999999998</v>
      </c>
      <c r="U352" s="34">
        <v>45354</v>
      </c>
      <c r="V352" s="35">
        <v>0.26751999999999998</v>
      </c>
      <c r="W352" s="34">
        <v>45353</v>
      </c>
      <c r="X352" s="35">
        <v>0.26751999999999998</v>
      </c>
      <c r="Y352" s="34">
        <v>45352</v>
      </c>
      <c r="Z352" s="35">
        <v>0.26751999999999998</v>
      </c>
      <c r="AA352" s="34">
        <v>45357</v>
      </c>
      <c r="AB352" s="35">
        <v>0.31547999999999998</v>
      </c>
      <c r="AC352" s="34">
        <v>45358</v>
      </c>
      <c r="AD352" s="35">
        <v>0.31130000000000002</v>
      </c>
      <c r="AE352" s="34">
        <v>45359</v>
      </c>
      <c r="AF352" s="35">
        <v>0.3014</v>
      </c>
      <c r="AG352" s="34">
        <v>45360</v>
      </c>
      <c r="AH352" s="35">
        <v>0.3014</v>
      </c>
      <c r="AI352" s="36">
        <v>0.16598292493624567</v>
      </c>
      <c r="AK352" s="34">
        <v>45349</v>
      </c>
      <c r="AL352" s="35">
        <v>0.26851999999999998</v>
      </c>
      <c r="AM352" s="34">
        <v>45363</v>
      </c>
      <c r="AN352" s="5">
        <v>0.28695999999999999</v>
      </c>
      <c r="AP352" s="36">
        <v>6.867272456427842E-2</v>
      </c>
      <c r="AS352" s="5" t="s">
        <v>12387</v>
      </c>
      <c r="AT352" s="5">
        <v>3.78</v>
      </c>
      <c r="AU352" s="5">
        <v>100</v>
      </c>
      <c r="AV352" s="5" t="s">
        <v>12400</v>
      </c>
      <c r="AW352" s="5" t="s">
        <v>12400</v>
      </c>
      <c r="AX352" s="5" t="s">
        <v>12400</v>
      </c>
      <c r="AZ352" s="49" t="s">
        <v>12405</v>
      </c>
      <c r="BA352" s="50" t="s">
        <v>12415</v>
      </c>
      <c r="BC352" s="51">
        <v>0.42535000000000001</v>
      </c>
    </row>
    <row r="353" spans="1:55" ht="15" customHeight="1" x14ac:dyDescent="0.4">
      <c r="A353" s="27" t="s">
        <v>11278</v>
      </c>
      <c r="B353" s="44" t="s">
        <v>12230</v>
      </c>
      <c r="C353" s="45" t="s">
        <v>11763</v>
      </c>
      <c r="D353" s="46">
        <v>79.989999999999995</v>
      </c>
      <c r="E353" s="45" t="s">
        <v>12358</v>
      </c>
      <c r="F353" s="45"/>
      <c r="G353" s="9">
        <v>5.2616399999999999</v>
      </c>
      <c r="H353" s="9">
        <v>6.5953600000000003</v>
      </c>
      <c r="I353" s="9">
        <v>7.9753999999999996</v>
      </c>
      <c r="J353" s="9">
        <v>61.789169999999999</v>
      </c>
      <c r="K353" s="9">
        <v>61.789169999999999</v>
      </c>
      <c r="L353" s="9">
        <v>17.822749999999999</v>
      </c>
      <c r="M353" s="9">
        <v>-15.7209</v>
      </c>
      <c r="N353" s="10" t="s">
        <v>12474</v>
      </c>
      <c r="P353" s="32">
        <v>45356</v>
      </c>
      <c r="R353" s="35">
        <v>3.3637999999999999</v>
      </c>
      <c r="S353" s="34">
        <v>45355</v>
      </c>
      <c r="T353" s="35">
        <v>3.3226599999999999</v>
      </c>
      <c r="U353" s="34">
        <v>45354</v>
      </c>
      <c r="V353" s="35">
        <v>3.4009100000000001</v>
      </c>
      <c r="W353" s="34">
        <v>45353</v>
      </c>
      <c r="X353" s="35">
        <v>3.4009100000000001</v>
      </c>
      <c r="Y353" s="34">
        <v>45352</v>
      </c>
      <c r="Z353" s="35">
        <v>3.4009100000000001</v>
      </c>
      <c r="AA353" s="34">
        <v>45357</v>
      </c>
      <c r="AB353" s="35">
        <v>3.3736999999999999</v>
      </c>
      <c r="AC353" s="34">
        <v>45358</v>
      </c>
      <c r="AD353" s="35">
        <v>3.4531700000000001</v>
      </c>
      <c r="AE353" s="34">
        <v>45359</v>
      </c>
      <c r="AF353" s="35">
        <v>3.4093300000000002</v>
      </c>
      <c r="AG353" s="34">
        <v>45360</v>
      </c>
      <c r="AH353" s="35">
        <v>3.4093300000000002</v>
      </c>
      <c r="AI353" s="36">
        <v>1.5361186519234682E-2</v>
      </c>
      <c r="AK353" s="34">
        <v>45349</v>
      </c>
      <c r="AL353" s="35">
        <v>3.7963200000000001</v>
      </c>
      <c r="AM353" s="34">
        <v>45363</v>
      </c>
      <c r="AN353" s="5">
        <v>3.4387099999999999</v>
      </c>
      <c r="AP353" s="36">
        <v>-9.4199119146963439E-2</v>
      </c>
      <c r="AS353" s="5" t="s">
        <v>12387</v>
      </c>
      <c r="AT353" s="5">
        <v>79.989999999999995</v>
      </c>
      <c r="AU353" s="5">
        <v>100</v>
      </c>
      <c r="AV353" s="5" t="s">
        <v>12400</v>
      </c>
      <c r="AW353" s="5" t="s">
        <v>12400</v>
      </c>
      <c r="AX353" s="5" t="s">
        <v>12400</v>
      </c>
      <c r="AZ353" s="49" t="s">
        <v>12462</v>
      </c>
      <c r="BA353" s="50" t="s">
        <v>12416</v>
      </c>
      <c r="BC353" s="51">
        <v>6.6769999999999996E-2</v>
      </c>
    </row>
    <row r="354" spans="1:55" ht="15" customHeight="1" x14ac:dyDescent="0.4">
      <c r="A354" s="27" t="s">
        <v>11279</v>
      </c>
      <c r="B354" s="44" t="s">
        <v>12231</v>
      </c>
      <c r="C354" s="45" t="s">
        <v>11764</v>
      </c>
      <c r="D354" s="46">
        <v>26.41</v>
      </c>
      <c r="E354" s="45" t="s">
        <v>12358</v>
      </c>
      <c r="F354" s="45"/>
      <c r="G354" s="9">
        <v>1.39E-3</v>
      </c>
      <c r="H354" s="9">
        <v>-1.3740000000000001</v>
      </c>
      <c r="I354" s="9">
        <v>-105.6923</v>
      </c>
      <c r="J354" s="9">
        <v>0.38100000000000001</v>
      </c>
      <c r="K354" s="9">
        <v>0.38100000000000001</v>
      </c>
      <c r="L354" s="9">
        <v>4.4999999999999998E-2</v>
      </c>
      <c r="M354" s="9">
        <v>3.294</v>
      </c>
      <c r="N354" s="10" t="s">
        <v>12468</v>
      </c>
      <c r="P354" s="32">
        <v>45355</v>
      </c>
      <c r="R354" s="35">
        <v>14.99925</v>
      </c>
      <c r="S354" s="34">
        <v>45354</v>
      </c>
      <c r="T354" s="35">
        <v>14.99925</v>
      </c>
      <c r="U354" s="34">
        <v>45353</v>
      </c>
      <c r="V354" s="35">
        <v>14.99925</v>
      </c>
      <c r="W354" s="34">
        <v>45352</v>
      </c>
      <c r="X354" s="35">
        <v>14.99925</v>
      </c>
      <c r="Y354" s="34">
        <v>45351</v>
      </c>
      <c r="Z354" s="35">
        <v>14.99925</v>
      </c>
      <c r="AA354" s="34">
        <v>45356</v>
      </c>
      <c r="AB354" s="35">
        <v>14.99925</v>
      </c>
      <c r="AC354" s="34">
        <v>45357</v>
      </c>
      <c r="AD354" s="35">
        <v>14.99925</v>
      </c>
      <c r="AE354" s="34">
        <v>45358</v>
      </c>
      <c r="AF354" s="35">
        <v>14.99925</v>
      </c>
      <c r="AG354" s="34">
        <v>45359</v>
      </c>
      <c r="AH354" s="35">
        <v>14.99925</v>
      </c>
      <c r="AI354" s="36">
        <v>0</v>
      </c>
      <c r="AK354" s="34">
        <v>45348</v>
      </c>
      <c r="AL354" s="35">
        <v>14.99925</v>
      </c>
      <c r="AM354" s="34">
        <v>45362</v>
      </c>
      <c r="AN354" s="5">
        <v>14.99925</v>
      </c>
      <c r="AP354" s="36">
        <v>0</v>
      </c>
      <c r="AS354" s="5" t="s">
        <v>12387</v>
      </c>
      <c r="AT354" s="5">
        <v>26.41</v>
      </c>
      <c r="AU354" s="5">
        <v>100</v>
      </c>
      <c r="AV354" s="5" t="s">
        <v>12400</v>
      </c>
      <c r="AW354" s="5" t="s">
        <v>12400</v>
      </c>
      <c r="AX354" s="5" t="s">
        <v>12400</v>
      </c>
      <c r="AZ354" s="49" t="s">
        <v>12412</v>
      </c>
      <c r="BA354" s="50" t="s">
        <v>12415</v>
      </c>
      <c r="BC354" s="51">
        <v>21.365279999999998</v>
      </c>
    </row>
    <row r="355" spans="1:55" ht="15" customHeight="1" x14ac:dyDescent="0.4">
      <c r="A355" s="27" t="s">
        <v>11161</v>
      </c>
      <c r="B355" s="44" t="s">
        <v>12108</v>
      </c>
      <c r="C355" s="45" t="s">
        <v>11765</v>
      </c>
      <c r="D355" s="46">
        <v>98.84</v>
      </c>
      <c r="E355" s="45" t="s">
        <v>12357</v>
      </c>
      <c r="F355" s="45"/>
      <c r="G355" s="9">
        <v>377.17405000000002</v>
      </c>
      <c r="H355" s="9">
        <v>551.91827999999998</v>
      </c>
      <c r="I355" s="9">
        <v>21.8733</v>
      </c>
      <c r="J355" s="9">
        <v>3821.1392500000002</v>
      </c>
      <c r="K355" s="9">
        <v>3821.1392500000002</v>
      </c>
      <c r="L355" s="9">
        <v>181.76491999999999</v>
      </c>
      <c r="M355" s="9">
        <v>832.01711999999998</v>
      </c>
      <c r="N355" s="10" t="s">
        <v>12468</v>
      </c>
      <c r="P355" s="32">
        <v>45355</v>
      </c>
      <c r="R355" s="35">
        <v>29.19106</v>
      </c>
      <c r="S355" s="34">
        <v>45354</v>
      </c>
      <c r="T355" s="35">
        <v>29.086590000000001</v>
      </c>
      <c r="U355" s="34">
        <v>45353</v>
      </c>
      <c r="V355" s="35">
        <v>29.086590000000001</v>
      </c>
      <c r="W355" s="34">
        <v>45352</v>
      </c>
      <c r="X355" s="35">
        <v>29.086590000000001</v>
      </c>
      <c r="Y355" s="34">
        <v>45351</v>
      </c>
      <c r="Z355" s="35">
        <v>29.082180000000001</v>
      </c>
      <c r="AA355" s="34">
        <v>45356</v>
      </c>
      <c r="AB355" s="35">
        <v>29.005050000000001</v>
      </c>
      <c r="AC355" s="34">
        <v>45357</v>
      </c>
      <c r="AD355" s="35">
        <v>29.370149999999999</v>
      </c>
      <c r="AE355" s="34">
        <v>45358</v>
      </c>
      <c r="AF355" s="35">
        <v>29.27591</v>
      </c>
      <c r="AG355" s="34">
        <v>45359</v>
      </c>
      <c r="AH355" s="35">
        <v>29.477930000000001</v>
      </c>
      <c r="AI355" s="36">
        <v>-2.8033537104211748E-3</v>
      </c>
      <c r="AK355" s="34">
        <v>45348</v>
      </c>
      <c r="AL355" s="35">
        <v>30.023710000000001</v>
      </c>
      <c r="AM355" s="34">
        <v>45362</v>
      </c>
      <c r="AN355" s="5">
        <v>29.01614</v>
      </c>
      <c r="AP355" s="36">
        <v>-3.3559143756717646E-2</v>
      </c>
      <c r="AS355" s="5" t="s">
        <v>12387</v>
      </c>
      <c r="AT355" s="5">
        <v>92.32</v>
      </c>
      <c r="AU355" s="5">
        <v>100</v>
      </c>
      <c r="AV355" s="5" t="s">
        <v>12400</v>
      </c>
      <c r="AW355" s="5" t="s">
        <v>12400</v>
      </c>
      <c r="AX355" s="5" t="s">
        <v>12400</v>
      </c>
      <c r="AZ355" s="49" t="s">
        <v>12415</v>
      </c>
      <c r="BA355" s="50" t="s">
        <v>12419</v>
      </c>
      <c r="BC355" s="51">
        <v>0.90878999999999999</v>
      </c>
    </row>
    <row r="356" spans="1:55" ht="15" customHeight="1" x14ac:dyDescent="0.4">
      <c r="A356" s="27" t="s">
        <v>11280</v>
      </c>
      <c r="B356" s="44" t="s">
        <v>12232</v>
      </c>
      <c r="C356" s="45" t="s">
        <v>11766</v>
      </c>
      <c r="D356" s="46">
        <v>1.74</v>
      </c>
      <c r="E356" s="45" t="s">
        <v>12357</v>
      </c>
      <c r="F356" s="45"/>
      <c r="G356" s="9">
        <v>44.344589999999997</v>
      </c>
      <c r="H356" s="9">
        <v>8.3718400000000006</v>
      </c>
      <c r="I356" s="9">
        <v>19.3674</v>
      </c>
      <c r="J356" s="9">
        <v>39.78143</v>
      </c>
      <c r="K356" s="9">
        <v>39.78143</v>
      </c>
      <c r="L356" s="9">
        <v>2.5841400000000001</v>
      </c>
      <c r="M356" s="9">
        <v>-2.5841400000000001</v>
      </c>
      <c r="N356" s="10" t="s">
        <v>12465</v>
      </c>
      <c r="P356" s="32">
        <v>45355</v>
      </c>
      <c r="R356" s="35">
        <v>2.1796899999999999</v>
      </c>
      <c r="S356" s="34">
        <v>45354</v>
      </c>
      <c r="T356" s="35">
        <v>2.1461800000000002</v>
      </c>
      <c r="U356" s="34">
        <v>45353</v>
      </c>
      <c r="V356" s="35">
        <v>2.1461800000000002</v>
      </c>
      <c r="W356" s="34">
        <v>45352</v>
      </c>
      <c r="X356" s="35">
        <v>2.1461800000000002</v>
      </c>
      <c r="Y356" s="34">
        <v>45351</v>
      </c>
      <c r="Z356" s="35">
        <v>2.1381000000000001</v>
      </c>
      <c r="AA356" s="34">
        <v>45356</v>
      </c>
      <c r="AB356" s="35">
        <v>2.2282999999999999</v>
      </c>
      <c r="AC356" s="34">
        <v>45357</v>
      </c>
      <c r="AD356" s="35">
        <v>2.1931099999999999</v>
      </c>
      <c r="AE356" s="34">
        <v>45358</v>
      </c>
      <c r="AF356" s="35">
        <v>2.1884000000000001</v>
      </c>
      <c r="AG356" s="34">
        <v>45359</v>
      </c>
      <c r="AH356" s="35">
        <v>2.2090399999999999</v>
      </c>
      <c r="AI356" s="36">
        <v>3.8263332991640864E-2</v>
      </c>
      <c r="AK356" s="34">
        <v>45348</v>
      </c>
      <c r="AL356" s="35">
        <v>2.1206499999999999</v>
      </c>
      <c r="AM356" s="34">
        <v>45362</v>
      </c>
      <c r="AN356" s="5">
        <v>2.1516199999999999</v>
      </c>
      <c r="AP356" s="36">
        <v>1.4604012920566678E-2</v>
      </c>
      <c r="AS356" s="5" t="s">
        <v>12387</v>
      </c>
      <c r="AT356" s="5" t="s">
        <v>12400</v>
      </c>
      <c r="AU356" s="5" t="s">
        <v>12400</v>
      </c>
      <c r="AV356" s="5" t="s">
        <v>12400</v>
      </c>
      <c r="AW356" s="5" t="s">
        <v>12400</v>
      </c>
      <c r="AX356" s="5" t="s">
        <v>12400</v>
      </c>
      <c r="AZ356" s="49" t="s">
        <v>12408</v>
      </c>
      <c r="BA356" s="50" t="s">
        <v>12448</v>
      </c>
      <c r="BC356" s="51">
        <v>0.64056000000000002</v>
      </c>
    </row>
    <row r="357" spans="1:55" ht="15" customHeight="1" x14ac:dyDescent="0.4">
      <c r="A357" s="27" t="s">
        <v>11281</v>
      </c>
      <c r="B357" s="44" t="s">
        <v>12233</v>
      </c>
      <c r="C357" s="45" t="s">
        <v>11767</v>
      </c>
      <c r="D357" s="46">
        <v>5.54</v>
      </c>
      <c r="E357" s="45" t="s">
        <v>12358</v>
      </c>
      <c r="F357" s="45"/>
      <c r="G357" s="9">
        <v>35.806519999999999</v>
      </c>
      <c r="H357" s="9">
        <v>-5.7497299999999996</v>
      </c>
      <c r="I357" s="9">
        <v>-85.719700000000003</v>
      </c>
      <c r="J357" s="9">
        <v>9.9429400000000001</v>
      </c>
      <c r="K357" s="9">
        <v>9.9429400000000001</v>
      </c>
      <c r="L357" s="9">
        <v>1.1285499999999999</v>
      </c>
      <c r="M357" s="9">
        <v>4.7906000000000004</v>
      </c>
      <c r="N357" s="10" t="s">
        <v>12468</v>
      </c>
      <c r="P357" s="32">
        <v>45355</v>
      </c>
      <c r="R357" s="35">
        <v>0.36187000000000002</v>
      </c>
      <c r="S357" s="34">
        <v>45354</v>
      </c>
      <c r="T357" s="35">
        <v>0.36010999999999999</v>
      </c>
      <c r="U357" s="34">
        <v>45353</v>
      </c>
      <c r="V357" s="35">
        <v>0.36010999999999999</v>
      </c>
      <c r="W357" s="34">
        <v>45352</v>
      </c>
      <c r="X357" s="35">
        <v>0.36010999999999999</v>
      </c>
      <c r="Y357" s="34">
        <v>45351</v>
      </c>
      <c r="Z357" s="35">
        <v>0.36004999999999998</v>
      </c>
      <c r="AA357" s="34">
        <v>45356</v>
      </c>
      <c r="AB357" s="35">
        <v>0.36255999999999999</v>
      </c>
      <c r="AC357" s="34">
        <v>45357</v>
      </c>
      <c r="AD357" s="35">
        <v>0.36330000000000001</v>
      </c>
      <c r="AE357" s="34">
        <v>45358</v>
      </c>
      <c r="AF357" s="35">
        <v>0.36466999999999999</v>
      </c>
      <c r="AG357" s="34">
        <v>45359</v>
      </c>
      <c r="AH357" s="35">
        <v>0.36638999999999999</v>
      </c>
      <c r="AI357" s="36">
        <v>6.8034767154481202E-3</v>
      </c>
      <c r="AK357" s="34">
        <v>45348</v>
      </c>
      <c r="AL357" s="35">
        <v>0.36135</v>
      </c>
      <c r="AM357" s="34">
        <v>45362</v>
      </c>
      <c r="AN357" s="5">
        <v>0.36509999999999998</v>
      </c>
      <c r="AP357" s="36">
        <v>1.0377750103777394E-2</v>
      </c>
      <c r="AS357" s="5" t="s">
        <v>12387</v>
      </c>
      <c r="AT357" s="5">
        <v>0.65200000000000002</v>
      </c>
      <c r="AU357" s="5">
        <v>100</v>
      </c>
      <c r="AV357" s="5" t="s">
        <v>12400</v>
      </c>
      <c r="AW357" s="5" t="s">
        <v>12400</v>
      </c>
      <c r="AX357" s="5" t="s">
        <v>12400</v>
      </c>
      <c r="AZ357" s="49" t="s">
        <v>12405</v>
      </c>
      <c r="BA357" s="50" t="s">
        <v>12408</v>
      </c>
      <c r="BC357" s="51">
        <v>-9.7989999999999994E-2</v>
      </c>
    </row>
    <row r="358" spans="1:55" ht="15" customHeight="1" x14ac:dyDescent="0.4">
      <c r="A358" s="27" t="s">
        <v>11282</v>
      </c>
      <c r="B358" s="44" t="s">
        <v>12234</v>
      </c>
      <c r="C358" s="45" t="s">
        <v>11768</v>
      </c>
      <c r="D358" s="46">
        <v>8.36</v>
      </c>
      <c r="E358" s="45" t="s">
        <v>12357</v>
      </c>
      <c r="F358" s="45"/>
      <c r="G358" s="9">
        <v>536.84815000000003</v>
      </c>
      <c r="H358" s="9">
        <v>47.676560000000002</v>
      </c>
      <c r="I358" s="9">
        <v>4.5011999999999999</v>
      </c>
      <c r="J358" s="9">
        <v>439.10525999999999</v>
      </c>
      <c r="K358" s="9">
        <v>439.10525999999999</v>
      </c>
      <c r="L358" s="9">
        <v>37.848219999999998</v>
      </c>
      <c r="M358" s="9">
        <v>131.55413999999999</v>
      </c>
      <c r="N358" s="10" t="s">
        <v>12474</v>
      </c>
      <c r="P358" s="32">
        <v>45355</v>
      </c>
      <c r="R358" s="35">
        <v>0.41861999999999999</v>
      </c>
      <c r="S358" s="34">
        <v>45354</v>
      </c>
      <c r="T358" s="35">
        <v>0.35979</v>
      </c>
      <c r="U358" s="34">
        <v>45353</v>
      </c>
      <c r="V358" s="35">
        <v>0.35979</v>
      </c>
      <c r="W358" s="34">
        <v>45352</v>
      </c>
      <c r="X358" s="35">
        <v>0.35979</v>
      </c>
      <c r="Y358" s="34">
        <v>45351</v>
      </c>
      <c r="Z358" s="35">
        <v>0.35060000000000002</v>
      </c>
      <c r="AA358" s="34">
        <v>45356</v>
      </c>
      <c r="AB358" s="35">
        <v>0.44313999999999998</v>
      </c>
      <c r="AC358" s="34">
        <v>45357</v>
      </c>
      <c r="AD358" s="35">
        <v>0.4234</v>
      </c>
      <c r="AE358" s="34">
        <v>45358</v>
      </c>
      <c r="AF358" s="35">
        <v>0.43298999999999999</v>
      </c>
      <c r="AG358" s="34">
        <v>45359</v>
      </c>
      <c r="AH358" s="35">
        <v>0.43312</v>
      </c>
      <c r="AI358" s="36">
        <v>0.23166291447788989</v>
      </c>
      <c r="AK358" s="34">
        <v>45348</v>
      </c>
      <c r="AL358" s="35">
        <v>0.36069000000000001</v>
      </c>
      <c r="AM358" s="34">
        <v>45362</v>
      </c>
      <c r="AN358" s="5">
        <v>0.42353000000000002</v>
      </c>
      <c r="AP358" s="36">
        <v>0.17422163076325936</v>
      </c>
      <c r="AS358" s="5" t="s">
        <v>12387</v>
      </c>
      <c r="AT358" s="5">
        <v>8.36</v>
      </c>
      <c r="AU358" s="5">
        <v>100</v>
      </c>
      <c r="AV358" s="5" t="s">
        <v>12400</v>
      </c>
      <c r="AW358" s="5" t="s">
        <v>12400</v>
      </c>
      <c r="AX358" s="5" t="s">
        <v>12400</v>
      </c>
      <c r="AZ358" s="49" t="s">
        <v>12448</v>
      </c>
      <c r="BA358" s="50" t="s">
        <v>12449</v>
      </c>
      <c r="BC358" s="51">
        <v>7.8950000000000006E-2</v>
      </c>
    </row>
    <row r="359" spans="1:55" ht="15" customHeight="1" x14ac:dyDescent="0.4">
      <c r="A359" s="27" t="s">
        <v>11283</v>
      </c>
      <c r="B359" s="44" t="s">
        <v>12235</v>
      </c>
      <c r="C359" s="45" t="s">
        <v>11769</v>
      </c>
      <c r="D359" s="46">
        <v>56.27</v>
      </c>
      <c r="E359" s="45" t="s">
        <v>12359</v>
      </c>
      <c r="F359" s="45"/>
      <c r="G359" s="9">
        <v>9548.9673999999995</v>
      </c>
      <c r="H359" s="9">
        <v>7431.9809999999998</v>
      </c>
      <c r="I359" s="9">
        <v>35.116999999999997</v>
      </c>
      <c r="J359" s="9">
        <v>49988.624349999998</v>
      </c>
      <c r="K359" s="9">
        <v>49988.624349999998</v>
      </c>
      <c r="L359" s="9">
        <v>5315.4458599999998</v>
      </c>
      <c r="M359" s="9">
        <v>8716.4605499999998</v>
      </c>
      <c r="N359" s="10" t="s">
        <v>12469</v>
      </c>
      <c r="P359" s="32">
        <v>45353</v>
      </c>
      <c r="R359" s="35">
        <v>1.8137099999999999</v>
      </c>
      <c r="S359" s="34">
        <v>45352</v>
      </c>
      <c r="T359" s="35">
        <v>1.8137099999999999</v>
      </c>
      <c r="U359" s="34">
        <v>45351</v>
      </c>
      <c r="V359" s="35">
        <v>1.7765299999999999</v>
      </c>
      <c r="W359" s="34">
        <v>45350</v>
      </c>
      <c r="X359" s="35">
        <v>1.7983899999999999</v>
      </c>
      <c r="Y359" s="34">
        <v>45349</v>
      </c>
      <c r="Z359" s="35">
        <v>1.7852600000000001</v>
      </c>
      <c r="AA359" s="34">
        <v>45354</v>
      </c>
      <c r="AB359" s="35">
        <v>1.8137099999999999</v>
      </c>
      <c r="AC359" s="34">
        <v>45355</v>
      </c>
      <c r="AD359" s="35">
        <v>1.8875500000000001</v>
      </c>
      <c r="AE359" s="34">
        <v>45356</v>
      </c>
      <c r="AF359" s="35">
        <v>1.8680699999999999</v>
      </c>
      <c r="AG359" s="34">
        <v>45357</v>
      </c>
      <c r="AH359" s="35">
        <v>1.9210499999999999</v>
      </c>
      <c r="AI359" s="36">
        <v>0</v>
      </c>
      <c r="AK359" s="34">
        <v>45346</v>
      </c>
      <c r="AL359" s="35">
        <v>1.8345100000000001</v>
      </c>
      <c r="AM359" s="34">
        <v>45360</v>
      </c>
      <c r="AN359" s="5">
        <v>1.96519</v>
      </c>
      <c r="AP359" s="36">
        <v>7.1234280543578388E-2</v>
      </c>
      <c r="AS359" s="5" t="s">
        <v>12387</v>
      </c>
      <c r="AT359" s="5">
        <v>33.840000000000003</v>
      </c>
      <c r="AU359" s="5">
        <v>100</v>
      </c>
      <c r="AV359" s="5" t="s">
        <v>12400</v>
      </c>
      <c r="AW359" s="5" t="s">
        <v>12400</v>
      </c>
      <c r="AX359" s="5" t="s">
        <v>12400</v>
      </c>
      <c r="AZ359" s="49" t="s">
        <v>12433</v>
      </c>
      <c r="BA359" s="50" t="s">
        <v>12406</v>
      </c>
      <c r="BC359" s="51">
        <v>0.40365000000000001</v>
      </c>
    </row>
    <row r="360" spans="1:55" ht="15" customHeight="1" x14ac:dyDescent="0.4">
      <c r="A360" s="27" t="s">
        <v>11284</v>
      </c>
      <c r="B360" s="44" t="s">
        <v>12236</v>
      </c>
      <c r="C360" s="45" t="s">
        <v>11770</v>
      </c>
      <c r="D360" s="46">
        <v>34.700000000000003</v>
      </c>
      <c r="E360" s="45" t="s">
        <v>12357</v>
      </c>
      <c r="F360" s="45"/>
      <c r="G360" s="9">
        <v>19.007459999999998</v>
      </c>
      <c r="H360" s="9">
        <v>192.6</v>
      </c>
      <c r="I360" s="9">
        <v>15.4872</v>
      </c>
      <c r="J360" s="9">
        <v>1113.4000000000001</v>
      </c>
      <c r="K360" s="9">
        <v>1113.4000000000001</v>
      </c>
      <c r="L360" s="9">
        <v>117.1</v>
      </c>
      <c r="M360" s="9">
        <v>126.4</v>
      </c>
      <c r="N360" s="10" t="s">
        <v>12467</v>
      </c>
      <c r="P360" s="32">
        <v>45352</v>
      </c>
      <c r="R360" s="35">
        <v>110.81</v>
      </c>
      <c r="S360" s="34">
        <v>45351</v>
      </c>
      <c r="T360" s="35">
        <v>113.19</v>
      </c>
      <c r="U360" s="34">
        <v>45350</v>
      </c>
      <c r="V360" s="35">
        <v>113.47</v>
      </c>
      <c r="W360" s="34">
        <v>45349</v>
      </c>
      <c r="X360" s="35">
        <v>114.64</v>
      </c>
      <c r="Y360" s="34">
        <v>45348</v>
      </c>
      <c r="Z360" s="35">
        <v>110.16</v>
      </c>
      <c r="AA360" s="34">
        <v>45353</v>
      </c>
      <c r="AB360" s="35">
        <v>110.81</v>
      </c>
      <c r="AC360" s="34">
        <v>45354</v>
      </c>
      <c r="AD360" s="35">
        <v>110.81</v>
      </c>
      <c r="AE360" s="34">
        <v>45355</v>
      </c>
      <c r="AF360" s="35">
        <v>110.3</v>
      </c>
      <c r="AG360" s="34">
        <v>45356</v>
      </c>
      <c r="AH360" s="35">
        <v>108.7</v>
      </c>
      <c r="AI360" s="36">
        <v>-2.1026592455163806E-2</v>
      </c>
      <c r="AK360" s="34">
        <v>45345</v>
      </c>
      <c r="AL360" s="35">
        <v>106.21</v>
      </c>
      <c r="AM360" s="34">
        <v>45359</v>
      </c>
      <c r="AN360" s="5">
        <v>110.59</v>
      </c>
      <c r="AP360" s="36">
        <v>4.1239054702947087E-2</v>
      </c>
      <c r="AS360" s="5" t="s">
        <v>12387</v>
      </c>
      <c r="AT360" s="5">
        <v>34.700000000000003</v>
      </c>
      <c r="AU360" s="5">
        <v>100</v>
      </c>
      <c r="AV360" s="5" t="s">
        <v>12400</v>
      </c>
      <c r="AW360" s="5" t="s">
        <v>12400</v>
      </c>
      <c r="AX360" s="5" t="s">
        <v>12400</v>
      </c>
      <c r="AZ360" s="49" t="s">
        <v>12403</v>
      </c>
      <c r="BA360" s="50" t="s">
        <v>12404</v>
      </c>
      <c r="BC360" s="51">
        <v>1.05152</v>
      </c>
    </row>
    <row r="361" spans="1:55" ht="15" customHeight="1" x14ac:dyDescent="0.4">
      <c r="A361" s="27" t="s">
        <v>11285</v>
      </c>
      <c r="B361" s="44" t="s">
        <v>12237</v>
      </c>
      <c r="C361" s="45" t="s">
        <v>11771</v>
      </c>
      <c r="D361" s="46">
        <v>14.91</v>
      </c>
      <c r="E361" s="45" t="s">
        <v>12357</v>
      </c>
      <c r="F361" s="45"/>
      <c r="G361" s="9">
        <v>154.22906</v>
      </c>
      <c r="H361" s="9">
        <v>35.155650000000001</v>
      </c>
      <c r="I361" s="9">
        <v>13.2057</v>
      </c>
      <c r="J361" s="9">
        <v>225.19998000000001</v>
      </c>
      <c r="K361" s="9">
        <v>225.19998000000001</v>
      </c>
      <c r="L361" s="9">
        <v>5.85928</v>
      </c>
      <c r="M361" s="9">
        <v>29.041630000000001</v>
      </c>
      <c r="N361" s="10" t="s">
        <v>12467</v>
      </c>
      <c r="P361" s="32">
        <v>45352</v>
      </c>
      <c r="R361" s="35">
        <v>1.7082999999999999</v>
      </c>
      <c r="S361" s="34">
        <v>45351</v>
      </c>
      <c r="T361" s="35">
        <v>1.76616</v>
      </c>
      <c r="U361" s="34">
        <v>45350</v>
      </c>
      <c r="V361" s="35">
        <v>1.6348800000000001</v>
      </c>
      <c r="W361" s="34">
        <v>45349</v>
      </c>
      <c r="X361" s="35">
        <v>1.8145100000000001</v>
      </c>
      <c r="Y361" s="34">
        <v>45348</v>
      </c>
      <c r="Z361" s="35">
        <v>1.8206899999999999</v>
      </c>
      <c r="AA361" s="34">
        <v>45353</v>
      </c>
      <c r="AB361" s="35">
        <v>1.7082999999999999</v>
      </c>
      <c r="AC361" s="34">
        <v>45354</v>
      </c>
      <c r="AD361" s="35">
        <v>1.7082999999999999</v>
      </c>
      <c r="AE361" s="34">
        <v>45355</v>
      </c>
      <c r="AF361" s="35">
        <v>1.7217499999999999</v>
      </c>
      <c r="AG361" s="34">
        <v>45356</v>
      </c>
      <c r="AH361" s="35">
        <v>1.66652</v>
      </c>
      <c r="AI361" s="36">
        <v>-3.2760338814150525E-2</v>
      </c>
      <c r="AK361" s="34">
        <v>45345</v>
      </c>
      <c r="AL361" s="35">
        <v>1.8502799999999999</v>
      </c>
      <c r="AM361" s="34">
        <v>45359</v>
      </c>
      <c r="AN361" s="5">
        <v>1.6840900000000001</v>
      </c>
      <c r="AP361" s="36">
        <v>-8.9818838229889453E-2</v>
      </c>
      <c r="AS361" s="5" t="s">
        <v>12387</v>
      </c>
      <c r="AT361" s="5">
        <v>10.87</v>
      </c>
      <c r="AU361" s="5">
        <v>100</v>
      </c>
      <c r="AV361" s="5" t="s">
        <v>12400</v>
      </c>
      <c r="AW361" s="5" t="s">
        <v>12400</v>
      </c>
      <c r="AX361" s="5" t="s">
        <v>12400</v>
      </c>
      <c r="AZ361" s="49" t="s">
        <v>12415</v>
      </c>
      <c r="BA361" s="50" t="s">
        <v>12415</v>
      </c>
      <c r="BC361" s="51">
        <v>1.3303400000000001</v>
      </c>
    </row>
    <row r="362" spans="1:55" ht="15" customHeight="1" x14ac:dyDescent="0.4">
      <c r="A362" s="27" t="s">
        <v>11286</v>
      </c>
      <c r="B362" s="44" t="s">
        <v>12238</v>
      </c>
      <c r="C362" s="45" t="s">
        <v>11772</v>
      </c>
      <c r="D362" s="46">
        <v>6.52</v>
      </c>
      <c r="E362" s="45" t="s">
        <v>12357</v>
      </c>
      <c r="F362" s="45"/>
      <c r="G362" s="9">
        <v>301.27607</v>
      </c>
      <c r="H362" s="9">
        <v>28.81784</v>
      </c>
      <c r="I362" s="9">
        <v>25.058499999999999</v>
      </c>
      <c r="J362" s="9">
        <v>189.96959000000001</v>
      </c>
      <c r="K362" s="9">
        <v>189.96959000000001</v>
      </c>
      <c r="L362" s="9">
        <v>4.5664800000000003</v>
      </c>
      <c r="M362" s="9">
        <v>65.336250000000007</v>
      </c>
      <c r="N362" s="10" t="s">
        <v>12467</v>
      </c>
      <c r="P362" s="32">
        <v>45352</v>
      </c>
      <c r="R362" s="35">
        <v>0.83518000000000003</v>
      </c>
      <c r="S362" s="34">
        <v>45351</v>
      </c>
      <c r="T362" s="35">
        <v>0.79339000000000004</v>
      </c>
      <c r="U362" s="34">
        <v>45350</v>
      </c>
      <c r="V362" s="35">
        <v>0.79195000000000004</v>
      </c>
      <c r="W362" s="34">
        <v>45349</v>
      </c>
      <c r="X362" s="35">
        <v>0.79900000000000004</v>
      </c>
      <c r="Y362" s="34">
        <v>45348</v>
      </c>
      <c r="Z362" s="35">
        <v>0.77773000000000003</v>
      </c>
      <c r="AA362" s="34">
        <v>45353</v>
      </c>
      <c r="AB362" s="35">
        <v>0.83518000000000003</v>
      </c>
      <c r="AC362" s="34">
        <v>45354</v>
      </c>
      <c r="AD362" s="35">
        <v>0.83518000000000003</v>
      </c>
      <c r="AE362" s="34">
        <v>45355</v>
      </c>
      <c r="AF362" s="35">
        <v>0.82801000000000002</v>
      </c>
      <c r="AG362" s="34">
        <v>45356</v>
      </c>
      <c r="AH362" s="35">
        <v>0.82037000000000004</v>
      </c>
      <c r="AI362" s="36">
        <v>5.2672708251931599E-2</v>
      </c>
      <c r="AK362" s="34">
        <v>45345</v>
      </c>
      <c r="AL362" s="35">
        <v>0.79032000000000002</v>
      </c>
      <c r="AM362" s="34">
        <v>45359</v>
      </c>
      <c r="AN362" s="5">
        <v>0.81479000000000001</v>
      </c>
      <c r="AP362" s="36">
        <v>3.0962141917198149E-2</v>
      </c>
      <c r="AS362" s="5" t="s">
        <v>12388</v>
      </c>
      <c r="AT362" s="5">
        <v>4.18</v>
      </c>
      <c r="AU362" s="5">
        <v>76.19</v>
      </c>
      <c r="AV362" s="5" t="s">
        <v>12400</v>
      </c>
      <c r="AW362" s="5" t="s">
        <v>12400</v>
      </c>
      <c r="AX362" s="5">
        <v>23.81</v>
      </c>
      <c r="AZ362" s="49" t="s">
        <v>12405</v>
      </c>
      <c r="BA362" s="50" t="s">
        <v>12415</v>
      </c>
      <c r="BC362" s="51">
        <v>0.23849999999999999</v>
      </c>
    </row>
    <row r="363" spans="1:55" ht="15" customHeight="1" x14ac:dyDescent="0.4">
      <c r="A363" s="27" t="s">
        <v>11287</v>
      </c>
      <c r="B363" s="44" t="s">
        <v>12239</v>
      </c>
      <c r="C363" s="45" t="s">
        <v>11773</v>
      </c>
      <c r="D363" s="46">
        <v>10.6</v>
      </c>
      <c r="E363" s="45" t="s">
        <v>12357</v>
      </c>
      <c r="F363" s="45"/>
      <c r="G363" s="9">
        <v>0.32045000000000001</v>
      </c>
      <c r="H363" s="9">
        <v>-4.7324299999999999</v>
      </c>
      <c r="I363" s="9" t="s">
        <v>11413</v>
      </c>
      <c r="J363" s="9">
        <v>4.7046099999999997</v>
      </c>
      <c r="K363" s="9">
        <v>4.7046099999999997</v>
      </c>
      <c r="L363" s="9">
        <v>1.1235299999999999</v>
      </c>
      <c r="M363" s="9">
        <v>-1.46082</v>
      </c>
      <c r="N363" s="10" t="s">
        <v>12468</v>
      </c>
      <c r="P363" s="32">
        <v>45352</v>
      </c>
      <c r="R363" s="35">
        <v>32.880009999999999</v>
      </c>
      <c r="S363" s="34">
        <v>45351</v>
      </c>
      <c r="T363" s="35">
        <v>33.364809999999999</v>
      </c>
      <c r="U363" s="34">
        <v>45350</v>
      </c>
      <c r="V363" s="35">
        <v>33.595210000000002</v>
      </c>
      <c r="W363" s="34">
        <v>45349</v>
      </c>
      <c r="X363" s="35">
        <v>33.600009999999997</v>
      </c>
      <c r="Y363" s="34">
        <v>45348</v>
      </c>
      <c r="Z363" s="35">
        <v>33.600009999999997</v>
      </c>
      <c r="AA363" s="34">
        <v>45353</v>
      </c>
      <c r="AB363" s="35">
        <v>32.880009999999999</v>
      </c>
      <c r="AC363" s="34">
        <v>45354</v>
      </c>
      <c r="AD363" s="35">
        <v>32.880009999999999</v>
      </c>
      <c r="AE363" s="34">
        <v>45355</v>
      </c>
      <c r="AF363" s="35">
        <v>33.96481</v>
      </c>
      <c r="AG363" s="34">
        <v>45356</v>
      </c>
      <c r="AH363" s="35">
        <v>28.32</v>
      </c>
      <c r="AI363" s="36">
        <v>-1.4530279057486051E-2</v>
      </c>
      <c r="AK363" s="34">
        <v>45345</v>
      </c>
      <c r="AL363" s="35">
        <v>31.776009999999999</v>
      </c>
      <c r="AM363" s="34">
        <v>45359</v>
      </c>
      <c r="AN363" s="5">
        <v>19.920000000000002</v>
      </c>
      <c r="AP363" s="36">
        <v>-0.3731119797608321</v>
      </c>
      <c r="AS363" s="5" t="s">
        <v>12387</v>
      </c>
      <c r="AT363" s="5">
        <v>10.6</v>
      </c>
      <c r="AU363" s="5">
        <v>100</v>
      </c>
      <c r="AV363" s="5" t="s">
        <v>12400</v>
      </c>
      <c r="AW363" s="5" t="s">
        <v>12400</v>
      </c>
      <c r="AX363" s="5" t="s">
        <v>12400</v>
      </c>
      <c r="AZ363" s="49" t="s">
        <v>12425</v>
      </c>
      <c r="BA363" s="50" t="s">
        <v>12425</v>
      </c>
      <c r="BC363" s="51">
        <v>9.0873899999999992</v>
      </c>
    </row>
    <row r="364" spans="1:55" ht="15" customHeight="1" x14ac:dyDescent="0.4">
      <c r="A364" s="27" t="s">
        <v>11288</v>
      </c>
      <c r="B364" s="44" t="s">
        <v>12240</v>
      </c>
      <c r="C364" s="45" t="s">
        <v>11774</v>
      </c>
      <c r="D364" s="47">
        <v>1.0999999999999999E-2</v>
      </c>
      <c r="E364" s="45" t="s">
        <v>12357</v>
      </c>
      <c r="F364" s="45"/>
      <c r="G364" s="9">
        <v>4.2941200000000004</v>
      </c>
      <c r="H364" s="9">
        <v>1.73959</v>
      </c>
      <c r="I364" s="9">
        <v>10.1906</v>
      </c>
      <c r="J364" s="9">
        <v>27.011510000000001</v>
      </c>
      <c r="K364" s="9">
        <v>27.011510000000001</v>
      </c>
      <c r="L364" s="9">
        <v>8.2635000000000005</v>
      </c>
      <c r="M364" s="9">
        <v>-6.3839100000000002</v>
      </c>
      <c r="N364" s="10" t="s">
        <v>12467</v>
      </c>
      <c r="P364" s="32">
        <v>45352</v>
      </c>
      <c r="R364" s="35">
        <v>6.69048</v>
      </c>
      <c r="S364" s="34">
        <v>45351</v>
      </c>
      <c r="T364" s="35">
        <v>6.57226</v>
      </c>
      <c r="U364" s="34">
        <v>45350</v>
      </c>
      <c r="V364" s="35">
        <v>6.5872200000000003</v>
      </c>
      <c r="W364" s="34">
        <v>45349</v>
      </c>
      <c r="X364" s="35">
        <v>6.6630500000000001</v>
      </c>
      <c r="Y364" s="34">
        <v>45348</v>
      </c>
      <c r="Z364" s="35">
        <v>6.7910599999999999</v>
      </c>
      <c r="AA364" s="34">
        <v>45353</v>
      </c>
      <c r="AB364" s="35">
        <v>6.69048</v>
      </c>
      <c r="AC364" s="34">
        <v>45354</v>
      </c>
      <c r="AD364" s="35">
        <v>6.69048</v>
      </c>
      <c r="AE364" s="34">
        <v>45355</v>
      </c>
      <c r="AF364" s="35">
        <v>6.7122799999999998</v>
      </c>
      <c r="AG364" s="34">
        <v>45356</v>
      </c>
      <c r="AH364" s="35">
        <v>6.6289899999999999</v>
      </c>
      <c r="AI364" s="36">
        <v>1.7987724161856011E-2</v>
      </c>
      <c r="AK364" s="34">
        <v>45345</v>
      </c>
      <c r="AL364" s="35">
        <v>6.9241599999999996</v>
      </c>
      <c r="AM364" s="34">
        <v>45359</v>
      </c>
      <c r="AN364" s="5">
        <v>6.7644500000000001</v>
      </c>
      <c r="AP364" s="36">
        <v>-2.3065613735095636E-2</v>
      </c>
      <c r="AS364" s="5" t="s">
        <v>12387</v>
      </c>
      <c r="AT364" s="5">
        <v>1.0999999999999999E-2</v>
      </c>
      <c r="AU364" s="5">
        <v>100</v>
      </c>
      <c r="AV364" s="5" t="s">
        <v>12400</v>
      </c>
      <c r="AW364" s="5" t="s">
        <v>12400</v>
      </c>
      <c r="AX364" s="5" t="s">
        <v>12400</v>
      </c>
      <c r="AZ364" s="49" t="s">
        <v>12416</v>
      </c>
      <c r="BA364" s="50" t="s">
        <v>12416</v>
      </c>
      <c r="BC364" s="51">
        <v>0.57869000000000004</v>
      </c>
    </row>
    <row r="365" spans="1:55" ht="15" customHeight="1" x14ac:dyDescent="0.4">
      <c r="A365" s="27" t="s">
        <v>11289</v>
      </c>
      <c r="B365" s="44" t="s">
        <v>12241</v>
      </c>
      <c r="C365" s="45" t="s">
        <v>11775</v>
      </c>
      <c r="D365" s="46">
        <v>2.52</v>
      </c>
      <c r="E365" s="45" t="s">
        <v>12357</v>
      </c>
      <c r="F365" s="45"/>
      <c r="G365" s="9">
        <v>0</v>
      </c>
      <c r="H365" s="9">
        <v>18.37405</v>
      </c>
      <c r="I365" s="9">
        <v>5.9279000000000002</v>
      </c>
      <c r="J365" s="9">
        <v>294.11739</v>
      </c>
      <c r="K365" s="9">
        <v>294.11739</v>
      </c>
      <c r="L365" s="9">
        <v>25.02929</v>
      </c>
      <c r="M365" s="9">
        <v>-6.2230600000000003</v>
      </c>
      <c r="N365" s="10" t="s">
        <v>12467</v>
      </c>
      <c r="P365" s="32">
        <v>45352</v>
      </c>
      <c r="R365" s="35">
        <v>0</v>
      </c>
      <c r="S365" s="34">
        <v>45351</v>
      </c>
      <c r="T365" s="35">
        <v>0</v>
      </c>
      <c r="U365" s="34">
        <v>45350</v>
      </c>
      <c r="V365" s="35">
        <v>0</v>
      </c>
      <c r="W365" s="34">
        <v>45349</v>
      </c>
      <c r="X365" s="35">
        <v>0</v>
      </c>
      <c r="Y365" s="34">
        <v>45348</v>
      </c>
      <c r="Z365" s="35">
        <v>0</v>
      </c>
      <c r="AA365" s="34">
        <v>45353</v>
      </c>
      <c r="AB365" s="35">
        <v>0</v>
      </c>
      <c r="AC365" s="34">
        <v>45354</v>
      </c>
      <c r="AD365" s="35">
        <v>0</v>
      </c>
      <c r="AE365" s="34">
        <v>45355</v>
      </c>
      <c r="AF365" s="35">
        <v>0</v>
      </c>
      <c r="AG365" s="34">
        <v>45356</v>
      </c>
      <c r="AH365" s="35">
        <v>0</v>
      </c>
      <c r="AI365" s="36" t="s">
        <v>318</v>
      </c>
      <c r="AK365" s="34">
        <v>45345</v>
      </c>
      <c r="AL365" s="35">
        <v>0</v>
      </c>
      <c r="AM365" s="34">
        <v>45359</v>
      </c>
      <c r="AN365" s="5">
        <v>0</v>
      </c>
      <c r="AP365" s="36" t="s">
        <v>318</v>
      </c>
      <c r="AS365" s="5" t="s">
        <v>12389</v>
      </c>
      <c r="AT365" s="5">
        <v>1.26</v>
      </c>
      <c r="AU365" s="5">
        <v>50</v>
      </c>
      <c r="AV365" s="5" t="s">
        <v>12400</v>
      </c>
      <c r="AW365" s="5" t="s">
        <v>12400</v>
      </c>
      <c r="AX365" s="5">
        <v>50</v>
      </c>
      <c r="AZ365" s="49" t="s">
        <v>12409</v>
      </c>
      <c r="BA365" s="50" t="s">
        <v>12409</v>
      </c>
      <c r="BC365" s="51">
        <v>0</v>
      </c>
    </row>
    <row r="366" spans="1:55" ht="15" customHeight="1" x14ac:dyDescent="0.4">
      <c r="A366" s="27" t="s">
        <v>11290</v>
      </c>
      <c r="B366" s="44" t="s">
        <v>12242</v>
      </c>
      <c r="C366" s="45" t="s">
        <v>11776</v>
      </c>
      <c r="D366" s="46">
        <v>40.17</v>
      </c>
      <c r="E366" s="45" t="s">
        <v>12357</v>
      </c>
      <c r="F366" s="45"/>
      <c r="G366" s="9">
        <v>103.45553</v>
      </c>
      <c r="H366" s="9">
        <v>274.19099999999997</v>
      </c>
      <c r="I366" s="9">
        <v>60.253</v>
      </c>
      <c r="J366" s="9">
        <v>823.21600000000001</v>
      </c>
      <c r="K366" s="9">
        <v>823.21600000000001</v>
      </c>
      <c r="L366" s="9">
        <v>121.001</v>
      </c>
      <c r="M366" s="9">
        <v>-30.2</v>
      </c>
      <c r="N366" s="10" t="s">
        <v>12469</v>
      </c>
      <c r="P366" s="32">
        <v>45351</v>
      </c>
      <c r="R366" s="35">
        <v>4.46</v>
      </c>
      <c r="S366" s="34">
        <v>45350</v>
      </c>
      <c r="T366" s="35">
        <v>4.29</v>
      </c>
      <c r="U366" s="34">
        <v>45349</v>
      </c>
      <c r="V366" s="35">
        <v>4.37</v>
      </c>
      <c r="W366" s="34">
        <v>45348</v>
      </c>
      <c r="X366" s="35">
        <v>4.2300000000000004</v>
      </c>
      <c r="Y366" s="34">
        <v>45347</v>
      </c>
      <c r="Z366" s="35">
        <v>4.2300000000000004</v>
      </c>
      <c r="AA366" s="34">
        <v>45352</v>
      </c>
      <c r="AB366" s="35">
        <v>4.4400000000000004</v>
      </c>
      <c r="AC366" s="34">
        <v>45353</v>
      </c>
      <c r="AD366" s="35">
        <v>4.4400000000000004</v>
      </c>
      <c r="AE366" s="34">
        <v>45354</v>
      </c>
      <c r="AF366" s="35">
        <v>4.4400000000000004</v>
      </c>
      <c r="AG366" s="34">
        <v>45355</v>
      </c>
      <c r="AH366" s="35">
        <v>4.29</v>
      </c>
      <c r="AI366" s="36">
        <v>3.4965034965035002E-2</v>
      </c>
      <c r="AK366" s="34">
        <v>45344</v>
      </c>
      <c r="AL366" s="35">
        <v>4.24</v>
      </c>
      <c r="AM366" s="34">
        <v>45358</v>
      </c>
      <c r="AN366" s="5">
        <v>4.25</v>
      </c>
      <c r="AP366" s="36">
        <v>2.3584905660376521E-3</v>
      </c>
      <c r="AS366" s="5" t="s">
        <v>12387</v>
      </c>
      <c r="AT366" s="5">
        <v>40.17</v>
      </c>
      <c r="AU366" s="5">
        <v>100</v>
      </c>
      <c r="AV366" s="5" t="s">
        <v>12400</v>
      </c>
      <c r="AW366" s="5" t="s">
        <v>12400</v>
      </c>
      <c r="AX366" s="5" t="s">
        <v>12400</v>
      </c>
      <c r="AZ366" s="49" t="s">
        <v>12403</v>
      </c>
      <c r="BA366" s="50" t="s">
        <v>12409</v>
      </c>
      <c r="BC366" s="51">
        <v>0.22108</v>
      </c>
    </row>
    <row r="367" spans="1:55" ht="15" customHeight="1" x14ac:dyDescent="0.4">
      <c r="A367" s="27" t="s">
        <v>11291</v>
      </c>
      <c r="B367" s="44" t="s">
        <v>12243</v>
      </c>
      <c r="C367" s="45" t="s">
        <v>11777</v>
      </c>
      <c r="D367" s="46">
        <v>1235.6400000000001</v>
      </c>
      <c r="E367" s="45" t="s">
        <v>12357</v>
      </c>
      <c r="F367" s="45"/>
      <c r="G367" s="9">
        <v>119.43178</v>
      </c>
      <c r="H367" s="9">
        <v>753</v>
      </c>
      <c r="I367" s="9">
        <v>7.7008999999999999</v>
      </c>
      <c r="J367" s="9">
        <v>9507</v>
      </c>
      <c r="K367" s="9">
        <v>9507</v>
      </c>
      <c r="L367" s="9">
        <v>468</v>
      </c>
      <c r="M367" s="9">
        <v>3616</v>
      </c>
      <c r="N367" s="10" t="s">
        <v>12467</v>
      </c>
      <c r="P367" s="32">
        <v>45351</v>
      </c>
      <c r="R367" s="35">
        <v>51.76</v>
      </c>
      <c r="S367" s="34">
        <v>45350</v>
      </c>
      <c r="T367" s="35">
        <v>51.3</v>
      </c>
      <c r="U367" s="34">
        <v>45349</v>
      </c>
      <c r="V367" s="35">
        <v>52.36</v>
      </c>
      <c r="W367" s="34">
        <v>45348</v>
      </c>
      <c r="X367" s="35">
        <v>52.66</v>
      </c>
      <c r="Y367" s="34">
        <v>45347</v>
      </c>
      <c r="Z367" s="35">
        <v>53.31</v>
      </c>
      <c r="AA367" s="34">
        <v>45352</v>
      </c>
      <c r="AB367" s="35">
        <v>50.93</v>
      </c>
      <c r="AC367" s="34">
        <v>45353</v>
      </c>
      <c r="AD367" s="35">
        <v>50.93</v>
      </c>
      <c r="AE367" s="34">
        <v>45354</v>
      </c>
      <c r="AF367" s="35">
        <v>50.93</v>
      </c>
      <c r="AG367" s="34">
        <v>45355</v>
      </c>
      <c r="AH367" s="35">
        <v>49.87</v>
      </c>
      <c r="AI367" s="36">
        <v>-7.2124756335282258E-3</v>
      </c>
      <c r="AK367" s="34">
        <v>45344</v>
      </c>
      <c r="AL367" s="35">
        <v>52.85</v>
      </c>
      <c r="AM367" s="34">
        <v>45358</v>
      </c>
      <c r="AN367" s="5">
        <v>49.84</v>
      </c>
      <c r="AP367" s="36">
        <v>-5.695364238410594E-2</v>
      </c>
      <c r="AS367" s="5" t="s">
        <v>12387</v>
      </c>
      <c r="AT367" s="5">
        <v>962.88</v>
      </c>
      <c r="AU367" s="5">
        <v>100</v>
      </c>
      <c r="AV367" s="5" t="s">
        <v>12400</v>
      </c>
      <c r="AW367" s="5" t="s">
        <v>12400</v>
      </c>
      <c r="AX367" s="5" t="s">
        <v>12400</v>
      </c>
      <c r="AZ367" s="49" t="s">
        <v>12403</v>
      </c>
      <c r="BA367" s="50" t="s">
        <v>12415</v>
      </c>
      <c r="BC367" s="51">
        <v>1.71933</v>
      </c>
    </row>
    <row r="368" spans="1:55" ht="15" customHeight="1" x14ac:dyDescent="0.4">
      <c r="A368" s="27" t="s">
        <v>11292</v>
      </c>
      <c r="B368" s="44" t="s">
        <v>12244</v>
      </c>
      <c r="C368" s="45" t="s">
        <v>11778</v>
      </c>
      <c r="D368" s="46">
        <v>3.41</v>
      </c>
      <c r="E368" s="45" t="s">
        <v>12357</v>
      </c>
      <c r="F368" s="45"/>
      <c r="G368" s="9">
        <v>120.52876999999999</v>
      </c>
      <c r="H368" s="9">
        <v>18.686859999999999</v>
      </c>
      <c r="I368" s="9">
        <v>62.995100000000001</v>
      </c>
      <c r="J368" s="9">
        <v>601.11749999999995</v>
      </c>
      <c r="K368" s="9">
        <v>601.11749999999995</v>
      </c>
      <c r="L368" s="9">
        <v>21.089860000000002</v>
      </c>
      <c r="M368" s="9">
        <v>234.91543999999999</v>
      </c>
      <c r="N368" s="10" t="s">
        <v>12475</v>
      </c>
      <c r="P368" s="32">
        <v>45351</v>
      </c>
      <c r="R368" s="35">
        <v>1.8333200000000001</v>
      </c>
      <c r="S368" s="34">
        <v>45350</v>
      </c>
      <c r="T368" s="35">
        <v>1.8266500000000001</v>
      </c>
      <c r="U368" s="34">
        <v>45349</v>
      </c>
      <c r="V368" s="35">
        <v>1.8448199999999999</v>
      </c>
      <c r="W368" s="34">
        <v>45348</v>
      </c>
      <c r="X368" s="35">
        <v>1.87676</v>
      </c>
      <c r="Y368" s="34">
        <v>45347</v>
      </c>
      <c r="Z368" s="35">
        <v>1.87385</v>
      </c>
      <c r="AA368" s="34">
        <v>45352</v>
      </c>
      <c r="AB368" s="35">
        <v>1.8274300000000001</v>
      </c>
      <c r="AC368" s="34">
        <v>45353</v>
      </c>
      <c r="AD368" s="35">
        <v>1.8274300000000001</v>
      </c>
      <c r="AE368" s="34">
        <v>45354</v>
      </c>
      <c r="AF368" s="35">
        <v>1.8274300000000001</v>
      </c>
      <c r="AG368" s="34">
        <v>45355</v>
      </c>
      <c r="AH368" s="35">
        <v>1.8333900000000001</v>
      </c>
      <c r="AI368" s="36">
        <v>4.2701119535770715E-4</v>
      </c>
      <c r="AK368" s="34">
        <v>45344</v>
      </c>
      <c r="AL368" s="35">
        <v>1.87561</v>
      </c>
      <c r="AM368" s="34">
        <v>45358</v>
      </c>
      <c r="AN368" s="5">
        <v>1.85792</v>
      </c>
      <c r="AP368" s="36">
        <v>-9.4315982533682563E-3</v>
      </c>
      <c r="AS368" s="5" t="s">
        <v>12387</v>
      </c>
      <c r="AT368" s="5">
        <v>3.41</v>
      </c>
      <c r="AU368" s="5">
        <v>100</v>
      </c>
      <c r="AV368" s="5" t="s">
        <v>12400</v>
      </c>
      <c r="AW368" s="5" t="s">
        <v>12400</v>
      </c>
      <c r="AX368" s="5" t="s">
        <v>12400</v>
      </c>
      <c r="AZ368" s="49" t="s">
        <v>12442</v>
      </c>
      <c r="BA368" s="50" t="s">
        <v>12442</v>
      </c>
      <c r="BC368" s="51">
        <v>6.7830000000000001E-2</v>
      </c>
    </row>
    <row r="369" spans="1:55" ht="15" customHeight="1" x14ac:dyDescent="0.4">
      <c r="A369" s="27" t="s">
        <v>11293</v>
      </c>
      <c r="B369" s="44" t="s">
        <v>12245</v>
      </c>
      <c r="C369" s="45" t="s">
        <v>11779</v>
      </c>
      <c r="D369" s="46">
        <v>34.81</v>
      </c>
      <c r="E369" s="45" t="s">
        <v>12357</v>
      </c>
      <c r="F369" s="45"/>
      <c r="G369" s="9">
        <v>17.989889999999999</v>
      </c>
      <c r="H369" s="9">
        <v>302.03699999999998</v>
      </c>
      <c r="I369" s="9">
        <v>15.4628</v>
      </c>
      <c r="J369" s="9">
        <v>2714.2109999999998</v>
      </c>
      <c r="K369" s="9">
        <v>2714.2109999999998</v>
      </c>
      <c r="L369" s="9">
        <v>194.52699999999999</v>
      </c>
      <c r="M369" s="9">
        <v>594.601</v>
      </c>
      <c r="N369" s="10" t="s">
        <v>12466</v>
      </c>
      <c r="P369" s="32">
        <v>45351</v>
      </c>
      <c r="R369" s="35">
        <v>200.5</v>
      </c>
      <c r="S369" s="34">
        <v>45350</v>
      </c>
      <c r="T369" s="35">
        <v>197.18</v>
      </c>
      <c r="U369" s="34">
        <v>45349</v>
      </c>
      <c r="V369" s="35">
        <v>197.96</v>
      </c>
      <c r="W369" s="34">
        <v>45348</v>
      </c>
      <c r="X369" s="35">
        <v>199.3</v>
      </c>
      <c r="Y369" s="34">
        <v>45347</v>
      </c>
      <c r="Z369" s="35">
        <v>199.07</v>
      </c>
      <c r="AA369" s="34">
        <v>45352</v>
      </c>
      <c r="AB369" s="35">
        <v>198.07</v>
      </c>
      <c r="AC369" s="34">
        <v>45353</v>
      </c>
      <c r="AD369" s="35">
        <v>198.07</v>
      </c>
      <c r="AE369" s="34">
        <v>45354</v>
      </c>
      <c r="AF369" s="35">
        <v>198.07</v>
      </c>
      <c r="AG369" s="34">
        <v>45355</v>
      </c>
      <c r="AH369" s="35">
        <v>197.01</v>
      </c>
      <c r="AI369" s="36">
        <v>4.5136423572369466E-3</v>
      </c>
      <c r="AK369" s="34">
        <v>45344</v>
      </c>
      <c r="AL369" s="35">
        <v>202.06</v>
      </c>
      <c r="AM369" s="34">
        <v>45358</v>
      </c>
      <c r="AN369" s="5">
        <v>197.67</v>
      </c>
      <c r="AP369" s="36">
        <v>-2.1726219934672941E-2</v>
      </c>
      <c r="AS369" s="5" t="s">
        <v>12387</v>
      </c>
      <c r="AT369" s="5">
        <v>29.83</v>
      </c>
      <c r="AU369" s="5">
        <v>100</v>
      </c>
      <c r="AV369" s="5" t="s">
        <v>12400</v>
      </c>
      <c r="AW369" s="5" t="s">
        <v>12400</v>
      </c>
      <c r="AX369" s="5" t="s">
        <v>12400</v>
      </c>
      <c r="AZ369" s="49" t="s">
        <v>12403</v>
      </c>
      <c r="BA369" s="50" t="s">
        <v>12410</v>
      </c>
      <c r="BC369" s="51">
        <v>1.3303799999999999</v>
      </c>
    </row>
    <row r="370" spans="1:55" ht="15" customHeight="1" x14ac:dyDescent="0.4">
      <c r="A370" s="27" t="s">
        <v>11294</v>
      </c>
      <c r="B370" s="44" t="s">
        <v>12246</v>
      </c>
      <c r="C370" s="45" t="s">
        <v>11780</v>
      </c>
      <c r="D370" s="46">
        <v>1.17</v>
      </c>
      <c r="E370" s="45" t="s">
        <v>12357</v>
      </c>
      <c r="F370" s="45"/>
      <c r="G370" s="9">
        <v>111.18777</v>
      </c>
      <c r="H370" s="9">
        <v>-4.6734099999999996</v>
      </c>
      <c r="I370" s="9" t="s">
        <v>11413</v>
      </c>
      <c r="J370" s="9">
        <v>20.652670000000001</v>
      </c>
      <c r="K370" s="9">
        <v>20.652670000000001</v>
      </c>
      <c r="L370" s="9">
        <v>0.57955999999999996</v>
      </c>
      <c r="M370" s="9">
        <v>-10.402760000000001</v>
      </c>
      <c r="N370" s="10" t="s">
        <v>12466</v>
      </c>
      <c r="P370" s="32">
        <v>45351</v>
      </c>
      <c r="R370" s="35">
        <v>0.21476999999999999</v>
      </c>
      <c r="S370" s="34">
        <v>45350</v>
      </c>
      <c r="T370" s="35">
        <v>0.21512000000000001</v>
      </c>
      <c r="U370" s="34">
        <v>45349</v>
      </c>
      <c r="V370" s="35">
        <v>0.22206000000000001</v>
      </c>
      <c r="W370" s="34">
        <v>45348</v>
      </c>
      <c r="X370" s="35">
        <v>0.22187999999999999</v>
      </c>
      <c r="Y370" s="34">
        <v>45347</v>
      </c>
      <c r="Z370" s="35">
        <v>0.22178</v>
      </c>
      <c r="AA370" s="34">
        <v>45352</v>
      </c>
      <c r="AB370" s="35">
        <v>0.19711000000000001</v>
      </c>
      <c r="AC370" s="34">
        <v>45353</v>
      </c>
      <c r="AD370" s="35">
        <v>0.19711000000000001</v>
      </c>
      <c r="AE370" s="34">
        <v>45354</v>
      </c>
      <c r="AF370" s="35">
        <v>0.19711000000000001</v>
      </c>
      <c r="AG370" s="34">
        <v>45355</v>
      </c>
      <c r="AH370" s="35">
        <v>0.19681000000000001</v>
      </c>
      <c r="AI370" s="36">
        <v>-8.3720714020081854E-2</v>
      </c>
      <c r="AK370" s="34">
        <v>45344</v>
      </c>
      <c r="AL370" s="35">
        <v>0.22119</v>
      </c>
      <c r="AM370" s="34">
        <v>45358</v>
      </c>
      <c r="AN370" s="5">
        <v>0.19833000000000001</v>
      </c>
      <c r="AP370" s="36">
        <v>-0.10335006103350053</v>
      </c>
      <c r="AS370" s="5" t="s">
        <v>12392</v>
      </c>
      <c r="AT370" s="5" t="s">
        <v>12400</v>
      </c>
      <c r="AU370" s="5" t="s">
        <v>12400</v>
      </c>
      <c r="AV370" s="5" t="s">
        <v>12400</v>
      </c>
      <c r="AW370" s="5" t="s">
        <v>12400</v>
      </c>
      <c r="AX370" s="5">
        <v>100</v>
      </c>
      <c r="AZ370" s="49" t="s">
        <v>12415</v>
      </c>
      <c r="BA370" s="50" t="s">
        <v>12415</v>
      </c>
      <c r="BC370" s="51">
        <v>0.34660999999999997</v>
      </c>
    </row>
    <row r="371" spans="1:55" ht="15" customHeight="1" x14ac:dyDescent="0.4">
      <c r="A371" s="27" t="s">
        <v>11295</v>
      </c>
      <c r="B371" s="44" t="s">
        <v>12247</v>
      </c>
      <c r="C371" s="45" t="s">
        <v>11781</v>
      </c>
      <c r="D371" s="47">
        <v>0.57899999999999996</v>
      </c>
      <c r="E371" s="45" t="s">
        <v>12357</v>
      </c>
      <c r="F371" s="45"/>
      <c r="G371" s="9">
        <v>10.07746</v>
      </c>
      <c r="H371" s="9">
        <v>4.4108000000000001</v>
      </c>
      <c r="I371" s="9">
        <v>8.0587999999999997</v>
      </c>
      <c r="J371" s="9">
        <v>28.184249999999999</v>
      </c>
      <c r="K371" s="9">
        <v>28.184249999999999</v>
      </c>
      <c r="L371" s="9">
        <v>4.1626099999999999</v>
      </c>
      <c r="M371" s="9">
        <v>-2.75528</v>
      </c>
      <c r="N371" s="10" t="s">
        <v>12468</v>
      </c>
      <c r="P371" s="32">
        <v>45351</v>
      </c>
      <c r="R371" s="35">
        <v>3.26999</v>
      </c>
      <c r="S371" s="34">
        <v>45350</v>
      </c>
      <c r="T371" s="35">
        <v>3.2973699999999999</v>
      </c>
      <c r="U371" s="34">
        <v>45349</v>
      </c>
      <c r="V371" s="35">
        <v>3.3505199999999999</v>
      </c>
      <c r="W371" s="34">
        <v>45348</v>
      </c>
      <c r="X371" s="35">
        <v>3.25482</v>
      </c>
      <c r="Y371" s="34">
        <v>45347</v>
      </c>
      <c r="Z371" s="35">
        <v>3.2169699999999999</v>
      </c>
      <c r="AA371" s="34">
        <v>45352</v>
      </c>
      <c r="AB371" s="35">
        <v>3.3405399999999998</v>
      </c>
      <c r="AC371" s="34">
        <v>45353</v>
      </c>
      <c r="AD371" s="35">
        <v>3.3405399999999998</v>
      </c>
      <c r="AE371" s="34">
        <v>45354</v>
      </c>
      <c r="AF371" s="35">
        <v>3.3405399999999998</v>
      </c>
      <c r="AG371" s="34">
        <v>45355</v>
      </c>
      <c r="AH371" s="35">
        <v>3.3609100000000001</v>
      </c>
      <c r="AI371" s="36">
        <v>1.3092252310174413E-2</v>
      </c>
      <c r="AK371" s="34">
        <v>45344</v>
      </c>
      <c r="AL371" s="35">
        <v>3.2702200000000001</v>
      </c>
      <c r="AM371" s="34">
        <v>45358</v>
      </c>
      <c r="AN371" s="5">
        <v>3.3142499999999999</v>
      </c>
      <c r="AP371" s="36">
        <v>1.346392597439916E-2</v>
      </c>
      <c r="AS371" s="5" t="s">
        <v>12387</v>
      </c>
      <c r="AT371" s="5">
        <v>0.28899999999999998</v>
      </c>
      <c r="AU371" s="5">
        <v>100</v>
      </c>
      <c r="AV371" s="5" t="s">
        <v>12400</v>
      </c>
      <c r="AW371" s="5" t="s">
        <v>12400</v>
      </c>
      <c r="AX371" s="5" t="s">
        <v>12400</v>
      </c>
      <c r="AZ371" s="49" t="s">
        <v>12409</v>
      </c>
      <c r="BA371" s="50" t="s">
        <v>12409</v>
      </c>
      <c r="BC371" s="51">
        <v>0.69272</v>
      </c>
    </row>
    <row r="372" spans="1:55" ht="15" customHeight="1" x14ac:dyDescent="0.4">
      <c r="A372" s="27" t="s">
        <v>11279</v>
      </c>
      <c r="B372" s="44" t="s">
        <v>12231</v>
      </c>
      <c r="C372" s="45" t="s">
        <v>11782</v>
      </c>
      <c r="D372" s="46">
        <v>2.16</v>
      </c>
      <c r="E372" s="45" t="s">
        <v>12357</v>
      </c>
      <c r="F372" s="45"/>
      <c r="G372" s="9">
        <v>1.39E-3</v>
      </c>
      <c r="H372" s="9">
        <v>-1.3740000000000001</v>
      </c>
      <c r="I372" s="9">
        <v>-105.6923</v>
      </c>
      <c r="J372" s="9">
        <v>0.38100000000000001</v>
      </c>
      <c r="K372" s="9">
        <v>0.38100000000000001</v>
      </c>
      <c r="L372" s="9">
        <v>4.4999999999999998E-2</v>
      </c>
      <c r="M372" s="9">
        <v>3.294</v>
      </c>
      <c r="N372" s="10" t="s">
        <v>12468</v>
      </c>
      <c r="P372" s="32">
        <v>45350</v>
      </c>
      <c r="R372" s="35">
        <v>14.99925</v>
      </c>
      <c r="S372" s="34">
        <v>45349</v>
      </c>
      <c r="T372" s="35">
        <v>14.99925</v>
      </c>
      <c r="U372" s="34">
        <v>45348</v>
      </c>
      <c r="V372" s="35">
        <v>14.99925</v>
      </c>
      <c r="W372" s="34">
        <v>45347</v>
      </c>
      <c r="X372" s="35">
        <v>14.99925</v>
      </c>
      <c r="Y372" s="34">
        <v>45346</v>
      </c>
      <c r="Z372" s="35">
        <v>14.99925</v>
      </c>
      <c r="AA372" s="34">
        <v>45351</v>
      </c>
      <c r="AB372" s="35">
        <v>14.99925</v>
      </c>
      <c r="AC372" s="34">
        <v>45352</v>
      </c>
      <c r="AD372" s="35">
        <v>14.99925</v>
      </c>
      <c r="AE372" s="34">
        <v>45353</v>
      </c>
      <c r="AF372" s="35">
        <v>14.99925</v>
      </c>
      <c r="AG372" s="34">
        <v>45354</v>
      </c>
      <c r="AH372" s="35">
        <v>14.99925</v>
      </c>
      <c r="AI372" s="36">
        <v>0</v>
      </c>
      <c r="AK372" s="34">
        <v>45343</v>
      </c>
      <c r="AL372" s="35">
        <v>14.99925</v>
      </c>
      <c r="AM372" s="34">
        <v>45357</v>
      </c>
      <c r="AN372" s="5">
        <v>14.99925</v>
      </c>
      <c r="AP372" s="36">
        <v>0</v>
      </c>
      <c r="AS372" s="5" t="s">
        <v>12387</v>
      </c>
      <c r="AT372" s="5">
        <v>2.16</v>
      </c>
      <c r="AU372" s="5">
        <v>100</v>
      </c>
      <c r="AV372" s="5" t="s">
        <v>12400</v>
      </c>
      <c r="AW372" s="5" t="s">
        <v>12400</v>
      </c>
      <c r="AX372" s="5" t="s">
        <v>12400</v>
      </c>
      <c r="AZ372" s="49" t="s">
        <v>12412</v>
      </c>
      <c r="BA372" s="50" t="s">
        <v>12430</v>
      </c>
      <c r="BC372" s="51">
        <v>21.365279999999998</v>
      </c>
    </row>
    <row r="373" spans="1:55" ht="15" customHeight="1" x14ac:dyDescent="0.4">
      <c r="A373" s="27" t="s">
        <v>11296</v>
      </c>
      <c r="B373" s="44" t="s">
        <v>12248</v>
      </c>
      <c r="C373" s="45" t="s">
        <v>11783</v>
      </c>
      <c r="D373" s="46">
        <v>249.19</v>
      </c>
      <c r="E373" s="45" t="s">
        <v>12357</v>
      </c>
      <c r="F373" s="45"/>
      <c r="G373" s="9">
        <v>116.90423</v>
      </c>
      <c r="H373" s="9">
        <v>1279.76125</v>
      </c>
      <c r="I373" s="9">
        <v>29.658200000000001</v>
      </c>
      <c r="J373" s="9">
        <v>4930.1425900000004</v>
      </c>
      <c r="K373" s="9">
        <v>4930.1425900000004</v>
      </c>
      <c r="L373" s="9">
        <v>524.59379000000001</v>
      </c>
      <c r="M373" s="9">
        <v>1531.0047500000001</v>
      </c>
      <c r="N373" s="10" t="s">
        <v>12466</v>
      </c>
      <c r="P373" s="32">
        <v>45350</v>
      </c>
      <c r="R373" s="35">
        <v>36.858069999999998</v>
      </c>
      <c r="S373" s="34">
        <v>45349</v>
      </c>
      <c r="T373" s="35">
        <v>37.135109999999997</v>
      </c>
      <c r="U373" s="34">
        <v>45348</v>
      </c>
      <c r="V373" s="35">
        <v>36.884360000000001</v>
      </c>
      <c r="W373" s="34">
        <v>45347</v>
      </c>
      <c r="X373" s="35">
        <v>36.784590000000001</v>
      </c>
      <c r="Y373" s="34">
        <v>45346</v>
      </c>
      <c r="Z373" s="35">
        <v>36.784590000000001</v>
      </c>
      <c r="AA373" s="34">
        <v>45351</v>
      </c>
      <c r="AB373" s="35">
        <v>36.968980000000002</v>
      </c>
      <c r="AC373" s="34">
        <v>45352</v>
      </c>
      <c r="AD373" s="35">
        <v>38.107610000000001</v>
      </c>
      <c r="AE373" s="34">
        <v>45353</v>
      </c>
      <c r="AF373" s="35">
        <v>38.107610000000001</v>
      </c>
      <c r="AG373" s="34">
        <v>45354</v>
      </c>
      <c r="AH373" s="35">
        <v>38.107610000000001</v>
      </c>
      <c r="AI373" s="36">
        <v>-4.4736638722759903E-3</v>
      </c>
      <c r="AK373" s="34">
        <v>45343</v>
      </c>
      <c r="AL373" s="35">
        <v>36.78633</v>
      </c>
      <c r="AM373" s="34">
        <v>45357</v>
      </c>
      <c r="AN373" s="5">
        <v>38.918570000000003</v>
      </c>
      <c r="AP373" s="36">
        <v>5.7962835651178102E-2</v>
      </c>
      <c r="AS373" s="5" t="s">
        <v>12387</v>
      </c>
      <c r="AT373" s="5" t="s">
        <v>12400</v>
      </c>
      <c r="AU373" s="5" t="s">
        <v>12400</v>
      </c>
      <c r="AV373" s="5" t="s">
        <v>12400</v>
      </c>
      <c r="AW373" s="5" t="s">
        <v>12400</v>
      </c>
      <c r="AX373" s="5" t="s">
        <v>12400</v>
      </c>
      <c r="AZ373" s="49" t="s">
        <v>12410</v>
      </c>
      <c r="BA373" s="50" t="s">
        <v>12416</v>
      </c>
      <c r="BC373" s="51">
        <v>0.77193999999999996</v>
      </c>
    </row>
    <row r="374" spans="1:55" ht="15" customHeight="1" x14ac:dyDescent="0.4">
      <c r="A374" s="27" t="s">
        <v>11195</v>
      </c>
      <c r="B374" s="44" t="s">
        <v>12143</v>
      </c>
      <c r="C374" s="45" t="s">
        <v>11784</v>
      </c>
      <c r="D374" s="46">
        <v>950.42</v>
      </c>
      <c r="E374" s="45" t="s">
        <v>12357</v>
      </c>
      <c r="F374" s="45"/>
      <c r="G374" s="9">
        <v>151.33593999999999</v>
      </c>
      <c r="H374" s="9">
        <v>604</v>
      </c>
      <c r="I374" s="9">
        <v>20.374400000000001</v>
      </c>
      <c r="J374" s="9">
        <v>4249.8999999999996</v>
      </c>
      <c r="K374" s="9">
        <v>4249.8999999999996</v>
      </c>
      <c r="L374" s="9">
        <v>488.3</v>
      </c>
      <c r="M374" s="9">
        <v>879.3</v>
      </c>
      <c r="N374" s="10" t="s">
        <v>12465</v>
      </c>
      <c r="P374" s="32">
        <v>45350</v>
      </c>
      <c r="R374" s="35">
        <v>86.48</v>
      </c>
      <c r="S374" s="34">
        <v>45349</v>
      </c>
      <c r="T374" s="35">
        <v>83.7</v>
      </c>
      <c r="U374" s="34">
        <v>45348</v>
      </c>
      <c r="V374" s="35">
        <v>83.6</v>
      </c>
      <c r="W374" s="34">
        <v>45347</v>
      </c>
      <c r="X374" s="35">
        <v>84.67</v>
      </c>
      <c r="Y374" s="34">
        <v>45346</v>
      </c>
      <c r="Z374" s="35">
        <v>84.67</v>
      </c>
      <c r="AA374" s="34">
        <v>45351</v>
      </c>
      <c r="AB374" s="35">
        <v>86.54</v>
      </c>
      <c r="AC374" s="34">
        <v>45352</v>
      </c>
      <c r="AD374" s="35">
        <v>88.33</v>
      </c>
      <c r="AE374" s="34">
        <v>45353</v>
      </c>
      <c r="AF374" s="35">
        <v>88.33</v>
      </c>
      <c r="AG374" s="34">
        <v>45354</v>
      </c>
      <c r="AH374" s="35">
        <v>88.33</v>
      </c>
      <c r="AI374" s="36">
        <v>3.3930704898446962E-2</v>
      </c>
      <c r="AK374" s="34">
        <v>45343</v>
      </c>
      <c r="AL374" s="35">
        <v>81.92</v>
      </c>
      <c r="AM374" s="34">
        <v>45357</v>
      </c>
      <c r="AN374" s="5">
        <v>90.53</v>
      </c>
      <c r="AP374" s="36">
        <v>0.1051025390625</v>
      </c>
      <c r="AS374" s="5" t="s">
        <v>12387</v>
      </c>
      <c r="AT374" s="5">
        <v>950.42</v>
      </c>
      <c r="AU374" s="5">
        <v>100</v>
      </c>
      <c r="AV374" s="5" t="s">
        <v>12400</v>
      </c>
      <c r="AW374" s="5" t="s">
        <v>12400</v>
      </c>
      <c r="AX374" s="5" t="s">
        <v>12400</v>
      </c>
      <c r="AZ374" s="49" t="s">
        <v>12403</v>
      </c>
      <c r="BA374" s="50" t="s">
        <v>12410</v>
      </c>
      <c r="BC374" s="51">
        <v>1.17363</v>
      </c>
    </row>
    <row r="375" spans="1:55" ht="15" customHeight="1" x14ac:dyDescent="0.4">
      <c r="A375" s="27" t="s">
        <v>11297</v>
      </c>
      <c r="B375" s="44" t="s">
        <v>12249</v>
      </c>
      <c r="C375" s="45" t="s">
        <v>11785</v>
      </c>
      <c r="D375" s="46">
        <v>3.49</v>
      </c>
      <c r="E375" s="45" t="s">
        <v>12357</v>
      </c>
      <c r="F375" s="45"/>
      <c r="G375" s="9">
        <v>58.229939999999999</v>
      </c>
      <c r="H375" s="9">
        <v>-9.5626999999999995</v>
      </c>
      <c r="I375" s="9">
        <v>-65.992099999999994</v>
      </c>
      <c r="J375" s="9">
        <v>75.590549999999993</v>
      </c>
      <c r="K375" s="9">
        <v>75.590549999999993</v>
      </c>
      <c r="L375" s="9">
        <v>1.3566100000000001</v>
      </c>
      <c r="M375" s="9">
        <v>0.95806999999999998</v>
      </c>
      <c r="N375" s="10" t="s">
        <v>12467</v>
      </c>
      <c r="P375" s="32">
        <v>45350</v>
      </c>
      <c r="R375" s="35">
        <v>0.41</v>
      </c>
      <c r="S375" s="34">
        <v>45349</v>
      </c>
      <c r="T375" s="35">
        <v>0.38991999999999999</v>
      </c>
      <c r="U375" s="34">
        <v>45348</v>
      </c>
      <c r="V375" s="35">
        <v>0.37842999999999999</v>
      </c>
      <c r="W375" s="34">
        <v>45347</v>
      </c>
      <c r="X375" s="35">
        <v>0.42294999999999999</v>
      </c>
      <c r="Y375" s="34">
        <v>45346</v>
      </c>
      <c r="Z375" s="35">
        <v>0.42294999999999999</v>
      </c>
      <c r="AA375" s="34">
        <v>45351</v>
      </c>
      <c r="AB375" s="35">
        <v>0.44370999999999999</v>
      </c>
      <c r="AC375" s="34">
        <v>45352</v>
      </c>
      <c r="AD375" s="35">
        <v>0.47444999999999998</v>
      </c>
      <c r="AE375" s="34">
        <v>45353</v>
      </c>
      <c r="AF375" s="35">
        <v>0.47444999999999998</v>
      </c>
      <c r="AG375" s="34">
        <v>45354</v>
      </c>
      <c r="AH375" s="35">
        <v>0.47444999999999998</v>
      </c>
      <c r="AI375" s="36">
        <v>0.13795137464095197</v>
      </c>
      <c r="AK375" s="34">
        <v>45343</v>
      </c>
      <c r="AL375" s="35">
        <v>0.43958999999999998</v>
      </c>
      <c r="AM375" s="34">
        <v>45357</v>
      </c>
      <c r="AN375" s="5">
        <v>0.45191999999999999</v>
      </c>
      <c r="AP375" s="36">
        <v>2.8048863713915351E-2</v>
      </c>
      <c r="AS375" s="5" t="s">
        <v>721</v>
      </c>
      <c r="AT375" s="5" t="s">
        <v>12400</v>
      </c>
      <c r="AU375" s="5" t="s">
        <v>12400</v>
      </c>
      <c r="AV375" s="5" t="s">
        <v>12400</v>
      </c>
      <c r="AW375" s="5" t="s">
        <v>12400</v>
      </c>
      <c r="AX375" s="5" t="s">
        <v>12400</v>
      </c>
      <c r="AZ375" s="49" t="s">
        <v>12409</v>
      </c>
      <c r="BA375" s="50" t="s">
        <v>12448</v>
      </c>
      <c r="BC375" s="51">
        <v>0.91766999999999999</v>
      </c>
    </row>
    <row r="376" spans="1:55" ht="15" customHeight="1" x14ac:dyDescent="0.4">
      <c r="A376" s="27" t="s">
        <v>11298</v>
      </c>
      <c r="B376" s="44" t="s">
        <v>12250</v>
      </c>
      <c r="C376" s="45" t="s">
        <v>11786</v>
      </c>
      <c r="D376" s="46">
        <v>1293.54</v>
      </c>
      <c r="E376" s="45" t="s">
        <v>12357</v>
      </c>
      <c r="F376" s="45"/>
      <c r="G376" s="9">
        <v>1201.7697800000001</v>
      </c>
      <c r="H376" s="9">
        <v>754.06212000000005</v>
      </c>
      <c r="I376" s="9">
        <v>23.374199999999998</v>
      </c>
      <c r="J376" s="9">
        <v>7378.7996000000003</v>
      </c>
      <c r="K376" s="9">
        <v>7378.7996000000003</v>
      </c>
      <c r="L376" s="9">
        <v>685.64165000000003</v>
      </c>
      <c r="M376" s="9">
        <v>2067.8678</v>
      </c>
      <c r="N376" s="10" t="s">
        <v>12471</v>
      </c>
      <c r="P376" s="32">
        <v>45349</v>
      </c>
      <c r="R376" s="35">
        <v>10.6739</v>
      </c>
      <c r="S376" s="34">
        <v>45348</v>
      </c>
      <c r="T376" s="35">
        <v>10.366669999999999</v>
      </c>
      <c r="U376" s="34">
        <v>45347</v>
      </c>
      <c r="V376" s="35">
        <v>10.57016</v>
      </c>
      <c r="W376" s="34">
        <v>45346</v>
      </c>
      <c r="X376" s="35">
        <v>10.57016</v>
      </c>
      <c r="Y376" s="34">
        <v>45345</v>
      </c>
      <c r="Z376" s="35">
        <v>10.57016</v>
      </c>
      <c r="AA376" s="34">
        <v>45350</v>
      </c>
      <c r="AB376" s="35">
        <v>10.296860000000001</v>
      </c>
      <c r="AC376" s="34">
        <v>45351</v>
      </c>
      <c r="AD376" s="35">
        <v>10.130800000000001</v>
      </c>
      <c r="AE376" s="34">
        <v>45352</v>
      </c>
      <c r="AF376" s="35">
        <v>10.25658</v>
      </c>
      <c r="AG376" s="34">
        <v>45353</v>
      </c>
      <c r="AH376" s="35">
        <v>10.25658</v>
      </c>
      <c r="AI376" s="36">
        <v>-6.7340814359865275E-3</v>
      </c>
      <c r="AK376" s="34">
        <v>45342</v>
      </c>
      <c r="AL376" s="35">
        <v>10.62209</v>
      </c>
      <c r="AM376" s="34">
        <v>45356</v>
      </c>
      <c r="AN376" s="5">
        <v>10.23691</v>
      </c>
      <c r="AP376" s="36">
        <v>-3.6262166861700473E-2</v>
      </c>
      <c r="AS376" s="5" t="s">
        <v>12387</v>
      </c>
      <c r="AT376" s="5">
        <v>1172</v>
      </c>
      <c r="AU376" s="5">
        <v>100</v>
      </c>
      <c r="AV376" s="5" t="s">
        <v>12400</v>
      </c>
      <c r="AW376" s="5" t="s">
        <v>12400</v>
      </c>
      <c r="AX376" s="5" t="s">
        <v>12400</v>
      </c>
      <c r="AZ376" s="49" t="s">
        <v>12416</v>
      </c>
      <c r="BA376" s="50" t="s">
        <v>12410</v>
      </c>
      <c r="BC376" s="51">
        <v>0.45269999999999999</v>
      </c>
    </row>
    <row r="377" spans="1:55" ht="15" customHeight="1" x14ac:dyDescent="0.4">
      <c r="A377" s="27" t="s">
        <v>11299</v>
      </c>
      <c r="B377" s="44" t="s">
        <v>12251</v>
      </c>
      <c r="C377" s="45" t="s">
        <v>11787</v>
      </c>
      <c r="D377" s="46">
        <v>13.68</v>
      </c>
      <c r="E377" s="45" t="s">
        <v>12357</v>
      </c>
      <c r="F377" s="45"/>
      <c r="G377" s="9">
        <v>36.952069999999999</v>
      </c>
      <c r="H377" s="9">
        <v>261.46456999999998</v>
      </c>
      <c r="I377" s="9">
        <v>55.306199999999997</v>
      </c>
      <c r="J377" s="9">
        <v>681.31867</v>
      </c>
      <c r="K377" s="9">
        <v>681.31867</v>
      </c>
      <c r="L377" s="9">
        <v>295.71017999999998</v>
      </c>
      <c r="M377" s="9">
        <v>-287.29523999999998</v>
      </c>
      <c r="N377" s="10" t="s">
        <v>12469</v>
      </c>
      <c r="P377" s="32">
        <v>45349</v>
      </c>
      <c r="R377" s="35">
        <v>150.18991</v>
      </c>
      <c r="S377" s="34">
        <v>45348</v>
      </c>
      <c r="T377" s="35">
        <v>137.88239999999999</v>
      </c>
      <c r="U377" s="34">
        <v>45347</v>
      </c>
      <c r="V377" s="35">
        <v>137.07670999999999</v>
      </c>
      <c r="W377" s="34">
        <v>45346</v>
      </c>
      <c r="X377" s="35">
        <v>137.07670999999999</v>
      </c>
      <c r="Y377" s="34">
        <v>45345</v>
      </c>
      <c r="Z377" s="35">
        <v>137.07670999999999</v>
      </c>
      <c r="AA377" s="34">
        <v>45350</v>
      </c>
      <c r="AB377" s="35">
        <v>152.76273</v>
      </c>
      <c r="AC377" s="34">
        <v>45351</v>
      </c>
      <c r="AD377" s="35">
        <v>154.57787999999999</v>
      </c>
      <c r="AE377" s="34">
        <v>45352</v>
      </c>
      <c r="AF377" s="35">
        <v>155.67824999999999</v>
      </c>
      <c r="AG377" s="34">
        <v>45353</v>
      </c>
      <c r="AH377" s="35">
        <v>155.67824999999999</v>
      </c>
      <c r="AI377" s="36">
        <v>0.10792044524899502</v>
      </c>
      <c r="AK377" s="34">
        <v>45342</v>
      </c>
      <c r="AL377" s="35">
        <v>138.69955999999999</v>
      </c>
      <c r="AM377" s="34">
        <v>45356</v>
      </c>
      <c r="AN377" s="5">
        <v>161.48662999999999</v>
      </c>
      <c r="AP377" s="36">
        <v>0.16429086004310323</v>
      </c>
      <c r="AS377" s="5" t="s">
        <v>12387</v>
      </c>
      <c r="AT377" s="5">
        <v>13.68</v>
      </c>
      <c r="AU377" s="5">
        <v>100</v>
      </c>
      <c r="AV377" s="5" t="s">
        <v>12400</v>
      </c>
      <c r="AW377" s="5" t="s">
        <v>12400</v>
      </c>
      <c r="AX377" s="5" t="s">
        <v>12400</v>
      </c>
      <c r="AZ377" s="49" t="s">
        <v>12410</v>
      </c>
      <c r="BA377" s="50" t="s">
        <v>12414</v>
      </c>
      <c r="BC377" s="51">
        <v>0.48193999999999998</v>
      </c>
    </row>
    <row r="378" spans="1:55" ht="15" customHeight="1" x14ac:dyDescent="0.4">
      <c r="A378" s="27" t="s">
        <v>11300</v>
      </c>
      <c r="B378" s="44" t="s">
        <v>12252</v>
      </c>
      <c r="C378" s="45" t="s">
        <v>11788</v>
      </c>
      <c r="D378" s="46">
        <v>1.9</v>
      </c>
      <c r="E378" s="45" t="s">
        <v>12357</v>
      </c>
      <c r="F378" s="45"/>
      <c r="G378" s="9">
        <v>66.057649999999995</v>
      </c>
      <c r="H378" s="9">
        <v>-3.6322800000000002</v>
      </c>
      <c r="I378" s="9">
        <v>-31.206</v>
      </c>
      <c r="J378" s="9">
        <v>13.88517</v>
      </c>
      <c r="K378" s="9">
        <v>13.88517</v>
      </c>
      <c r="L378" s="9">
        <v>2.64541</v>
      </c>
      <c r="M378" s="9">
        <v>0.29543000000000003</v>
      </c>
      <c r="N378" s="10" t="s">
        <v>12466</v>
      </c>
      <c r="P378" s="32">
        <v>45348</v>
      </c>
      <c r="R378" s="35">
        <v>0.23455999999999999</v>
      </c>
      <c r="S378" s="34">
        <v>45347</v>
      </c>
      <c r="T378" s="35">
        <v>0.24459</v>
      </c>
      <c r="U378" s="34">
        <v>45346</v>
      </c>
      <c r="V378" s="35">
        <v>0.24459</v>
      </c>
      <c r="W378" s="34">
        <v>45345</v>
      </c>
      <c r="X378" s="35">
        <v>0.24459</v>
      </c>
      <c r="Y378" s="34">
        <v>45344</v>
      </c>
      <c r="Z378" s="35">
        <v>0.24393999999999999</v>
      </c>
      <c r="AA378" s="34">
        <v>45349</v>
      </c>
      <c r="AB378" s="35">
        <v>0.23474</v>
      </c>
      <c r="AC378" s="34">
        <v>45350</v>
      </c>
      <c r="AD378" s="35">
        <v>0.23093</v>
      </c>
      <c r="AE378" s="34">
        <v>45351</v>
      </c>
      <c r="AF378" s="35">
        <v>0.22739999999999999</v>
      </c>
      <c r="AG378" s="34">
        <v>45352</v>
      </c>
      <c r="AH378" s="35">
        <v>0.2306</v>
      </c>
      <c r="AI378" s="36">
        <v>-4.0271474712784694E-2</v>
      </c>
      <c r="AK378" s="34">
        <v>45341</v>
      </c>
      <c r="AL378" s="35">
        <v>0.21395</v>
      </c>
      <c r="AM378" s="34">
        <v>45355</v>
      </c>
      <c r="AN378" s="5">
        <v>0.2349</v>
      </c>
      <c r="AP378" s="36">
        <v>9.7920074783828026E-2</v>
      </c>
      <c r="AS378" s="5" t="s">
        <v>12387</v>
      </c>
      <c r="AT378" s="5">
        <v>1.9</v>
      </c>
      <c r="AU378" s="5">
        <v>100</v>
      </c>
      <c r="AV378" s="5" t="s">
        <v>12400</v>
      </c>
      <c r="AW378" s="5" t="s">
        <v>12400</v>
      </c>
      <c r="AX378" s="5" t="s">
        <v>12400</v>
      </c>
      <c r="AZ378" s="49" t="s">
        <v>12416</v>
      </c>
      <c r="BA378" s="50" t="s">
        <v>12430</v>
      </c>
      <c r="BC378" s="51">
        <v>0.63244999999999996</v>
      </c>
    </row>
    <row r="379" spans="1:55" ht="15" customHeight="1" x14ac:dyDescent="0.4">
      <c r="A379" s="27" t="s">
        <v>11301</v>
      </c>
      <c r="B379" s="44" t="s">
        <v>12253</v>
      </c>
      <c r="C379" s="45" t="s">
        <v>11789</v>
      </c>
      <c r="D379" s="46">
        <v>429.82</v>
      </c>
      <c r="E379" s="45" t="s">
        <v>12357</v>
      </c>
      <c r="F379" s="45"/>
      <c r="G379" s="9">
        <v>336.04602</v>
      </c>
      <c r="H379" s="9">
        <v>1245.60554</v>
      </c>
      <c r="I379" s="9">
        <v>8.2893000000000008</v>
      </c>
      <c r="J379" s="9">
        <v>11141.794470000001</v>
      </c>
      <c r="K379" s="9">
        <v>11141.794470000001</v>
      </c>
      <c r="L379" s="9">
        <v>1816.50278</v>
      </c>
      <c r="M379" s="9">
        <v>2214.2966299999998</v>
      </c>
      <c r="N379" s="10" t="s">
        <v>12467</v>
      </c>
      <c r="P379" s="32">
        <v>45348</v>
      </c>
      <c r="R379" s="35">
        <v>40.699370000000002</v>
      </c>
      <c r="S379" s="34">
        <v>45347</v>
      </c>
      <c r="T379" s="35">
        <v>41.897419999999997</v>
      </c>
      <c r="U379" s="34">
        <v>45346</v>
      </c>
      <c r="V379" s="35">
        <v>41.897419999999997</v>
      </c>
      <c r="W379" s="34">
        <v>45345</v>
      </c>
      <c r="X379" s="35">
        <v>41.897419999999997</v>
      </c>
      <c r="Y379" s="34">
        <v>45344</v>
      </c>
      <c r="Z379" s="35">
        <v>41.165840000000003</v>
      </c>
      <c r="AA379" s="34">
        <v>45349</v>
      </c>
      <c r="AB379" s="35">
        <v>40.414169999999999</v>
      </c>
      <c r="AC379" s="34">
        <v>45350</v>
      </c>
      <c r="AD379" s="35">
        <v>39.669989999999999</v>
      </c>
      <c r="AE379" s="34">
        <v>45351</v>
      </c>
      <c r="AF379" s="35">
        <v>39.833240000000004</v>
      </c>
      <c r="AG379" s="34">
        <v>45352</v>
      </c>
      <c r="AH379" s="35">
        <v>39.220149999999997</v>
      </c>
      <c r="AI379" s="36">
        <v>-3.5401941217382826E-2</v>
      </c>
      <c r="AK379" s="34">
        <v>45341</v>
      </c>
      <c r="AL379" s="35">
        <v>40.600580000000001</v>
      </c>
      <c r="AM379" s="34">
        <v>45355</v>
      </c>
      <c r="AN379" s="5">
        <v>38.929870000000001</v>
      </c>
      <c r="AP379" s="36">
        <v>-4.11499047550552E-2</v>
      </c>
      <c r="AS379" s="5" t="s">
        <v>12387</v>
      </c>
      <c r="AT379" s="5">
        <v>429.82</v>
      </c>
      <c r="AU379" s="5">
        <v>100</v>
      </c>
      <c r="AV379" s="5" t="s">
        <v>12400</v>
      </c>
      <c r="AW379" s="5" t="s">
        <v>12400</v>
      </c>
      <c r="AX379" s="5" t="s">
        <v>12400</v>
      </c>
      <c r="AZ379" s="49" t="s">
        <v>12415</v>
      </c>
      <c r="BA379" s="50" t="s">
        <v>12415</v>
      </c>
      <c r="BC379" s="51">
        <v>0.36576999999999998</v>
      </c>
    </row>
    <row r="380" spans="1:55" ht="15" customHeight="1" x14ac:dyDescent="0.4">
      <c r="A380" s="27" t="s">
        <v>11302</v>
      </c>
      <c r="B380" s="44" t="s">
        <v>12254</v>
      </c>
      <c r="C380" s="45" t="s">
        <v>11790</v>
      </c>
      <c r="D380" s="46">
        <v>3.38</v>
      </c>
      <c r="E380" s="45" t="s">
        <v>12357</v>
      </c>
      <c r="F380" s="45"/>
      <c r="G380" s="9">
        <v>26.45609</v>
      </c>
      <c r="H380" s="9">
        <v>22.986709999999999</v>
      </c>
      <c r="I380" s="9">
        <v>12.3203</v>
      </c>
      <c r="J380" s="9">
        <v>342.74700999999999</v>
      </c>
      <c r="K380" s="9">
        <v>342.74700999999999</v>
      </c>
      <c r="L380" s="9">
        <v>82.014269999999996</v>
      </c>
      <c r="M380" s="9">
        <v>-31.246420000000001</v>
      </c>
      <c r="N380" s="10" t="s">
        <v>12467</v>
      </c>
      <c r="P380" s="32">
        <v>45348</v>
      </c>
      <c r="R380" s="35">
        <v>12.063610000000001</v>
      </c>
      <c r="S380" s="34">
        <v>45347</v>
      </c>
      <c r="T380" s="35">
        <v>11.75258</v>
      </c>
      <c r="U380" s="34">
        <v>45346</v>
      </c>
      <c r="V380" s="35">
        <v>11.75258</v>
      </c>
      <c r="W380" s="34">
        <v>45345</v>
      </c>
      <c r="X380" s="35">
        <v>11.75258</v>
      </c>
      <c r="Y380" s="34">
        <v>45344</v>
      </c>
      <c r="Z380" s="35">
        <v>11.73798</v>
      </c>
      <c r="AA380" s="34">
        <v>45349</v>
      </c>
      <c r="AB380" s="35">
        <v>11.63494</v>
      </c>
      <c r="AC380" s="34">
        <v>45350</v>
      </c>
      <c r="AD380" s="35">
        <v>11.36364</v>
      </c>
      <c r="AE380" s="34">
        <v>45351</v>
      </c>
      <c r="AF380" s="35">
        <v>10.804639999999999</v>
      </c>
      <c r="AG380" s="34">
        <v>45352</v>
      </c>
      <c r="AH380" s="35">
        <v>10.608700000000001</v>
      </c>
      <c r="AI380" s="36">
        <v>-1.0009717015327713E-2</v>
      </c>
      <c r="AK380" s="34">
        <v>45341</v>
      </c>
      <c r="AL380" s="35">
        <v>12.166130000000001</v>
      </c>
      <c r="AM380" s="34">
        <v>45355</v>
      </c>
      <c r="AN380" s="5">
        <v>10.57934</v>
      </c>
      <c r="AP380" s="36">
        <v>-0.1304268489651188</v>
      </c>
      <c r="AS380" s="5" t="s">
        <v>12387</v>
      </c>
      <c r="AT380" s="5">
        <v>3.38</v>
      </c>
      <c r="AU380" s="5">
        <v>100</v>
      </c>
      <c r="AV380" s="5" t="s">
        <v>12400</v>
      </c>
      <c r="AW380" s="5" t="s">
        <v>12400</v>
      </c>
      <c r="AX380" s="5" t="s">
        <v>12400</v>
      </c>
      <c r="AZ380" s="49" t="s">
        <v>12423</v>
      </c>
      <c r="BA380" s="50" t="s">
        <v>12416</v>
      </c>
      <c r="BC380" s="51">
        <v>0.76532</v>
      </c>
    </row>
    <row r="381" spans="1:55" ht="15" customHeight="1" x14ac:dyDescent="0.4">
      <c r="A381" s="27" t="s">
        <v>11303</v>
      </c>
      <c r="B381" s="44" t="s">
        <v>12255</v>
      </c>
      <c r="C381" s="45" t="s">
        <v>11791</v>
      </c>
      <c r="D381" s="46">
        <v>1136.78</v>
      </c>
      <c r="E381" s="45" t="s">
        <v>12357</v>
      </c>
      <c r="F381" s="45"/>
      <c r="G381" s="9">
        <v>666</v>
      </c>
      <c r="H381" s="9">
        <v>2047.08743</v>
      </c>
      <c r="I381" s="9">
        <v>11.3529</v>
      </c>
      <c r="J381" s="9">
        <v>16597.767210000002</v>
      </c>
      <c r="K381" s="9">
        <v>16597.767210000002</v>
      </c>
      <c r="L381" s="9">
        <v>850.00553000000002</v>
      </c>
      <c r="M381" s="9">
        <v>3787.99602</v>
      </c>
      <c r="N381" s="10" t="s">
        <v>12474</v>
      </c>
      <c r="P381" s="32">
        <v>45348</v>
      </c>
      <c r="R381" s="35">
        <v>6.87242</v>
      </c>
      <c r="S381" s="34">
        <v>45347</v>
      </c>
      <c r="T381" s="35">
        <v>6.8105599999999997</v>
      </c>
      <c r="U381" s="34">
        <v>45346</v>
      </c>
      <c r="V381" s="35">
        <v>6.8105599999999997</v>
      </c>
      <c r="W381" s="34">
        <v>45345</v>
      </c>
      <c r="X381" s="35">
        <v>6.8105599999999997</v>
      </c>
      <c r="Y381" s="34">
        <v>45344</v>
      </c>
      <c r="Z381" s="35">
        <v>6.7549999999999999</v>
      </c>
      <c r="AA381" s="34">
        <v>45349</v>
      </c>
      <c r="AB381" s="35">
        <v>7.2490500000000004</v>
      </c>
      <c r="AC381" s="34">
        <v>45350</v>
      </c>
      <c r="AD381" s="35">
        <v>7.2589399999999999</v>
      </c>
      <c r="AE381" s="34">
        <v>45351</v>
      </c>
      <c r="AF381" s="35">
        <v>7.2694799999999997</v>
      </c>
      <c r="AG381" s="34">
        <v>45352</v>
      </c>
      <c r="AH381" s="35">
        <v>7.0639799999999999</v>
      </c>
      <c r="AI381" s="36">
        <v>6.4383839214396499E-2</v>
      </c>
      <c r="AK381" s="34">
        <v>45341</v>
      </c>
      <c r="AL381" s="35">
        <v>6.8321300000000003</v>
      </c>
      <c r="AM381" s="34">
        <v>45355</v>
      </c>
      <c r="AN381" s="5">
        <v>7.1304400000000001</v>
      </c>
      <c r="AP381" s="36">
        <v>4.3662810865718216E-2</v>
      </c>
      <c r="AS381" s="5" t="s">
        <v>721</v>
      </c>
      <c r="AT381" s="5" t="s">
        <v>12400</v>
      </c>
      <c r="AU381" s="5" t="s">
        <v>12400</v>
      </c>
      <c r="AV381" s="5" t="s">
        <v>12400</v>
      </c>
      <c r="AW381" s="5" t="s">
        <v>12400</v>
      </c>
      <c r="AX381" s="5">
        <v>100</v>
      </c>
      <c r="AZ381" s="49" t="s">
        <v>12406</v>
      </c>
      <c r="BA381" s="50" t="s">
        <v>12406</v>
      </c>
      <c r="BC381" s="51">
        <v>1.2803100000000001</v>
      </c>
    </row>
    <row r="382" spans="1:55" ht="15" customHeight="1" x14ac:dyDescent="0.4">
      <c r="A382" s="27" t="s">
        <v>11304</v>
      </c>
      <c r="B382" s="44" t="s">
        <v>12256</v>
      </c>
      <c r="C382" s="45" t="s">
        <v>11792</v>
      </c>
      <c r="D382" s="47">
        <v>1.6E-2</v>
      </c>
      <c r="E382" s="45" t="s">
        <v>12357</v>
      </c>
      <c r="F382" s="45"/>
      <c r="G382" s="9">
        <v>36.700000000000003</v>
      </c>
      <c r="H382" s="9">
        <v>0</v>
      </c>
      <c r="I382" s="9">
        <v>0</v>
      </c>
      <c r="J382" s="9">
        <v>39.602710000000002</v>
      </c>
      <c r="K382" s="9">
        <v>39.602710000000002</v>
      </c>
      <c r="L382" s="9">
        <v>1.71913</v>
      </c>
      <c r="M382" s="9">
        <v>13.043799999999999</v>
      </c>
      <c r="N382" s="10" t="s">
        <v>12475</v>
      </c>
      <c r="P382" s="32">
        <v>45348</v>
      </c>
      <c r="R382" s="35">
        <v>0.58248999999999995</v>
      </c>
      <c r="S382" s="34">
        <v>45347</v>
      </c>
      <c r="T382" s="35">
        <v>0.58101000000000003</v>
      </c>
      <c r="U382" s="34">
        <v>45346</v>
      </c>
      <c r="V382" s="35">
        <v>0.58101000000000003</v>
      </c>
      <c r="W382" s="34">
        <v>45345</v>
      </c>
      <c r="X382" s="35">
        <v>0.58101000000000003</v>
      </c>
      <c r="Y382" s="34">
        <v>45344</v>
      </c>
      <c r="Z382" s="35">
        <v>0.58059000000000005</v>
      </c>
      <c r="AA382" s="34">
        <v>45349</v>
      </c>
      <c r="AB382" s="35">
        <v>0.58265</v>
      </c>
      <c r="AC382" s="34">
        <v>45350</v>
      </c>
      <c r="AD382" s="35">
        <v>0.60377999999999998</v>
      </c>
      <c r="AE382" s="34">
        <v>45351</v>
      </c>
      <c r="AF382" s="35">
        <v>0.60243999999999998</v>
      </c>
      <c r="AG382" s="34">
        <v>45352</v>
      </c>
      <c r="AH382" s="35">
        <v>0.60321000000000002</v>
      </c>
      <c r="AI382" s="36">
        <v>2.8226708662502098E-3</v>
      </c>
      <c r="AK382" s="34">
        <v>45341</v>
      </c>
      <c r="AL382" s="35">
        <v>0.58357000000000003</v>
      </c>
      <c r="AM382" s="34">
        <v>45355</v>
      </c>
      <c r="AN382" s="5">
        <v>0.60404999999999998</v>
      </c>
      <c r="AP382" s="36">
        <v>3.5094333156262314E-2</v>
      </c>
      <c r="AS382" s="5" t="s">
        <v>12387</v>
      </c>
      <c r="AT382" s="5">
        <v>1.6E-2</v>
      </c>
      <c r="AU382" s="5">
        <v>100</v>
      </c>
      <c r="AV382" s="5" t="s">
        <v>12400</v>
      </c>
      <c r="AW382" s="5" t="s">
        <v>12400</v>
      </c>
      <c r="AX382" s="5" t="s">
        <v>12400</v>
      </c>
      <c r="AZ382" s="49" t="s">
        <v>12450</v>
      </c>
      <c r="BA382" s="50" t="s">
        <v>12406</v>
      </c>
      <c r="BC382" s="51">
        <v>3.6880000000000003E-2</v>
      </c>
    </row>
    <row r="383" spans="1:55" ht="15" customHeight="1" x14ac:dyDescent="0.4">
      <c r="A383" s="27" t="s">
        <v>10991</v>
      </c>
      <c r="B383" s="44" t="s">
        <v>11936</v>
      </c>
      <c r="C383" s="45" t="s">
        <v>11793</v>
      </c>
      <c r="D383" s="46">
        <v>2.0099999999999998</v>
      </c>
      <c r="E383" s="45" t="s">
        <v>12357</v>
      </c>
      <c r="F383" s="45"/>
      <c r="G383" s="9">
        <v>126</v>
      </c>
      <c r="H383" s="9">
        <v>486.15562999999997</v>
      </c>
      <c r="I383" s="9">
        <v>6.8479000000000001</v>
      </c>
      <c r="J383" s="9">
        <v>4203.8123100000003</v>
      </c>
      <c r="K383" s="9">
        <v>4203.8123100000003</v>
      </c>
      <c r="L383" s="9">
        <v>481.65800999999999</v>
      </c>
      <c r="M383" s="9">
        <v>296.54471000000001</v>
      </c>
      <c r="N383" s="10" t="s">
        <v>12468</v>
      </c>
      <c r="P383" s="32">
        <v>45345</v>
      </c>
      <c r="R383" s="35">
        <v>52.850810000000003</v>
      </c>
      <c r="S383" s="34">
        <v>45344</v>
      </c>
      <c r="T383" s="35">
        <v>52.65549</v>
      </c>
      <c r="U383" s="34">
        <v>45343</v>
      </c>
      <c r="V383" s="35">
        <v>50.021630000000002</v>
      </c>
      <c r="W383" s="34">
        <v>45342</v>
      </c>
      <c r="X383" s="35">
        <v>50.027050000000003</v>
      </c>
      <c r="Y383" s="34">
        <v>45341</v>
      </c>
      <c r="Z383" s="35">
        <v>50.080759999999998</v>
      </c>
      <c r="AA383" s="34">
        <v>45346</v>
      </c>
      <c r="AB383" s="35">
        <v>52.850810000000003</v>
      </c>
      <c r="AC383" s="34">
        <v>45347</v>
      </c>
      <c r="AD383" s="35">
        <v>52.850810000000003</v>
      </c>
      <c r="AE383" s="34">
        <v>45348</v>
      </c>
      <c r="AF383" s="35">
        <v>51.800820000000002</v>
      </c>
      <c r="AG383" s="34">
        <v>45349</v>
      </c>
      <c r="AH383" s="35">
        <v>51.785130000000002</v>
      </c>
      <c r="AI383" s="36">
        <v>3.7093947848554354E-3</v>
      </c>
      <c r="AK383" s="34">
        <v>45338</v>
      </c>
      <c r="AL383" s="35">
        <v>53.038139999999999</v>
      </c>
      <c r="AM383" s="34">
        <v>45352</v>
      </c>
      <c r="AN383" s="5">
        <v>52.25723</v>
      </c>
      <c r="AP383" s="36">
        <v>-1.4723555539466471E-2</v>
      </c>
      <c r="AS383" s="5" t="s">
        <v>12387</v>
      </c>
      <c r="AT383" s="5">
        <v>2.0099999999999998</v>
      </c>
      <c r="AU383" s="5">
        <v>100</v>
      </c>
      <c r="AV383" s="5" t="s">
        <v>12400</v>
      </c>
      <c r="AW383" s="5" t="s">
        <v>12400</v>
      </c>
      <c r="AX383" s="5" t="s">
        <v>12400</v>
      </c>
      <c r="AZ383" s="49" t="s">
        <v>12406</v>
      </c>
      <c r="BA383" s="50" t="s">
        <v>12413</v>
      </c>
      <c r="BC383" s="51">
        <v>0.87531999999999999</v>
      </c>
    </row>
    <row r="384" spans="1:55" ht="15" customHeight="1" x14ac:dyDescent="0.4">
      <c r="A384" s="27" t="s">
        <v>11305</v>
      </c>
      <c r="B384" s="44" t="s">
        <v>12257</v>
      </c>
      <c r="C384" s="45" t="s">
        <v>11794</v>
      </c>
      <c r="D384" s="46">
        <v>6.42</v>
      </c>
      <c r="E384" s="45" t="s">
        <v>12358</v>
      </c>
      <c r="F384" s="45"/>
      <c r="G384" s="9">
        <v>9.5553799999999995</v>
      </c>
      <c r="H384" s="9">
        <v>-9.8218399999999999</v>
      </c>
      <c r="I384" s="9">
        <v>-24.012</v>
      </c>
      <c r="J384" s="9">
        <v>31.46416</v>
      </c>
      <c r="K384" s="9">
        <v>31.46416</v>
      </c>
      <c r="L384" s="9">
        <v>2.2533300000000001</v>
      </c>
      <c r="M384" s="9">
        <v>11.16657</v>
      </c>
      <c r="N384" s="10" t="s">
        <v>12467</v>
      </c>
      <c r="P384" s="32">
        <v>45345</v>
      </c>
      <c r="R384" s="35">
        <v>8.5470100000000002</v>
      </c>
      <c r="S384" s="34">
        <v>45344</v>
      </c>
      <c r="T384" s="35">
        <v>8.6533300000000004</v>
      </c>
      <c r="U384" s="34">
        <v>45343</v>
      </c>
      <c r="V384" s="35">
        <v>8.6505200000000002</v>
      </c>
      <c r="W384" s="34">
        <v>45342</v>
      </c>
      <c r="X384" s="35">
        <v>8.5470100000000002</v>
      </c>
      <c r="Y384" s="34">
        <v>45341</v>
      </c>
      <c r="Z384" s="35">
        <v>8.6141900000000007</v>
      </c>
      <c r="AA384" s="34">
        <v>45346</v>
      </c>
      <c r="AB384" s="35">
        <v>8.5470100000000002</v>
      </c>
      <c r="AC384" s="34">
        <v>45347</v>
      </c>
      <c r="AD384" s="35">
        <v>8.5470100000000002</v>
      </c>
      <c r="AE384" s="34">
        <v>45348</v>
      </c>
      <c r="AF384" s="35">
        <v>8.5701900000000002</v>
      </c>
      <c r="AG384" s="34">
        <v>45349</v>
      </c>
      <c r="AH384" s="35">
        <v>9.0613100000000006</v>
      </c>
      <c r="AI384" s="36">
        <v>-1.2286599494067629E-2</v>
      </c>
      <c r="AK384" s="34">
        <v>45338</v>
      </c>
      <c r="AL384" s="35">
        <v>8.5649599999999992</v>
      </c>
      <c r="AM384" s="34">
        <v>45352</v>
      </c>
      <c r="AN384" s="5">
        <v>8.2819099999999999</v>
      </c>
      <c r="AP384" s="36">
        <v>-3.3047439801236589E-2</v>
      </c>
      <c r="AS384" s="5" t="s">
        <v>12389</v>
      </c>
      <c r="AT384" s="5">
        <v>4.3600000000000003</v>
      </c>
      <c r="AU384" s="5">
        <v>67.959999999999994</v>
      </c>
      <c r="AV384" s="5" t="s">
        <v>12400</v>
      </c>
      <c r="AW384" s="5" t="s">
        <v>12400</v>
      </c>
      <c r="AX384" s="5">
        <v>32.04</v>
      </c>
      <c r="AZ384" s="49" t="s">
        <v>12436</v>
      </c>
      <c r="BA384" s="50" t="s">
        <v>12438</v>
      </c>
      <c r="BC384" s="51">
        <v>0.10481</v>
      </c>
    </row>
    <row r="385" spans="1:55" ht="15" customHeight="1" x14ac:dyDescent="0.4">
      <c r="A385" s="27" t="s">
        <v>11306</v>
      </c>
      <c r="B385" s="44" t="s">
        <v>12258</v>
      </c>
      <c r="C385" s="45" t="s">
        <v>11795</v>
      </c>
      <c r="D385" s="46">
        <v>1.45</v>
      </c>
      <c r="E385" s="45" t="s">
        <v>12357</v>
      </c>
      <c r="F385" s="45"/>
      <c r="G385" s="9">
        <v>195.95686000000001</v>
      </c>
      <c r="H385" s="9">
        <v>-0.82379999999999998</v>
      </c>
      <c r="I385" s="9" t="s">
        <v>11413</v>
      </c>
      <c r="J385" s="9">
        <v>7.1209999999999996E-2</v>
      </c>
      <c r="K385" s="9">
        <v>7.1209999999999996E-2</v>
      </c>
      <c r="L385" s="9">
        <v>2.5590000000000002E-2</v>
      </c>
      <c r="M385" s="9">
        <v>-2.5590000000000002E-2</v>
      </c>
      <c r="N385" s="10" t="s">
        <v>12468</v>
      </c>
      <c r="P385" s="32">
        <v>45345</v>
      </c>
      <c r="R385" s="35">
        <v>2.6099999999999999E-3</v>
      </c>
      <c r="S385" s="34">
        <v>45344</v>
      </c>
      <c r="T385" s="35">
        <v>2.3900000000000002E-3</v>
      </c>
      <c r="U385" s="34">
        <v>45343</v>
      </c>
      <c r="V385" s="35">
        <v>2.6099999999999999E-3</v>
      </c>
      <c r="W385" s="34">
        <v>45342</v>
      </c>
      <c r="X385" s="35">
        <v>2.6099999999999999E-3</v>
      </c>
      <c r="Y385" s="34">
        <v>45341</v>
      </c>
      <c r="Z385" s="35">
        <v>2.7399999999999998E-3</v>
      </c>
      <c r="AA385" s="34">
        <v>45346</v>
      </c>
      <c r="AB385" s="35">
        <v>2.6099999999999999E-3</v>
      </c>
      <c r="AC385" s="34">
        <v>45347</v>
      </c>
      <c r="AD385" s="35">
        <v>2.6099999999999999E-3</v>
      </c>
      <c r="AE385" s="34">
        <v>45348</v>
      </c>
      <c r="AF385" s="35">
        <v>2.47E-3</v>
      </c>
      <c r="AG385" s="34">
        <v>45349</v>
      </c>
      <c r="AH385" s="35">
        <v>2.3999999999999998E-3</v>
      </c>
      <c r="AI385" s="36">
        <v>9.2050209205020828E-2</v>
      </c>
      <c r="AK385" s="34">
        <v>45338</v>
      </c>
      <c r="AL385" s="35">
        <v>2.7499999999999998E-3</v>
      </c>
      <c r="AM385" s="34">
        <v>45352</v>
      </c>
      <c r="AN385" s="5">
        <v>2.7599999999999999E-3</v>
      </c>
      <c r="AP385" s="36">
        <v>3.6363636363636598E-3</v>
      </c>
      <c r="AS385" s="5" t="s">
        <v>721</v>
      </c>
      <c r="AT385" s="5" t="s">
        <v>12400</v>
      </c>
      <c r="AU385" s="5" t="s">
        <v>12400</v>
      </c>
      <c r="AV385" s="5" t="s">
        <v>12400</v>
      </c>
      <c r="AW385" s="5" t="s">
        <v>12400</v>
      </c>
      <c r="AX385" s="5">
        <v>100</v>
      </c>
      <c r="AZ385" s="49" t="s">
        <v>12414</v>
      </c>
      <c r="BA385" s="50" t="s">
        <v>12409</v>
      </c>
      <c r="BC385" s="51">
        <v>0.78390000000000004</v>
      </c>
    </row>
    <row r="386" spans="1:55" ht="15" customHeight="1" x14ac:dyDescent="0.4">
      <c r="A386" s="27" t="s">
        <v>11155</v>
      </c>
      <c r="B386" s="44" t="s">
        <v>12102</v>
      </c>
      <c r="C386" s="45" t="s">
        <v>11796</v>
      </c>
      <c r="D386" s="46">
        <v>13.51</v>
      </c>
      <c r="E386" s="45" t="s">
        <v>12357</v>
      </c>
      <c r="F386" s="45"/>
      <c r="G386" s="9">
        <v>73.430520000000001</v>
      </c>
      <c r="H386" s="9">
        <v>-45.847000000000001</v>
      </c>
      <c r="I386" s="9">
        <v>-11.6911</v>
      </c>
      <c r="J386" s="9">
        <v>653.52800000000002</v>
      </c>
      <c r="K386" s="9">
        <v>653.52800000000002</v>
      </c>
      <c r="L386" s="9">
        <v>166.357</v>
      </c>
      <c r="M386" s="9">
        <v>-151.69399999999999</v>
      </c>
      <c r="N386" s="10" t="s">
        <v>12468</v>
      </c>
      <c r="P386" s="32">
        <v>45344</v>
      </c>
      <c r="R386" s="35">
        <v>41.21</v>
      </c>
      <c r="S386" s="34">
        <v>45343</v>
      </c>
      <c r="T386" s="35">
        <v>40.39</v>
      </c>
      <c r="U386" s="34">
        <v>45342</v>
      </c>
      <c r="V386" s="35">
        <v>41.07</v>
      </c>
      <c r="W386" s="34">
        <v>45341</v>
      </c>
      <c r="X386" s="35">
        <v>42.83</v>
      </c>
      <c r="Y386" s="34">
        <v>45340</v>
      </c>
      <c r="Z386" s="35">
        <v>42.83</v>
      </c>
      <c r="AA386" s="34">
        <v>45345</v>
      </c>
      <c r="AB386" s="35">
        <v>41.82</v>
      </c>
      <c r="AC386" s="34">
        <v>45346</v>
      </c>
      <c r="AD386" s="35">
        <v>41.82</v>
      </c>
      <c r="AE386" s="34">
        <v>45347</v>
      </c>
      <c r="AF386" s="35">
        <v>41.82</v>
      </c>
      <c r="AG386" s="34">
        <v>45348</v>
      </c>
      <c r="AH386" s="35">
        <v>40.159999999999997</v>
      </c>
      <c r="AI386" s="36">
        <v>3.5404803169101218E-2</v>
      </c>
      <c r="AK386" s="34">
        <v>45337</v>
      </c>
      <c r="AL386" s="35">
        <v>42.63</v>
      </c>
      <c r="AM386" s="34">
        <v>45351</v>
      </c>
      <c r="AN386" s="5">
        <v>39.229999999999997</v>
      </c>
      <c r="AP386" s="36">
        <v>-7.9756040347173429E-2</v>
      </c>
      <c r="AS386" s="5" t="s">
        <v>12387</v>
      </c>
      <c r="AT386" s="5">
        <v>11.82</v>
      </c>
      <c r="AU386" s="5">
        <v>100</v>
      </c>
      <c r="AV386" s="5" t="s">
        <v>12400</v>
      </c>
      <c r="AW386" s="5" t="s">
        <v>12400</v>
      </c>
      <c r="AX386" s="5" t="s">
        <v>12400</v>
      </c>
      <c r="AZ386" s="49" t="s">
        <v>12403</v>
      </c>
      <c r="BA386" s="50" t="s">
        <v>12406</v>
      </c>
      <c r="BC386" s="51">
        <v>0.68781999999999999</v>
      </c>
    </row>
    <row r="387" spans="1:55" ht="15" customHeight="1" x14ac:dyDescent="0.4">
      <c r="A387" s="27" t="s">
        <v>11307</v>
      </c>
      <c r="B387" s="44" t="s">
        <v>12259</v>
      </c>
      <c r="C387" s="45" t="s">
        <v>11797</v>
      </c>
      <c r="D387" s="47">
        <v>0.63500000000000001</v>
      </c>
      <c r="E387" s="45" t="s">
        <v>12357</v>
      </c>
      <c r="F387" s="45"/>
      <c r="G387" s="9">
        <v>37.500030000000002</v>
      </c>
      <c r="H387" s="9">
        <v>0</v>
      </c>
      <c r="I387" s="9">
        <v>0</v>
      </c>
      <c r="J387" s="9">
        <v>2300.1458200000002</v>
      </c>
      <c r="K387" s="9">
        <v>2300.1458200000002</v>
      </c>
      <c r="L387" s="9">
        <v>2.9199999999999999E-3</v>
      </c>
      <c r="M387" s="9">
        <v>-3.7235299999999998</v>
      </c>
      <c r="N387" s="10" t="s">
        <v>12473</v>
      </c>
      <c r="P387" s="32">
        <v>45344</v>
      </c>
      <c r="R387" s="35">
        <v>83.79</v>
      </c>
      <c r="S387" s="34">
        <v>45343</v>
      </c>
      <c r="T387" s="35">
        <v>83.51</v>
      </c>
      <c r="U387" s="34">
        <v>45342</v>
      </c>
      <c r="V387" s="35">
        <v>83.58</v>
      </c>
      <c r="W387" s="34">
        <v>45341</v>
      </c>
      <c r="X387" s="35">
        <v>84.46</v>
      </c>
      <c r="Y387" s="34">
        <v>45340</v>
      </c>
      <c r="Z387" s="35">
        <v>84.46</v>
      </c>
      <c r="AA387" s="34">
        <v>45345</v>
      </c>
      <c r="AB387" s="35">
        <v>84.37</v>
      </c>
      <c r="AC387" s="34">
        <v>45346</v>
      </c>
      <c r="AD387" s="35">
        <v>84.37</v>
      </c>
      <c r="AE387" s="34">
        <v>45347</v>
      </c>
      <c r="AF387" s="35">
        <v>84.37</v>
      </c>
      <c r="AG387" s="34">
        <v>45348</v>
      </c>
      <c r="AH387" s="35">
        <v>84.62</v>
      </c>
      <c r="AI387" s="36">
        <v>1.0298167884085663E-2</v>
      </c>
      <c r="AK387" s="34">
        <v>45337</v>
      </c>
      <c r="AL387" s="35">
        <v>85.47</v>
      </c>
      <c r="AM387" s="34">
        <v>45351</v>
      </c>
      <c r="AN387" s="5">
        <v>84.94</v>
      </c>
      <c r="AP387" s="36">
        <v>-6.2010062010061651E-3</v>
      </c>
      <c r="AS387" s="5" t="s">
        <v>12387</v>
      </c>
      <c r="AT387" s="5">
        <v>0.63500000000000001</v>
      </c>
      <c r="AU387" s="5">
        <v>100</v>
      </c>
      <c r="AV387" s="5" t="s">
        <v>12400</v>
      </c>
      <c r="AW387" s="5" t="s">
        <v>12400</v>
      </c>
      <c r="AX387" s="5" t="s">
        <v>12400</v>
      </c>
      <c r="AZ387" s="49" t="s">
        <v>12452</v>
      </c>
      <c r="BA387" s="50" t="s">
        <v>12432</v>
      </c>
      <c r="BC387" s="51">
        <v>1.0607500000000001</v>
      </c>
    </row>
    <row r="388" spans="1:55" ht="15" customHeight="1" x14ac:dyDescent="0.4">
      <c r="A388" s="27" t="s">
        <v>11091</v>
      </c>
      <c r="B388" s="44" t="s">
        <v>12036</v>
      </c>
      <c r="C388" s="45" t="s">
        <v>11798</v>
      </c>
      <c r="D388" s="46">
        <v>2.52</v>
      </c>
      <c r="E388" s="45" t="s">
        <v>12357</v>
      </c>
      <c r="F388" s="45"/>
      <c r="G388" s="9">
        <v>390.08330999999998</v>
      </c>
      <c r="H388" s="9">
        <v>1.3839399999999999</v>
      </c>
      <c r="I388" s="9">
        <v>6.9825999999999997</v>
      </c>
      <c r="J388" s="9">
        <v>43.79936</v>
      </c>
      <c r="K388" s="9">
        <v>43.79936</v>
      </c>
      <c r="L388" s="9">
        <v>19.604369999999999</v>
      </c>
      <c r="M388" s="9">
        <v>-7.9788100000000002</v>
      </c>
      <c r="N388" s="10" t="s">
        <v>12467</v>
      </c>
      <c r="P388" s="32">
        <v>45343</v>
      </c>
      <c r="R388" s="35">
        <v>0.18809000000000001</v>
      </c>
      <c r="S388" s="34">
        <v>45342</v>
      </c>
      <c r="T388" s="35">
        <v>0.18970000000000001</v>
      </c>
      <c r="U388" s="34">
        <v>45341</v>
      </c>
      <c r="V388" s="35">
        <v>0.18878</v>
      </c>
      <c r="W388" s="34">
        <v>45340</v>
      </c>
      <c r="X388" s="35">
        <v>0.18887000000000001</v>
      </c>
      <c r="Y388" s="34">
        <v>45339</v>
      </c>
      <c r="Z388" s="35">
        <v>0.18887000000000001</v>
      </c>
      <c r="AA388" s="34">
        <v>45344</v>
      </c>
      <c r="AB388" s="35">
        <v>0.18959000000000001</v>
      </c>
      <c r="AC388" s="34">
        <v>45345</v>
      </c>
      <c r="AD388" s="35">
        <v>0.19642999999999999</v>
      </c>
      <c r="AE388" s="34">
        <v>45346</v>
      </c>
      <c r="AF388" s="35">
        <v>0.19642999999999999</v>
      </c>
      <c r="AG388" s="34">
        <v>45347</v>
      </c>
      <c r="AH388" s="35">
        <v>0.19642999999999999</v>
      </c>
      <c r="AI388" s="36">
        <v>-5.7986294148659745E-4</v>
      </c>
      <c r="AK388" s="34">
        <v>45336</v>
      </c>
      <c r="AL388" s="35">
        <v>0.18826000000000001</v>
      </c>
      <c r="AM388" s="34">
        <v>45350</v>
      </c>
      <c r="AN388" s="5">
        <v>0.18981000000000001</v>
      </c>
      <c r="AP388" s="36">
        <v>8.2332943801126657E-3</v>
      </c>
      <c r="AS388" s="5" t="s">
        <v>12387</v>
      </c>
      <c r="AT388" s="5">
        <v>1.39</v>
      </c>
      <c r="AU388" s="5">
        <v>100</v>
      </c>
      <c r="AV388" s="5" t="s">
        <v>12400</v>
      </c>
      <c r="AW388" s="5" t="s">
        <v>12400</v>
      </c>
      <c r="AX388" s="5" t="s">
        <v>12400</v>
      </c>
      <c r="AZ388" s="49" t="s">
        <v>12415</v>
      </c>
      <c r="BA388" s="50" t="s">
        <v>12415</v>
      </c>
      <c r="BC388" s="51">
        <v>-0.42315000000000003</v>
      </c>
    </row>
    <row r="389" spans="1:55" ht="15" customHeight="1" x14ac:dyDescent="0.4">
      <c r="A389" s="27" t="s">
        <v>11308</v>
      </c>
      <c r="B389" s="44" t="s">
        <v>12260</v>
      </c>
      <c r="C389" s="45" t="s">
        <v>11799</v>
      </c>
      <c r="D389" s="46">
        <v>1.08</v>
      </c>
      <c r="E389" s="45" t="s">
        <v>12357</v>
      </c>
      <c r="F389" s="45"/>
      <c r="G389" s="9">
        <v>30.545200000000001</v>
      </c>
      <c r="H389" s="9">
        <v>47.21123</v>
      </c>
      <c r="I389" s="9">
        <v>20.124500000000001</v>
      </c>
      <c r="J389" s="9">
        <v>405.68144000000001</v>
      </c>
      <c r="K389" s="9">
        <v>405.68144000000001</v>
      </c>
      <c r="L389" s="9">
        <v>72.825249999999997</v>
      </c>
      <c r="M389" s="9">
        <v>78.13861</v>
      </c>
      <c r="N389" s="10" t="s">
        <v>12470</v>
      </c>
      <c r="P389" s="32">
        <v>45343</v>
      </c>
      <c r="R389" s="35">
        <v>5.1146200000000004</v>
      </c>
      <c r="S389" s="34">
        <v>45342</v>
      </c>
      <c r="T389" s="35">
        <v>5.1714799999999999</v>
      </c>
      <c r="U389" s="34">
        <v>45341</v>
      </c>
      <c r="V389" s="35">
        <v>5.2654199999999998</v>
      </c>
      <c r="W389" s="34">
        <v>45340</v>
      </c>
      <c r="X389" s="35">
        <v>5.2036199999999999</v>
      </c>
      <c r="Y389" s="34">
        <v>45339</v>
      </c>
      <c r="Z389" s="35">
        <v>5.2036199999999999</v>
      </c>
      <c r="AA389" s="34">
        <v>45344</v>
      </c>
      <c r="AB389" s="35">
        <v>5.1703599999999996</v>
      </c>
      <c r="AC389" s="34">
        <v>45345</v>
      </c>
      <c r="AD389" s="35">
        <v>5.1822999999999997</v>
      </c>
      <c r="AE389" s="34">
        <v>45346</v>
      </c>
      <c r="AF389" s="35">
        <v>5.1822999999999997</v>
      </c>
      <c r="AG389" s="34">
        <v>45347</v>
      </c>
      <c r="AH389" s="35">
        <v>5.1822999999999997</v>
      </c>
      <c r="AI389" s="36">
        <v>-2.1657243187644948E-4</v>
      </c>
      <c r="AK389" s="34">
        <v>45336</v>
      </c>
      <c r="AL389" s="35">
        <v>5.1914600000000002</v>
      </c>
      <c r="AM389" s="34">
        <v>45350</v>
      </c>
      <c r="AN389" s="5">
        <v>5.2545999999999999</v>
      </c>
      <c r="AP389" s="36">
        <v>1.2162281901430427E-2</v>
      </c>
      <c r="AS389" s="5" t="s">
        <v>12387</v>
      </c>
      <c r="AT389" s="5">
        <v>1.08</v>
      </c>
      <c r="AU389" s="5">
        <v>100</v>
      </c>
      <c r="AV389" s="5" t="s">
        <v>12400</v>
      </c>
      <c r="AW389" s="5" t="s">
        <v>12400</v>
      </c>
      <c r="AX389" s="5" t="s">
        <v>12400</v>
      </c>
      <c r="AZ389" s="49" t="s">
        <v>12416</v>
      </c>
      <c r="BA389" s="50" t="s">
        <v>12416</v>
      </c>
      <c r="BC389" s="51">
        <v>0.31309999999999999</v>
      </c>
    </row>
    <row r="390" spans="1:55" ht="15" customHeight="1" x14ac:dyDescent="0.4">
      <c r="A390" s="27" t="s">
        <v>11309</v>
      </c>
      <c r="B390" s="44" t="s">
        <v>12261</v>
      </c>
      <c r="C390" s="45" t="s">
        <v>11800</v>
      </c>
      <c r="D390" s="46">
        <v>31.62</v>
      </c>
      <c r="E390" s="45" t="s">
        <v>12357</v>
      </c>
      <c r="F390" s="45"/>
      <c r="G390" s="9">
        <v>82.863740000000007</v>
      </c>
      <c r="H390" s="9">
        <v>126.03400000000001</v>
      </c>
      <c r="I390" s="9">
        <v>56.509300000000003</v>
      </c>
      <c r="J390" s="9">
        <v>901.90200000000004</v>
      </c>
      <c r="K390" s="9">
        <v>901.90200000000004</v>
      </c>
      <c r="L390" s="9">
        <v>214.78899999999999</v>
      </c>
      <c r="M390" s="9">
        <v>24.151</v>
      </c>
      <c r="N390" s="10" t="s">
        <v>12469</v>
      </c>
      <c r="P390" s="32">
        <v>45342</v>
      </c>
      <c r="R390" s="35">
        <v>1.9728399999999999</v>
      </c>
      <c r="S390" s="34">
        <v>45341</v>
      </c>
      <c r="T390" s="35">
        <v>1.7367900000000001</v>
      </c>
      <c r="U390" s="34">
        <v>45340</v>
      </c>
      <c r="V390" s="35">
        <v>1.7627999999999999</v>
      </c>
      <c r="W390" s="34">
        <v>45339</v>
      </c>
      <c r="X390" s="35">
        <v>1.7627999999999999</v>
      </c>
      <c r="Y390" s="34">
        <v>45338</v>
      </c>
      <c r="Z390" s="35">
        <v>1.7627999999999999</v>
      </c>
      <c r="AA390" s="34">
        <v>45343</v>
      </c>
      <c r="AB390" s="35">
        <v>2.1459999999999999</v>
      </c>
      <c r="AC390" s="34">
        <v>45344</v>
      </c>
      <c r="AD390" s="35">
        <v>2.2118600000000002</v>
      </c>
      <c r="AE390" s="34">
        <v>45345</v>
      </c>
      <c r="AF390" s="35">
        <v>2.19245</v>
      </c>
      <c r="AG390" s="34">
        <v>45346</v>
      </c>
      <c r="AH390" s="35">
        <v>2.19245</v>
      </c>
      <c r="AI390" s="36">
        <v>0.23561282596053634</v>
      </c>
      <c r="AK390" s="34">
        <v>45335</v>
      </c>
      <c r="AL390" s="35">
        <v>1.7760199999999999</v>
      </c>
      <c r="AM390" s="34">
        <v>45349</v>
      </c>
      <c r="AN390" s="5">
        <v>2.1888399999999999</v>
      </c>
      <c r="AP390" s="36">
        <v>0.23244107611400766</v>
      </c>
      <c r="AS390" s="5" t="s">
        <v>12387</v>
      </c>
      <c r="AT390" s="5">
        <v>31.62</v>
      </c>
      <c r="AU390" s="5">
        <v>100</v>
      </c>
      <c r="AV390" s="5" t="s">
        <v>12400</v>
      </c>
      <c r="AW390" s="5" t="s">
        <v>12400</v>
      </c>
      <c r="AX390" s="5" t="s">
        <v>12400</v>
      </c>
      <c r="AZ390" s="49" t="s">
        <v>12415</v>
      </c>
      <c r="BA390" s="50" t="s">
        <v>12415</v>
      </c>
      <c r="BC390" s="51">
        <v>0.42919000000000002</v>
      </c>
    </row>
    <row r="391" spans="1:55" ht="15" customHeight="1" x14ac:dyDescent="0.4">
      <c r="A391" s="27" t="s">
        <v>11310</v>
      </c>
      <c r="B391" s="44" t="s">
        <v>12262</v>
      </c>
      <c r="C391" s="45" t="s">
        <v>11801</v>
      </c>
      <c r="D391" s="46">
        <v>3.61</v>
      </c>
      <c r="E391" s="45" t="s">
        <v>12357</v>
      </c>
      <c r="F391" s="45"/>
      <c r="G391" s="9">
        <v>26.923970000000001</v>
      </c>
      <c r="H391" s="9">
        <v>3.3131900000000001</v>
      </c>
      <c r="I391" s="9">
        <v>13.907400000000001</v>
      </c>
      <c r="J391" s="9">
        <v>15.89395</v>
      </c>
      <c r="K391" s="9">
        <v>15.89395</v>
      </c>
      <c r="L391" s="9">
        <v>1.11599</v>
      </c>
      <c r="M391" s="9">
        <v>3.56054</v>
      </c>
      <c r="N391" s="10" t="s">
        <v>12468</v>
      </c>
      <c r="P391" s="32">
        <v>45342</v>
      </c>
      <c r="R391" s="35">
        <v>0.53161999999999998</v>
      </c>
      <c r="S391" s="34">
        <v>45341</v>
      </c>
      <c r="T391" s="35">
        <v>0.46464</v>
      </c>
      <c r="U391" s="34">
        <v>45340</v>
      </c>
      <c r="V391" s="35">
        <v>0.46733999999999998</v>
      </c>
      <c r="W391" s="34">
        <v>45339</v>
      </c>
      <c r="X391" s="35">
        <v>0.46733999999999998</v>
      </c>
      <c r="Y391" s="34">
        <v>45338</v>
      </c>
      <c r="Z391" s="35">
        <v>0.46733999999999998</v>
      </c>
      <c r="AA391" s="34">
        <v>45343</v>
      </c>
      <c r="AB391" s="35">
        <v>0.5302</v>
      </c>
      <c r="AC391" s="34">
        <v>45344</v>
      </c>
      <c r="AD391" s="35">
        <v>0.52053000000000005</v>
      </c>
      <c r="AE391" s="34">
        <v>45345</v>
      </c>
      <c r="AF391" s="35">
        <v>0.53874999999999995</v>
      </c>
      <c r="AG391" s="34">
        <v>45346</v>
      </c>
      <c r="AH391" s="35">
        <v>0.53874999999999995</v>
      </c>
      <c r="AI391" s="36">
        <v>0.14109848484848486</v>
      </c>
      <c r="AK391" s="34">
        <v>45335</v>
      </c>
      <c r="AL391" s="35">
        <v>0.44707999999999998</v>
      </c>
      <c r="AM391" s="34">
        <v>45349</v>
      </c>
      <c r="AN391" s="5">
        <v>0.60407</v>
      </c>
      <c r="AP391" s="36">
        <v>0.35114520891115686</v>
      </c>
      <c r="AS391" s="5" t="s">
        <v>721</v>
      </c>
      <c r="AT391" s="5" t="s">
        <v>12400</v>
      </c>
      <c r="AU391" s="5" t="s">
        <v>12400</v>
      </c>
      <c r="AV391" s="5" t="s">
        <v>12400</v>
      </c>
      <c r="AW391" s="5" t="s">
        <v>12400</v>
      </c>
      <c r="AX391" s="5">
        <v>100</v>
      </c>
      <c r="AZ391" s="49" t="s">
        <v>12409</v>
      </c>
      <c r="BA391" s="50" t="s">
        <v>12415</v>
      </c>
      <c r="BC391" s="51">
        <v>0.37524000000000002</v>
      </c>
    </row>
    <row r="392" spans="1:55" ht="15" customHeight="1" x14ac:dyDescent="0.4">
      <c r="A392" s="27" t="s">
        <v>11311</v>
      </c>
      <c r="B392" s="44" t="s">
        <v>12263</v>
      </c>
      <c r="C392" s="45" t="s">
        <v>11802</v>
      </c>
      <c r="D392" s="46">
        <v>12.92</v>
      </c>
      <c r="E392" s="45" t="s">
        <v>12357</v>
      </c>
      <c r="F392" s="45"/>
      <c r="G392" s="9">
        <v>14.32405</v>
      </c>
      <c r="H392" s="9">
        <v>30.28171</v>
      </c>
      <c r="I392" s="9">
        <v>3.0825999999999998</v>
      </c>
      <c r="J392" s="9">
        <v>535.04454999999996</v>
      </c>
      <c r="K392" s="9">
        <v>535.04454999999996</v>
      </c>
      <c r="L392" s="9">
        <v>56.382440000000003</v>
      </c>
      <c r="M392" s="9">
        <v>75.041269999999997</v>
      </c>
      <c r="N392" s="10" t="s">
        <v>12468</v>
      </c>
      <c r="P392" s="32">
        <v>45341</v>
      </c>
      <c r="R392" s="35">
        <v>15.089460000000001</v>
      </c>
      <c r="S392" s="34">
        <v>45340</v>
      </c>
      <c r="T392" s="35">
        <v>15.18539</v>
      </c>
      <c r="U392" s="34">
        <v>45339</v>
      </c>
      <c r="V392" s="35">
        <v>15.18539</v>
      </c>
      <c r="W392" s="34">
        <v>45338</v>
      </c>
      <c r="X392" s="35">
        <v>15.18539</v>
      </c>
      <c r="Y392" s="34">
        <v>45337</v>
      </c>
      <c r="Z392" s="35">
        <v>15.10976</v>
      </c>
      <c r="AA392" s="34">
        <v>45342</v>
      </c>
      <c r="AB392" s="35">
        <v>17.104340000000001</v>
      </c>
      <c r="AC392" s="34">
        <v>45343</v>
      </c>
      <c r="AD392" s="35">
        <v>16.300370000000001</v>
      </c>
      <c r="AE392" s="34">
        <v>45344</v>
      </c>
      <c r="AF392" s="35">
        <v>16.235209999999999</v>
      </c>
      <c r="AG392" s="34">
        <v>45345</v>
      </c>
      <c r="AH392" s="35">
        <v>16.255400000000002</v>
      </c>
      <c r="AI392" s="36">
        <v>0.12636817361951191</v>
      </c>
      <c r="AK392" s="34">
        <v>45334</v>
      </c>
      <c r="AL392" s="35">
        <v>15.51591</v>
      </c>
      <c r="AM392" s="34">
        <v>45348</v>
      </c>
      <c r="AN392" s="5">
        <v>16.04945</v>
      </c>
      <c r="AP392" s="36">
        <v>3.4386639262537599E-2</v>
      </c>
      <c r="AS392" s="5" t="s">
        <v>12387</v>
      </c>
      <c r="AT392" s="5">
        <v>12.92</v>
      </c>
      <c r="AU392" s="5">
        <v>100</v>
      </c>
      <c r="AV392" s="5" t="s">
        <v>12400</v>
      </c>
      <c r="AW392" s="5" t="s">
        <v>12400</v>
      </c>
      <c r="AX392" s="5" t="s">
        <v>12400</v>
      </c>
      <c r="AZ392" s="49" t="s">
        <v>12423</v>
      </c>
      <c r="BA392" s="50" t="s">
        <v>12419</v>
      </c>
      <c r="BC392" s="51">
        <v>1.619E-2</v>
      </c>
    </row>
    <row r="393" spans="1:55" ht="15" customHeight="1" x14ac:dyDescent="0.4">
      <c r="A393" s="27" t="s">
        <v>11312</v>
      </c>
      <c r="B393" s="44" t="s">
        <v>12264</v>
      </c>
      <c r="C393" s="45" t="s">
        <v>11803</v>
      </c>
      <c r="D393" s="46">
        <v>26.79</v>
      </c>
      <c r="E393" s="45" t="s">
        <v>12358</v>
      </c>
      <c r="F393" s="45"/>
      <c r="G393" s="9">
        <v>28.889420000000001</v>
      </c>
      <c r="H393" s="9">
        <v>-54.303080000000001</v>
      </c>
      <c r="I393" s="9">
        <v>-261.68099999999998</v>
      </c>
      <c r="J393" s="9">
        <v>181.73537999999999</v>
      </c>
      <c r="K393" s="9">
        <v>181.73537999999999</v>
      </c>
      <c r="L393" s="9">
        <v>69.659559999999999</v>
      </c>
      <c r="M393" s="9">
        <v>-64.164919999999995</v>
      </c>
      <c r="N393" s="10" t="s">
        <v>12467</v>
      </c>
      <c r="P393" s="32">
        <v>45341</v>
      </c>
      <c r="R393" s="35">
        <v>2.48089</v>
      </c>
      <c r="S393" s="34">
        <v>45340</v>
      </c>
      <c r="T393" s="35">
        <v>2.5468600000000001</v>
      </c>
      <c r="U393" s="34">
        <v>45339</v>
      </c>
      <c r="V393" s="35">
        <v>2.5468600000000001</v>
      </c>
      <c r="W393" s="34">
        <v>45338</v>
      </c>
      <c r="X393" s="35">
        <v>2.5468600000000001</v>
      </c>
      <c r="Y393" s="34">
        <v>45337</v>
      </c>
      <c r="Z393" s="35">
        <v>2.4378700000000002</v>
      </c>
      <c r="AA393" s="34">
        <v>45342</v>
      </c>
      <c r="AB393" s="35">
        <v>2.3866700000000001</v>
      </c>
      <c r="AC393" s="34">
        <v>45343</v>
      </c>
      <c r="AD393" s="35">
        <v>2.4134899999999999</v>
      </c>
      <c r="AE393" s="34">
        <v>45344</v>
      </c>
      <c r="AF393" s="35">
        <v>2.4142800000000002</v>
      </c>
      <c r="AG393" s="34">
        <v>45345</v>
      </c>
      <c r="AH393" s="35">
        <v>2.3130999999999999</v>
      </c>
      <c r="AI393" s="36">
        <v>-6.2897057553222391E-2</v>
      </c>
      <c r="AK393" s="34">
        <v>45334</v>
      </c>
      <c r="AL393" s="35">
        <v>2.5034999999999998</v>
      </c>
      <c r="AM393" s="34">
        <v>45348</v>
      </c>
      <c r="AN393" s="5">
        <v>2.2911700000000002</v>
      </c>
      <c r="AP393" s="36">
        <v>-8.481326143399226E-2</v>
      </c>
      <c r="AS393" s="5" t="s">
        <v>12387</v>
      </c>
      <c r="AT393" s="5">
        <v>13.12</v>
      </c>
      <c r="AU393" s="5">
        <v>100</v>
      </c>
      <c r="AV393" s="5" t="s">
        <v>12400</v>
      </c>
      <c r="AW393" s="5" t="s">
        <v>12400</v>
      </c>
      <c r="AX393" s="5" t="s">
        <v>12400</v>
      </c>
      <c r="AZ393" s="49" t="s">
        <v>12410</v>
      </c>
      <c r="BA393" s="50" t="s">
        <v>12410</v>
      </c>
      <c r="BC393" s="51">
        <v>1.27397</v>
      </c>
    </row>
    <row r="394" spans="1:55" ht="15" customHeight="1" x14ac:dyDescent="0.4">
      <c r="A394" s="27" t="s">
        <v>11313</v>
      </c>
      <c r="B394" s="44" t="s">
        <v>12265</v>
      </c>
      <c r="C394" s="45" t="s">
        <v>11804</v>
      </c>
      <c r="D394" s="46">
        <v>792.55</v>
      </c>
      <c r="E394" s="45" t="s">
        <v>12357</v>
      </c>
      <c r="F394" s="45"/>
      <c r="G394" s="9">
        <v>716.54483000000005</v>
      </c>
      <c r="H394" s="9">
        <v>2558.8592899999999</v>
      </c>
      <c r="I394" s="9">
        <v>22.187000000000001</v>
      </c>
      <c r="J394" s="9">
        <v>87828.009260000006</v>
      </c>
      <c r="K394" s="9">
        <v>87828.009260000006</v>
      </c>
      <c r="L394" s="9">
        <v>2009.5059100000001</v>
      </c>
      <c r="M394" s="9">
        <v>3534.8734399999998</v>
      </c>
      <c r="N394" s="10" t="s">
        <v>12473</v>
      </c>
      <c r="P394" s="32">
        <v>45338</v>
      </c>
      <c r="R394" s="35">
        <v>7.48977</v>
      </c>
      <c r="S394" s="34">
        <v>45337</v>
      </c>
      <c r="T394" s="35">
        <v>6.1796699999999998</v>
      </c>
      <c r="U394" s="34">
        <v>45336</v>
      </c>
      <c r="V394" s="35">
        <v>6.1611099999999999</v>
      </c>
      <c r="W394" s="34">
        <v>45335</v>
      </c>
      <c r="X394" s="35">
        <v>6.1335600000000001</v>
      </c>
      <c r="Y394" s="34">
        <v>45334</v>
      </c>
      <c r="Z394" s="35">
        <v>6.2393599999999996</v>
      </c>
      <c r="AA394" s="34">
        <v>45339</v>
      </c>
      <c r="AB394" s="35">
        <v>7.48977</v>
      </c>
      <c r="AC394" s="34">
        <v>45340</v>
      </c>
      <c r="AD394" s="35">
        <v>7.48977</v>
      </c>
      <c r="AE394" s="34">
        <v>45341</v>
      </c>
      <c r="AF394" s="35">
        <v>7.53742</v>
      </c>
      <c r="AG394" s="34">
        <v>45342</v>
      </c>
      <c r="AH394" s="35">
        <v>7.7334199999999997</v>
      </c>
      <c r="AI394" s="36">
        <v>0.21200161173654908</v>
      </c>
      <c r="AK394" s="34">
        <v>45331</v>
      </c>
      <c r="AL394" s="35">
        <v>6.2087599999999998</v>
      </c>
      <c r="AM394" s="34">
        <v>45345</v>
      </c>
      <c r="AN394" s="5">
        <v>8.0168800000000005</v>
      </c>
      <c r="AP394" s="36">
        <v>0.29122079126911027</v>
      </c>
      <c r="AS394" s="5" t="s">
        <v>12387</v>
      </c>
      <c r="AT394" s="5">
        <v>792.55</v>
      </c>
      <c r="AU394" s="5">
        <v>100</v>
      </c>
      <c r="AV394" s="5" t="s">
        <v>12400</v>
      </c>
      <c r="AW394" s="5" t="s">
        <v>12400</v>
      </c>
      <c r="AX394" s="5" t="s">
        <v>12400</v>
      </c>
      <c r="AZ394" s="49" t="s">
        <v>12451</v>
      </c>
      <c r="BA394" s="50" t="s">
        <v>12416</v>
      </c>
      <c r="BC394" s="51">
        <v>0.57920000000000005</v>
      </c>
    </row>
    <row r="395" spans="1:55" ht="15" customHeight="1" x14ac:dyDescent="0.4">
      <c r="A395" s="27" t="s">
        <v>11173</v>
      </c>
      <c r="B395" s="44" t="s">
        <v>12120</v>
      </c>
      <c r="C395" s="45" t="s">
        <v>11805</v>
      </c>
      <c r="D395" s="46">
        <v>3.22</v>
      </c>
      <c r="E395" s="45" t="s">
        <v>12357</v>
      </c>
      <c r="F395" s="45"/>
      <c r="G395" s="9">
        <v>233.24766</v>
      </c>
      <c r="H395" s="9">
        <v>111.2392</v>
      </c>
      <c r="I395" s="9">
        <v>14.8089</v>
      </c>
      <c r="J395" s="9">
        <v>5545.8856500000002</v>
      </c>
      <c r="K395" s="9">
        <v>5545.8856500000002</v>
      </c>
      <c r="L395" s="9">
        <v>126.13027</v>
      </c>
      <c r="M395" s="9">
        <v>651.75522000000001</v>
      </c>
      <c r="N395" s="10" t="s">
        <v>12470</v>
      </c>
      <c r="P395" s="32">
        <v>45338</v>
      </c>
      <c r="R395" s="35">
        <v>29.445720000000001</v>
      </c>
      <c r="S395" s="34">
        <v>45337</v>
      </c>
      <c r="T395" s="35">
        <v>29.900970000000001</v>
      </c>
      <c r="U395" s="34">
        <v>45336</v>
      </c>
      <c r="V395" s="35">
        <v>29.038779999999999</v>
      </c>
      <c r="W395" s="34">
        <v>45335</v>
      </c>
      <c r="X395" s="35">
        <v>28.502569999999999</v>
      </c>
      <c r="Y395" s="34">
        <v>45334</v>
      </c>
      <c r="Z395" s="35">
        <v>28.745830000000002</v>
      </c>
      <c r="AA395" s="34">
        <v>45339</v>
      </c>
      <c r="AB395" s="35">
        <v>29.445720000000001</v>
      </c>
      <c r="AC395" s="34">
        <v>45340</v>
      </c>
      <c r="AD395" s="35">
        <v>29.445720000000001</v>
      </c>
      <c r="AE395" s="34">
        <v>45341</v>
      </c>
      <c r="AF395" s="35">
        <v>29.654859999999999</v>
      </c>
      <c r="AG395" s="34">
        <v>45342</v>
      </c>
      <c r="AH395" s="35">
        <v>29.570630000000001</v>
      </c>
      <c r="AI395" s="36">
        <v>-1.5225258578567824E-2</v>
      </c>
      <c r="AK395" s="34">
        <v>45331</v>
      </c>
      <c r="AL395" s="35">
        <v>28.40898</v>
      </c>
      <c r="AM395" s="34">
        <v>45345</v>
      </c>
      <c r="AN395" s="5">
        <v>28.339849999999998</v>
      </c>
      <c r="AP395" s="36">
        <v>-2.4333854999369908E-3</v>
      </c>
      <c r="AS395" s="5" t="s">
        <v>12387</v>
      </c>
      <c r="AT395" s="5" t="s">
        <v>12400</v>
      </c>
      <c r="AU395" s="5" t="s">
        <v>12400</v>
      </c>
      <c r="AV395" s="5" t="s">
        <v>12400</v>
      </c>
      <c r="AW395" s="5" t="s">
        <v>12400</v>
      </c>
      <c r="AX395" s="5" t="s">
        <v>12400</v>
      </c>
      <c r="AZ395" s="49" t="s">
        <v>12408</v>
      </c>
      <c r="BA395" s="50" t="s">
        <v>12409</v>
      </c>
      <c r="BC395" s="51">
        <v>0.98333999999999999</v>
      </c>
    </row>
    <row r="396" spans="1:55" ht="15" customHeight="1" x14ac:dyDescent="0.4">
      <c r="A396" s="27" t="s">
        <v>11062</v>
      </c>
      <c r="B396" s="44" t="s">
        <v>12007</v>
      </c>
      <c r="C396" s="45" t="s">
        <v>11806</v>
      </c>
      <c r="D396" s="46">
        <v>1.51</v>
      </c>
      <c r="E396" s="45" t="s">
        <v>12358</v>
      </c>
      <c r="F396" s="45"/>
      <c r="G396" s="9">
        <v>6.7960000000000003</v>
      </c>
      <c r="H396" s="9">
        <v>4.8723299999999998</v>
      </c>
      <c r="I396" s="9">
        <v>4.7001999999999997</v>
      </c>
      <c r="J396" s="9">
        <v>54.769539999999999</v>
      </c>
      <c r="K396" s="9">
        <v>54.769539999999999</v>
      </c>
      <c r="L396" s="9">
        <v>0.16691</v>
      </c>
      <c r="M396" s="9">
        <v>12.87388</v>
      </c>
      <c r="N396" s="10" t="s">
        <v>12474</v>
      </c>
      <c r="P396" s="32">
        <v>45338</v>
      </c>
      <c r="R396" s="35">
        <v>2.2732199999999998</v>
      </c>
      <c r="S396" s="34">
        <v>45337</v>
      </c>
      <c r="T396" s="35">
        <v>2.36686</v>
      </c>
      <c r="U396" s="34">
        <v>45336</v>
      </c>
      <c r="V396" s="35">
        <v>2.2953999999999999</v>
      </c>
      <c r="W396" s="34">
        <v>45335</v>
      </c>
      <c r="X396" s="35">
        <v>2.3368000000000002</v>
      </c>
      <c r="Y396" s="34">
        <v>45334</v>
      </c>
      <c r="Z396" s="35">
        <v>2.2622</v>
      </c>
      <c r="AA396" s="34">
        <v>45339</v>
      </c>
      <c r="AB396" s="35">
        <v>2.2732199999999998</v>
      </c>
      <c r="AC396" s="34">
        <v>45340</v>
      </c>
      <c r="AD396" s="35">
        <v>2.2732199999999998</v>
      </c>
      <c r="AE396" s="34">
        <v>45341</v>
      </c>
      <c r="AF396" s="35">
        <v>2.50888</v>
      </c>
      <c r="AG396" s="34">
        <v>45342</v>
      </c>
      <c r="AH396" s="35">
        <v>2.63984</v>
      </c>
      <c r="AI396" s="36">
        <v>-3.9562965278892803E-2</v>
      </c>
      <c r="AK396" s="34">
        <v>45331</v>
      </c>
      <c r="AL396" s="35">
        <v>2.2644000000000002</v>
      </c>
      <c r="AM396" s="34">
        <v>45345</v>
      </c>
      <c r="AN396" s="5">
        <v>2.6506500000000002</v>
      </c>
      <c r="AP396" s="36">
        <v>0.17057498675145721</v>
      </c>
      <c r="AS396" s="5" t="s">
        <v>12387</v>
      </c>
      <c r="AT396" s="5">
        <v>1.51</v>
      </c>
      <c r="AU396" s="5">
        <v>100</v>
      </c>
      <c r="AV396" s="5" t="s">
        <v>12400</v>
      </c>
      <c r="AW396" s="5" t="s">
        <v>12400</v>
      </c>
      <c r="AX396" s="5" t="s">
        <v>12400</v>
      </c>
      <c r="AZ396" s="49" t="s">
        <v>12411</v>
      </c>
      <c r="BA396" s="50" t="s">
        <v>12411</v>
      </c>
      <c r="BC396" s="51">
        <v>1.03498</v>
      </c>
    </row>
    <row r="397" spans="1:55" ht="15" customHeight="1" x14ac:dyDescent="0.4">
      <c r="A397" s="27" t="s">
        <v>11314</v>
      </c>
      <c r="B397" s="44" t="s">
        <v>12266</v>
      </c>
      <c r="C397" s="45" t="s">
        <v>11807</v>
      </c>
      <c r="D397" s="46">
        <v>3.27</v>
      </c>
      <c r="E397" s="45" t="s">
        <v>12357</v>
      </c>
      <c r="F397" s="45"/>
      <c r="G397" s="9">
        <v>142.67524</v>
      </c>
      <c r="H397" s="9">
        <v>1250.0999999999999</v>
      </c>
      <c r="I397" s="9">
        <v>46.621099999999998</v>
      </c>
      <c r="J397" s="9">
        <v>4366.1000000000004</v>
      </c>
      <c r="K397" s="9">
        <v>4366.1000000000004</v>
      </c>
      <c r="L397" s="9">
        <v>302.7</v>
      </c>
      <c r="M397" s="9">
        <v>2791.5</v>
      </c>
      <c r="N397" s="10" t="s">
        <v>12467</v>
      </c>
      <c r="P397" s="32">
        <v>45337</v>
      </c>
      <c r="R397" s="35">
        <v>246.65</v>
      </c>
      <c r="S397" s="34">
        <v>45336</v>
      </c>
      <c r="T397" s="35">
        <v>246.14</v>
      </c>
      <c r="U397" s="34">
        <v>45335</v>
      </c>
      <c r="V397" s="35">
        <v>244.93</v>
      </c>
      <c r="W397" s="34">
        <v>45334</v>
      </c>
      <c r="X397" s="35">
        <v>247.13</v>
      </c>
      <c r="Y397" s="34">
        <v>45333</v>
      </c>
      <c r="Z397" s="35">
        <v>250.61</v>
      </c>
      <c r="AA397" s="34">
        <v>45338</v>
      </c>
      <c r="AB397" s="35">
        <v>244.7</v>
      </c>
      <c r="AC397" s="34">
        <v>45339</v>
      </c>
      <c r="AD397" s="35">
        <v>244.7</v>
      </c>
      <c r="AE397" s="34">
        <v>45340</v>
      </c>
      <c r="AF397" s="35">
        <v>244.7</v>
      </c>
      <c r="AG397" s="34">
        <v>45341</v>
      </c>
      <c r="AH397" s="35">
        <v>244.7</v>
      </c>
      <c r="AI397" s="36">
        <v>-5.8503290810107966E-3</v>
      </c>
      <c r="AK397" s="34">
        <v>45330</v>
      </c>
      <c r="AL397" s="35">
        <v>249.26</v>
      </c>
      <c r="AM397" s="34">
        <v>45344</v>
      </c>
      <c r="AN397" s="5">
        <v>240.01</v>
      </c>
      <c r="AP397" s="36">
        <v>-3.7109845141619191E-2</v>
      </c>
      <c r="AS397" s="5" t="s">
        <v>12387</v>
      </c>
      <c r="AT397" s="5">
        <v>3.27</v>
      </c>
      <c r="AU397" s="5">
        <v>100</v>
      </c>
      <c r="AV397" s="5" t="s">
        <v>12400</v>
      </c>
      <c r="AW397" s="5" t="s">
        <v>12400</v>
      </c>
      <c r="AX397" s="5" t="s">
        <v>12400</v>
      </c>
      <c r="AZ397" s="49" t="s">
        <v>12403</v>
      </c>
      <c r="BA397" s="50" t="s">
        <v>12415</v>
      </c>
      <c r="BC397" s="51">
        <v>0.81364999999999998</v>
      </c>
    </row>
    <row r="398" spans="1:55" ht="15" customHeight="1" x14ac:dyDescent="0.4">
      <c r="A398" s="27" t="s">
        <v>11315</v>
      </c>
      <c r="B398" s="44" t="s">
        <v>12267</v>
      </c>
      <c r="C398" s="45" t="s">
        <v>11808</v>
      </c>
      <c r="D398" s="46">
        <v>1</v>
      </c>
      <c r="E398" s="45" t="s">
        <v>12357</v>
      </c>
      <c r="F398" s="45"/>
      <c r="G398" s="9">
        <v>0.47738999999999998</v>
      </c>
      <c r="H398" s="9">
        <v>-12.759320000000001</v>
      </c>
      <c r="I398" s="9">
        <v>-181.78720000000001</v>
      </c>
      <c r="J398" s="9">
        <v>64.408559999999994</v>
      </c>
      <c r="K398" s="9">
        <v>64.408559999999994</v>
      </c>
      <c r="L398" s="9">
        <v>0.35982999999999998</v>
      </c>
      <c r="M398" s="9">
        <v>5.6668399999999997</v>
      </c>
      <c r="N398" s="10" t="s">
        <v>12474</v>
      </c>
      <c r="P398" s="32">
        <v>45337</v>
      </c>
      <c r="R398" s="35">
        <v>26.2</v>
      </c>
      <c r="S398" s="34">
        <v>45336</v>
      </c>
      <c r="T398" s="35">
        <v>23.6</v>
      </c>
      <c r="U398" s="34">
        <v>45335</v>
      </c>
      <c r="V398" s="35">
        <v>21.529</v>
      </c>
      <c r="W398" s="34">
        <v>45334</v>
      </c>
      <c r="X398" s="35">
        <v>24</v>
      </c>
      <c r="Y398" s="34">
        <v>45333</v>
      </c>
      <c r="Z398" s="35">
        <v>23</v>
      </c>
      <c r="AA398" s="34">
        <v>45338</v>
      </c>
      <c r="AB398" s="35">
        <v>25.9</v>
      </c>
      <c r="AC398" s="34">
        <v>45339</v>
      </c>
      <c r="AD398" s="35">
        <v>25.9</v>
      </c>
      <c r="AE398" s="34">
        <v>45340</v>
      </c>
      <c r="AF398" s="35">
        <v>25.9</v>
      </c>
      <c r="AG398" s="34">
        <v>45341</v>
      </c>
      <c r="AH398" s="35">
        <v>25.9</v>
      </c>
      <c r="AI398" s="36">
        <v>9.745762711864403E-2</v>
      </c>
      <c r="AK398" s="34">
        <v>45330</v>
      </c>
      <c r="AL398" s="35">
        <v>20.3</v>
      </c>
      <c r="AM398" s="34">
        <v>45344</v>
      </c>
      <c r="AN398" s="5">
        <v>23.3</v>
      </c>
      <c r="AP398" s="36">
        <v>0.14778325123152714</v>
      </c>
      <c r="AS398" s="5" t="s">
        <v>12392</v>
      </c>
      <c r="AT398" s="5" t="s">
        <v>12400</v>
      </c>
      <c r="AU398" s="5" t="s">
        <v>12400</v>
      </c>
      <c r="AV398" s="5" t="s">
        <v>12400</v>
      </c>
      <c r="AW398" s="5" t="s">
        <v>12400</v>
      </c>
      <c r="AX398" s="5">
        <v>100</v>
      </c>
      <c r="AZ398" s="49" t="s">
        <v>12403</v>
      </c>
      <c r="BA398" s="50" t="s">
        <v>12415</v>
      </c>
      <c r="BC398" s="51">
        <v>1.1120000000000001</v>
      </c>
    </row>
    <row r="399" spans="1:55" ht="15" customHeight="1" x14ac:dyDescent="0.4">
      <c r="A399" s="27" t="s">
        <v>11316</v>
      </c>
      <c r="B399" s="44" t="s">
        <v>12268</v>
      </c>
      <c r="C399" s="45" t="s">
        <v>11809</v>
      </c>
      <c r="D399" s="47">
        <v>0.70399999999999996</v>
      </c>
      <c r="E399" s="45" t="s">
        <v>12357</v>
      </c>
      <c r="F399" s="45"/>
      <c r="G399" s="9">
        <v>157.29232999999999</v>
      </c>
      <c r="H399" s="9">
        <v>0</v>
      </c>
      <c r="I399" s="9">
        <v>0</v>
      </c>
      <c r="J399" s="9">
        <v>6190.473</v>
      </c>
      <c r="K399" s="9">
        <v>6190.473</v>
      </c>
      <c r="L399" s="9">
        <v>615.68299999999999</v>
      </c>
      <c r="M399" s="9">
        <v>143.233</v>
      </c>
      <c r="N399" s="10" t="s">
        <v>12473</v>
      </c>
      <c r="P399" s="32">
        <v>45337</v>
      </c>
      <c r="R399" s="35">
        <v>27.38</v>
      </c>
      <c r="S399" s="34">
        <v>45336</v>
      </c>
      <c r="T399" s="35">
        <v>27.58</v>
      </c>
      <c r="U399" s="34">
        <v>45335</v>
      </c>
      <c r="V399" s="35">
        <v>26.87</v>
      </c>
      <c r="W399" s="34">
        <v>45334</v>
      </c>
      <c r="X399" s="35">
        <v>27.26</v>
      </c>
      <c r="Y399" s="34">
        <v>45333</v>
      </c>
      <c r="Z399" s="35">
        <v>27.16</v>
      </c>
      <c r="AA399" s="34">
        <v>45338</v>
      </c>
      <c r="AB399" s="35">
        <v>27.19</v>
      </c>
      <c r="AC399" s="34">
        <v>45339</v>
      </c>
      <c r="AD399" s="35">
        <v>27.19</v>
      </c>
      <c r="AE399" s="34">
        <v>45340</v>
      </c>
      <c r="AF399" s="35">
        <v>27.19</v>
      </c>
      <c r="AG399" s="34">
        <v>45341</v>
      </c>
      <c r="AH399" s="35">
        <v>27.19</v>
      </c>
      <c r="AI399" s="36">
        <v>-1.41406816533719E-2</v>
      </c>
      <c r="AK399" s="34">
        <v>45330</v>
      </c>
      <c r="AL399" s="35">
        <v>26.79</v>
      </c>
      <c r="AM399" s="34">
        <v>45344</v>
      </c>
      <c r="AN399" s="5">
        <v>26.7</v>
      </c>
      <c r="AP399" s="36">
        <v>-3.3594624860022737E-3</v>
      </c>
      <c r="AS399" s="5" t="s">
        <v>12387</v>
      </c>
      <c r="AT399" s="5">
        <v>0.70399999999999996</v>
      </c>
      <c r="AU399" s="5">
        <v>100</v>
      </c>
      <c r="AV399" s="5" t="s">
        <v>12400</v>
      </c>
      <c r="AW399" s="5" t="s">
        <v>12400</v>
      </c>
      <c r="AX399" s="5" t="s">
        <v>12400</v>
      </c>
      <c r="AZ399" s="49" t="s">
        <v>12425</v>
      </c>
      <c r="BA399" s="50" t="s">
        <v>12425</v>
      </c>
      <c r="BC399" s="51">
        <v>0.51644999999999996</v>
      </c>
    </row>
    <row r="400" spans="1:55" ht="15" customHeight="1" x14ac:dyDescent="0.4">
      <c r="A400" s="27" t="s">
        <v>11317</v>
      </c>
      <c r="B400" s="44" t="s">
        <v>12269</v>
      </c>
      <c r="C400" s="45" t="s">
        <v>11810</v>
      </c>
      <c r="D400" s="46">
        <v>39.69</v>
      </c>
      <c r="E400" s="45" t="s">
        <v>12357</v>
      </c>
      <c r="F400" s="45"/>
      <c r="G400" s="9">
        <v>166.78708</v>
      </c>
      <c r="H400" s="9">
        <v>2822</v>
      </c>
      <c r="I400" s="9">
        <v>28.2822</v>
      </c>
      <c r="J400" s="9">
        <v>13336</v>
      </c>
      <c r="K400" s="9">
        <v>13336</v>
      </c>
      <c r="L400" s="9">
        <v>1705</v>
      </c>
      <c r="M400" s="9">
        <v>4845</v>
      </c>
      <c r="N400" s="10" t="s">
        <v>12468</v>
      </c>
      <c r="P400" s="32">
        <v>45336</v>
      </c>
      <c r="R400" s="35">
        <v>319.39</v>
      </c>
      <c r="S400" s="34">
        <v>45335</v>
      </c>
      <c r="T400" s="35">
        <v>319.22000000000003</v>
      </c>
      <c r="U400" s="34">
        <v>45334</v>
      </c>
      <c r="V400" s="35">
        <v>320.08999999999997</v>
      </c>
      <c r="W400" s="34">
        <v>45333</v>
      </c>
      <c r="X400" s="35">
        <v>330.89</v>
      </c>
      <c r="Y400" s="34">
        <v>45332</v>
      </c>
      <c r="Z400" s="35">
        <v>330.89</v>
      </c>
      <c r="AA400" s="34">
        <v>45337</v>
      </c>
      <c r="AB400" s="35">
        <v>323.89999999999998</v>
      </c>
      <c r="AC400" s="34">
        <v>45338</v>
      </c>
      <c r="AD400" s="35">
        <v>320.49</v>
      </c>
      <c r="AE400" s="34">
        <v>45339</v>
      </c>
      <c r="AF400" s="35">
        <v>320.49</v>
      </c>
      <c r="AG400" s="34">
        <v>45340</v>
      </c>
      <c r="AH400" s="35">
        <v>320.49</v>
      </c>
      <c r="AI400" s="36">
        <v>1.4660735542885606E-2</v>
      </c>
      <c r="AK400" s="34">
        <v>45329</v>
      </c>
      <c r="AL400" s="35">
        <v>327.93</v>
      </c>
      <c r="AM400" s="34">
        <v>45343</v>
      </c>
      <c r="AN400" s="5">
        <v>324.82</v>
      </c>
      <c r="AP400" s="36">
        <v>-9.4837312841155041E-3</v>
      </c>
      <c r="AS400" s="5" t="s">
        <v>12387</v>
      </c>
      <c r="AT400" s="5" t="s">
        <v>12400</v>
      </c>
      <c r="AU400" s="5" t="s">
        <v>12400</v>
      </c>
      <c r="AV400" s="5" t="s">
        <v>12400</v>
      </c>
      <c r="AW400" s="5" t="s">
        <v>12400</v>
      </c>
      <c r="AX400" s="5" t="s">
        <v>12400</v>
      </c>
      <c r="AZ400" s="49" t="s">
        <v>12403</v>
      </c>
      <c r="BA400" s="50" t="s">
        <v>12415</v>
      </c>
      <c r="BC400" s="51">
        <v>0.99709999999999999</v>
      </c>
    </row>
    <row r="401" spans="1:55" ht="15" customHeight="1" x14ac:dyDescent="0.4">
      <c r="A401" s="27" t="s">
        <v>11021</v>
      </c>
      <c r="B401" s="44" t="s">
        <v>12270</v>
      </c>
      <c r="C401" s="45" t="s">
        <v>11811</v>
      </c>
      <c r="D401" s="46">
        <v>185</v>
      </c>
      <c r="E401" s="45" t="s">
        <v>12358</v>
      </c>
      <c r="F401" s="45"/>
      <c r="G401" s="9">
        <v>84.453339999999997</v>
      </c>
      <c r="H401" s="9">
        <v>815</v>
      </c>
      <c r="I401" s="9">
        <v>3.5329999999999999</v>
      </c>
      <c r="J401" s="9">
        <v>6826</v>
      </c>
      <c r="K401" s="9">
        <v>6826</v>
      </c>
      <c r="L401" s="9">
        <v>29</v>
      </c>
      <c r="M401" s="9">
        <v>4084</v>
      </c>
      <c r="N401" s="10" t="s">
        <v>12469</v>
      </c>
      <c r="P401" s="32">
        <v>45336</v>
      </c>
      <c r="R401" s="35">
        <v>61.15</v>
      </c>
      <c r="S401" s="34">
        <v>45335</v>
      </c>
      <c r="T401" s="35">
        <v>60.51</v>
      </c>
      <c r="U401" s="34">
        <v>45334</v>
      </c>
      <c r="V401" s="35">
        <v>61.16</v>
      </c>
      <c r="W401" s="34">
        <v>45333</v>
      </c>
      <c r="X401" s="35">
        <v>60.76</v>
      </c>
      <c r="Y401" s="34">
        <v>45332</v>
      </c>
      <c r="Z401" s="35">
        <v>60.76</v>
      </c>
      <c r="AA401" s="34">
        <v>45337</v>
      </c>
      <c r="AB401" s="35">
        <v>62.16</v>
      </c>
      <c r="AC401" s="34">
        <v>45338</v>
      </c>
      <c r="AD401" s="35">
        <v>62.53</v>
      </c>
      <c r="AE401" s="34">
        <v>45339</v>
      </c>
      <c r="AF401" s="35">
        <v>62.53</v>
      </c>
      <c r="AG401" s="34">
        <v>45340</v>
      </c>
      <c r="AH401" s="35">
        <v>62.53</v>
      </c>
      <c r="AI401" s="36">
        <v>2.7268220128904286E-2</v>
      </c>
      <c r="AK401" s="34">
        <v>45329</v>
      </c>
      <c r="AL401" s="35">
        <v>60.22</v>
      </c>
      <c r="AM401" s="34">
        <v>45343</v>
      </c>
      <c r="AN401" s="5">
        <v>62.78</v>
      </c>
      <c r="AP401" s="36">
        <v>4.2510793756227239E-2</v>
      </c>
      <c r="AS401" s="5" t="s">
        <v>12387</v>
      </c>
      <c r="AT401" s="5" t="s">
        <v>12400</v>
      </c>
      <c r="AU401" s="5" t="s">
        <v>12400</v>
      </c>
      <c r="AV401" s="5" t="s">
        <v>12400</v>
      </c>
      <c r="AW401" s="5" t="s">
        <v>12400</v>
      </c>
      <c r="AX401" s="5" t="s">
        <v>12400</v>
      </c>
      <c r="AZ401" s="49" t="s">
        <v>12403</v>
      </c>
      <c r="BA401" s="50" t="s">
        <v>12419</v>
      </c>
      <c r="BC401" s="51">
        <v>0.49208000000000002</v>
      </c>
    </row>
    <row r="402" spans="1:55" ht="15" customHeight="1" x14ac:dyDescent="0.4">
      <c r="A402" s="27" t="s">
        <v>11318</v>
      </c>
      <c r="B402" s="44" t="s">
        <v>12271</v>
      </c>
      <c r="C402" s="45" t="s">
        <v>11812</v>
      </c>
      <c r="D402" s="46">
        <v>9.65</v>
      </c>
      <c r="E402" s="45" t="s">
        <v>12357</v>
      </c>
      <c r="F402" s="45"/>
      <c r="G402" s="9">
        <v>12.49944</v>
      </c>
      <c r="H402" s="9">
        <v>7.9401000000000002</v>
      </c>
      <c r="I402" s="9">
        <v>7.6253000000000002</v>
      </c>
      <c r="J402" s="9">
        <v>77.130830000000003</v>
      </c>
      <c r="K402" s="9">
        <v>77.130830000000003</v>
      </c>
      <c r="L402" s="9">
        <v>7.9632699999999996</v>
      </c>
      <c r="M402" s="9">
        <v>-3.3048899999999999</v>
      </c>
      <c r="N402" s="10" t="s">
        <v>12468</v>
      </c>
      <c r="P402" s="32">
        <v>45336</v>
      </c>
      <c r="R402" s="35">
        <v>5.0737800000000002</v>
      </c>
      <c r="S402" s="34">
        <v>45335</v>
      </c>
      <c r="T402" s="35">
        <v>5.06738</v>
      </c>
      <c r="U402" s="34">
        <v>45334</v>
      </c>
      <c r="V402" s="35">
        <v>5.0964200000000002</v>
      </c>
      <c r="W402" s="34">
        <v>45333</v>
      </c>
      <c r="X402" s="35">
        <v>5.0997899999999996</v>
      </c>
      <c r="Y402" s="34">
        <v>45332</v>
      </c>
      <c r="Z402" s="35">
        <v>5.0997899999999996</v>
      </c>
      <c r="AA402" s="34">
        <v>45337</v>
      </c>
      <c r="AB402" s="35">
        <v>5.1143900000000002</v>
      </c>
      <c r="AC402" s="34">
        <v>45338</v>
      </c>
      <c r="AD402" s="35">
        <v>5.12256</v>
      </c>
      <c r="AE402" s="34">
        <v>45339</v>
      </c>
      <c r="AF402" s="35">
        <v>5.12256</v>
      </c>
      <c r="AG402" s="34">
        <v>45340</v>
      </c>
      <c r="AH402" s="35">
        <v>5.12256</v>
      </c>
      <c r="AI402" s="36">
        <v>9.2769833720778294E-3</v>
      </c>
      <c r="AK402" s="34">
        <v>45329</v>
      </c>
      <c r="AL402" s="35">
        <v>5.0908100000000003</v>
      </c>
      <c r="AM402" s="34">
        <v>45343</v>
      </c>
      <c r="AN402" s="5">
        <v>5.1423800000000002</v>
      </c>
      <c r="AP402" s="36">
        <v>1.0130018602147794E-2</v>
      </c>
      <c r="AS402" s="5" t="s">
        <v>12387</v>
      </c>
      <c r="AT402" s="5">
        <v>9.65</v>
      </c>
      <c r="AU402" s="5">
        <v>100</v>
      </c>
      <c r="AV402" s="5" t="s">
        <v>12400</v>
      </c>
      <c r="AW402" s="5" t="s">
        <v>12400</v>
      </c>
      <c r="AX402" s="5" t="s">
        <v>12400</v>
      </c>
      <c r="AZ402" s="49" t="s">
        <v>12452</v>
      </c>
      <c r="BA402" s="50" t="s">
        <v>12407</v>
      </c>
      <c r="BC402" s="51">
        <v>0.16753999999999999</v>
      </c>
    </row>
    <row r="403" spans="1:55" ht="15" customHeight="1" x14ac:dyDescent="0.4">
      <c r="A403" s="27" t="s">
        <v>11319</v>
      </c>
      <c r="B403" s="44" t="s">
        <v>12272</v>
      </c>
      <c r="C403" s="45" t="s">
        <v>11813</v>
      </c>
      <c r="D403" s="46">
        <v>1.01</v>
      </c>
      <c r="E403" s="45" t="s">
        <v>12357</v>
      </c>
      <c r="F403" s="45"/>
      <c r="G403" s="9">
        <v>95.365560000000002</v>
      </c>
      <c r="H403" s="9">
        <v>-3.1124200000000002</v>
      </c>
      <c r="I403" s="9">
        <v>-180</v>
      </c>
      <c r="J403" s="9">
        <v>3.08249</v>
      </c>
      <c r="K403" s="9">
        <v>3.08249</v>
      </c>
      <c r="L403" s="9">
        <v>1.5272300000000001</v>
      </c>
      <c r="M403" s="9">
        <v>-1.4724600000000001</v>
      </c>
      <c r="N403" s="10" t="s">
        <v>12465</v>
      </c>
      <c r="P403" s="32">
        <v>45336</v>
      </c>
      <c r="R403" s="35">
        <v>5.271E-2</v>
      </c>
      <c r="S403" s="34">
        <v>45335</v>
      </c>
      <c r="T403" s="35">
        <v>5.3530000000000001E-2</v>
      </c>
      <c r="U403" s="34">
        <v>45334</v>
      </c>
      <c r="V403" s="35">
        <v>5.3670000000000002E-2</v>
      </c>
      <c r="W403" s="34">
        <v>45333</v>
      </c>
      <c r="X403" s="35">
        <v>5.8110000000000002E-2</v>
      </c>
      <c r="Y403" s="34">
        <v>45332</v>
      </c>
      <c r="Z403" s="35">
        <v>5.8110000000000002E-2</v>
      </c>
      <c r="AA403" s="34">
        <v>45337</v>
      </c>
      <c r="AB403" s="35">
        <v>5.1560000000000002E-2</v>
      </c>
      <c r="AC403" s="34">
        <v>45338</v>
      </c>
      <c r="AD403" s="35">
        <v>5.1619999999999999E-2</v>
      </c>
      <c r="AE403" s="34">
        <v>45339</v>
      </c>
      <c r="AF403" s="35">
        <v>5.1619999999999999E-2</v>
      </c>
      <c r="AG403" s="34">
        <v>45340</v>
      </c>
      <c r="AH403" s="35">
        <v>5.1619999999999999E-2</v>
      </c>
      <c r="AI403" s="36">
        <v>-3.6801793386885828E-2</v>
      </c>
      <c r="AK403" s="34">
        <v>45329</v>
      </c>
      <c r="AL403" s="35">
        <v>5.8700000000000002E-2</v>
      </c>
      <c r="AM403" s="34">
        <v>45343</v>
      </c>
      <c r="AN403" s="5">
        <v>5.1130000000000002E-2</v>
      </c>
      <c r="AP403" s="36">
        <v>-0.12896081771720613</v>
      </c>
      <c r="AS403" s="5" t="s">
        <v>12387</v>
      </c>
      <c r="AT403" s="5">
        <v>0.49399999999999999</v>
      </c>
      <c r="AU403" s="5">
        <v>100</v>
      </c>
      <c r="AV403" s="5" t="s">
        <v>12400</v>
      </c>
      <c r="AW403" s="5" t="s">
        <v>12400</v>
      </c>
      <c r="AX403" s="5" t="s">
        <v>12400</v>
      </c>
      <c r="AZ403" s="49" t="s">
        <v>12425</v>
      </c>
      <c r="BA403" s="50" t="s">
        <v>12425</v>
      </c>
      <c r="BC403" s="51">
        <v>1.3185800000000001</v>
      </c>
    </row>
    <row r="404" spans="1:55" ht="15" customHeight="1" x14ac:dyDescent="0.4">
      <c r="A404" s="27" t="s">
        <v>11320</v>
      </c>
      <c r="B404" s="44" t="s">
        <v>12273</v>
      </c>
      <c r="C404" s="45" t="s">
        <v>11814</v>
      </c>
      <c r="D404" s="46">
        <v>32.159999999999997</v>
      </c>
      <c r="E404" s="45" t="s">
        <v>12357</v>
      </c>
      <c r="F404" s="45"/>
      <c r="G404" s="9">
        <v>203.05074999999999</v>
      </c>
      <c r="H404" s="9">
        <v>45.686439999999997</v>
      </c>
      <c r="I404" s="9">
        <v>20.277699999999999</v>
      </c>
      <c r="J404" s="9">
        <v>338.64416999999997</v>
      </c>
      <c r="K404" s="9">
        <v>338.64416999999997</v>
      </c>
      <c r="L404" s="9">
        <v>30.749829999999999</v>
      </c>
      <c r="M404" s="9">
        <v>3.4430800000000001</v>
      </c>
      <c r="N404" s="10" t="s">
        <v>12468</v>
      </c>
      <c r="P404" s="32">
        <v>45335</v>
      </c>
      <c r="R404" s="35">
        <v>3.4491700000000001</v>
      </c>
      <c r="S404" s="34">
        <v>45334</v>
      </c>
      <c r="T404" s="35">
        <v>3.3335499999999998</v>
      </c>
      <c r="U404" s="34">
        <v>45333</v>
      </c>
      <c r="V404" s="35">
        <v>3.3324600000000002</v>
      </c>
      <c r="W404" s="34">
        <v>45332</v>
      </c>
      <c r="X404" s="35">
        <v>3.3324600000000002</v>
      </c>
      <c r="Y404" s="34">
        <v>45331</v>
      </c>
      <c r="Z404" s="35">
        <v>3.3324600000000002</v>
      </c>
      <c r="AA404" s="34">
        <v>45336</v>
      </c>
      <c r="AB404" s="35">
        <v>3.5287999999999999</v>
      </c>
      <c r="AC404" s="34">
        <v>45337</v>
      </c>
      <c r="AD404" s="35">
        <v>3.52704</v>
      </c>
      <c r="AE404" s="34">
        <v>45338</v>
      </c>
      <c r="AF404" s="35">
        <v>3.5138099999999999</v>
      </c>
      <c r="AG404" s="34">
        <v>45339</v>
      </c>
      <c r="AH404" s="35">
        <v>3.5138099999999999</v>
      </c>
      <c r="AI404" s="36">
        <v>5.8571192872463262E-2</v>
      </c>
      <c r="AK404" s="34">
        <v>45328</v>
      </c>
      <c r="AL404" s="35">
        <v>3.4720900000000001</v>
      </c>
      <c r="AM404" s="34">
        <v>45342</v>
      </c>
      <c r="AN404" s="5">
        <v>3.6675</v>
      </c>
      <c r="AP404" s="36">
        <v>5.6280223150897646E-2</v>
      </c>
      <c r="AS404" s="5" t="s">
        <v>12387</v>
      </c>
      <c r="AT404" s="5">
        <v>32.159999999999997</v>
      </c>
      <c r="AU404" s="5">
        <v>100</v>
      </c>
      <c r="AV404" s="5" t="s">
        <v>12400</v>
      </c>
      <c r="AW404" s="5" t="s">
        <v>12400</v>
      </c>
      <c r="AX404" s="5" t="s">
        <v>12400</v>
      </c>
      <c r="AZ404" s="49" t="s">
        <v>12405</v>
      </c>
      <c r="BA404" s="50" t="s">
        <v>12406</v>
      </c>
      <c r="BC404" s="51">
        <v>0.45022000000000001</v>
      </c>
    </row>
    <row r="405" spans="1:55" ht="15" customHeight="1" x14ac:dyDescent="0.4">
      <c r="A405" s="27" t="s">
        <v>11263</v>
      </c>
      <c r="B405" s="44" t="s">
        <v>12213</v>
      </c>
      <c r="C405" s="45" t="s">
        <v>11815</v>
      </c>
      <c r="D405" s="46">
        <v>94.44</v>
      </c>
      <c r="E405" s="45" t="s">
        <v>12357</v>
      </c>
      <c r="F405" s="45"/>
      <c r="G405" s="9">
        <v>47.422490000000003</v>
      </c>
      <c r="H405" s="9">
        <v>1363.2</v>
      </c>
      <c r="I405" s="9">
        <v>24.189499999999999</v>
      </c>
      <c r="J405" s="9">
        <v>14527.9</v>
      </c>
      <c r="K405" s="9">
        <v>14527.9</v>
      </c>
      <c r="L405" s="9">
        <v>648.29999999999995</v>
      </c>
      <c r="M405" s="9">
        <v>2750.1</v>
      </c>
      <c r="N405" s="10" t="s">
        <v>12468</v>
      </c>
      <c r="P405" s="32">
        <v>45335</v>
      </c>
      <c r="R405" s="35">
        <v>420.19</v>
      </c>
      <c r="S405" s="34">
        <v>45334</v>
      </c>
      <c r="T405" s="35">
        <v>427.07</v>
      </c>
      <c r="U405" s="34">
        <v>45333</v>
      </c>
      <c r="V405" s="35">
        <v>434.03</v>
      </c>
      <c r="W405" s="34">
        <v>45332</v>
      </c>
      <c r="X405" s="35">
        <v>434.03</v>
      </c>
      <c r="Y405" s="34">
        <v>45331</v>
      </c>
      <c r="Z405" s="35">
        <v>434.03</v>
      </c>
      <c r="AA405" s="34">
        <v>45336</v>
      </c>
      <c r="AB405" s="35">
        <v>427.53</v>
      </c>
      <c r="AC405" s="34">
        <v>45337</v>
      </c>
      <c r="AD405" s="35">
        <v>431.48</v>
      </c>
      <c r="AE405" s="34">
        <v>45338</v>
      </c>
      <c r="AF405" s="35">
        <v>432.26</v>
      </c>
      <c r="AG405" s="34">
        <v>45339</v>
      </c>
      <c r="AH405" s="35">
        <v>432.26</v>
      </c>
      <c r="AI405" s="36">
        <v>1.0771067974804094E-3</v>
      </c>
      <c r="AK405" s="34">
        <v>45328</v>
      </c>
      <c r="AL405" s="35">
        <v>434.04</v>
      </c>
      <c r="AM405" s="34">
        <v>45342</v>
      </c>
      <c r="AN405" s="5">
        <v>430.76</v>
      </c>
      <c r="AP405" s="36">
        <v>-7.5569071974933566E-3</v>
      </c>
      <c r="AS405" s="5" t="s">
        <v>12387</v>
      </c>
      <c r="AT405" s="5" t="s">
        <v>12400</v>
      </c>
      <c r="AU405" s="5" t="s">
        <v>12400</v>
      </c>
      <c r="AV405" s="5" t="s">
        <v>12400</v>
      </c>
      <c r="AW405" s="5" t="s">
        <v>12400</v>
      </c>
      <c r="AX405" s="5" t="s">
        <v>12400</v>
      </c>
      <c r="AZ405" s="49" t="s">
        <v>12403</v>
      </c>
      <c r="BA405" s="50" t="s">
        <v>12419</v>
      </c>
      <c r="BC405" s="51">
        <v>1.0305200000000001</v>
      </c>
    </row>
    <row r="406" spans="1:55" ht="15" customHeight="1" x14ac:dyDescent="0.4">
      <c r="A406" s="27" t="s">
        <v>11321</v>
      </c>
      <c r="B406" s="44" t="s">
        <v>12274</v>
      </c>
      <c r="C406" s="45" t="s">
        <v>11816</v>
      </c>
      <c r="D406" s="46">
        <v>296.44</v>
      </c>
      <c r="E406" s="45" t="s">
        <v>12357</v>
      </c>
      <c r="F406" s="45"/>
      <c r="G406" s="9">
        <v>117.28744</v>
      </c>
      <c r="H406" s="9">
        <v>208.71700000000001</v>
      </c>
      <c r="I406" s="9">
        <v>13.797000000000001</v>
      </c>
      <c r="J406" s="9">
        <v>2013.0070000000001</v>
      </c>
      <c r="K406" s="9">
        <v>2013.0070000000001</v>
      </c>
      <c r="L406" s="9">
        <v>151.74100000000001</v>
      </c>
      <c r="M406" s="9">
        <v>-40.856999999999999</v>
      </c>
      <c r="N406" s="10" t="s">
        <v>12469</v>
      </c>
      <c r="P406" s="32">
        <v>45334</v>
      </c>
      <c r="R406" s="35">
        <v>18.21</v>
      </c>
      <c r="S406" s="34">
        <v>45333</v>
      </c>
      <c r="T406" s="35">
        <v>17.64</v>
      </c>
      <c r="U406" s="34">
        <v>45332</v>
      </c>
      <c r="V406" s="35">
        <v>17.64</v>
      </c>
      <c r="W406" s="34">
        <v>45331</v>
      </c>
      <c r="X406" s="35">
        <v>17.64</v>
      </c>
      <c r="Y406" s="34">
        <v>45330</v>
      </c>
      <c r="Z406" s="35">
        <v>17.55</v>
      </c>
      <c r="AA406" s="34">
        <v>45335</v>
      </c>
      <c r="AB406" s="35">
        <v>17.7</v>
      </c>
      <c r="AC406" s="34">
        <v>45336</v>
      </c>
      <c r="AD406" s="35">
        <v>17.809999999999999</v>
      </c>
      <c r="AE406" s="34">
        <v>45337</v>
      </c>
      <c r="AF406" s="35">
        <v>18.739999999999998</v>
      </c>
      <c r="AG406" s="34">
        <v>45338</v>
      </c>
      <c r="AH406" s="35">
        <v>19.09</v>
      </c>
      <c r="AI406" s="36">
        <v>3.4013605442175798E-3</v>
      </c>
      <c r="AK406" s="34">
        <v>45327</v>
      </c>
      <c r="AL406" s="35">
        <v>17.14</v>
      </c>
      <c r="AM406" s="34">
        <v>45341</v>
      </c>
      <c r="AN406" s="5">
        <v>19.09</v>
      </c>
      <c r="AP406" s="36">
        <v>0.11376896149358218</v>
      </c>
      <c r="AS406" s="5" t="s">
        <v>12389</v>
      </c>
      <c r="AT406" s="5">
        <v>75</v>
      </c>
      <c r="AU406" s="5">
        <v>38.65</v>
      </c>
      <c r="AV406" s="5" t="s">
        <v>12400</v>
      </c>
      <c r="AW406" s="5" t="s">
        <v>12400</v>
      </c>
      <c r="AX406" s="5">
        <v>61.35</v>
      </c>
      <c r="AZ406" s="49" t="s">
        <v>12403</v>
      </c>
      <c r="BA406" s="50" t="s">
        <v>12415</v>
      </c>
      <c r="BC406" s="51">
        <v>1.1720699999999999</v>
      </c>
    </row>
    <row r="407" spans="1:55" ht="15" customHeight="1" x14ac:dyDescent="0.4">
      <c r="A407" s="27" t="s">
        <v>11054</v>
      </c>
      <c r="B407" s="44" t="s">
        <v>11999</v>
      </c>
      <c r="C407" s="45" t="s">
        <v>11817</v>
      </c>
      <c r="D407" s="46">
        <v>1.04</v>
      </c>
      <c r="E407" s="45" t="s">
        <v>12357</v>
      </c>
      <c r="F407" s="45"/>
      <c r="G407" s="9">
        <v>58.56756</v>
      </c>
      <c r="H407" s="9">
        <v>-2.6896399999999998</v>
      </c>
      <c r="I407" s="9">
        <v>-145.566</v>
      </c>
      <c r="J407" s="9">
        <v>23.44547</v>
      </c>
      <c r="K407" s="9">
        <v>23.44547</v>
      </c>
      <c r="L407" s="9">
        <v>0.47732000000000002</v>
      </c>
      <c r="M407" s="9">
        <v>4.7034399999999996</v>
      </c>
      <c r="N407" s="10" t="s">
        <v>12466</v>
      </c>
      <c r="P407" s="32">
        <v>45331</v>
      </c>
      <c r="R407" s="35">
        <v>0.45928000000000002</v>
      </c>
      <c r="S407" s="34">
        <v>45330</v>
      </c>
      <c r="T407" s="35">
        <v>0.47465000000000002</v>
      </c>
      <c r="U407" s="34">
        <v>45329</v>
      </c>
      <c r="V407" s="35">
        <v>0.47863</v>
      </c>
      <c r="W407" s="34">
        <v>45328</v>
      </c>
      <c r="X407" s="35">
        <v>0.48568</v>
      </c>
      <c r="Y407" s="34">
        <v>45327</v>
      </c>
      <c r="Z407" s="35">
        <v>0.49257000000000001</v>
      </c>
      <c r="AA407" s="34">
        <v>45332</v>
      </c>
      <c r="AB407" s="35">
        <v>0.45928000000000002</v>
      </c>
      <c r="AC407" s="34">
        <v>45333</v>
      </c>
      <c r="AD407" s="35">
        <v>0.45928000000000002</v>
      </c>
      <c r="AE407" s="34">
        <v>45334</v>
      </c>
      <c r="AF407" s="35">
        <v>0.45784000000000002</v>
      </c>
      <c r="AG407" s="34">
        <v>45335</v>
      </c>
      <c r="AH407" s="35">
        <v>0.45191999999999999</v>
      </c>
      <c r="AI407" s="36">
        <v>-3.238175497735174E-2</v>
      </c>
      <c r="AK407" s="34">
        <v>45324</v>
      </c>
      <c r="AL407" s="35">
        <v>0.53276000000000001</v>
      </c>
      <c r="AM407" s="34">
        <v>45338</v>
      </c>
      <c r="AN407" s="5">
        <v>0.43397999999999998</v>
      </c>
      <c r="AP407" s="36">
        <v>-0.18541181770403192</v>
      </c>
      <c r="AS407" s="5" t="s">
        <v>12392</v>
      </c>
      <c r="AT407" s="5" t="s">
        <v>12400</v>
      </c>
      <c r="AU407" s="5" t="s">
        <v>12400</v>
      </c>
      <c r="AV407" s="5" t="s">
        <v>12400</v>
      </c>
      <c r="AW407" s="5" t="s">
        <v>12400</v>
      </c>
      <c r="AX407" s="5">
        <v>100</v>
      </c>
      <c r="AZ407" s="49" t="s">
        <v>12408</v>
      </c>
      <c r="BA407" s="50" t="s">
        <v>12408</v>
      </c>
      <c r="BC407" s="51">
        <v>0.31846000000000002</v>
      </c>
    </row>
    <row r="408" spans="1:55" ht="15" customHeight="1" x14ac:dyDescent="0.4">
      <c r="A408" s="27" t="s">
        <v>11322</v>
      </c>
      <c r="B408" s="44" t="s">
        <v>12275</v>
      </c>
      <c r="C408" s="45" t="s">
        <v>11818</v>
      </c>
      <c r="D408" s="46">
        <v>622.16999999999996</v>
      </c>
      <c r="E408" s="45" t="s">
        <v>12357</v>
      </c>
      <c r="F408" s="45"/>
      <c r="G408" s="9">
        <v>43.633519999999997</v>
      </c>
      <c r="H408" s="9">
        <v>630.04310999999996</v>
      </c>
      <c r="I408" s="9">
        <v>7.3170000000000002</v>
      </c>
      <c r="J408" s="9">
        <v>7224.49431</v>
      </c>
      <c r="K408" s="9">
        <v>7224.49431</v>
      </c>
      <c r="L408" s="9">
        <v>1250.1381699999999</v>
      </c>
      <c r="M408" s="9">
        <v>236.54249999999999</v>
      </c>
      <c r="N408" s="10" t="s">
        <v>12467</v>
      </c>
      <c r="P408" s="32">
        <v>45331</v>
      </c>
      <c r="R408" s="35">
        <v>97.315070000000006</v>
      </c>
      <c r="S408" s="34">
        <v>45330</v>
      </c>
      <c r="T408" s="35">
        <v>91.765339999999995</v>
      </c>
      <c r="U408" s="34">
        <v>45329</v>
      </c>
      <c r="V408" s="35">
        <v>91.187860000000001</v>
      </c>
      <c r="W408" s="34">
        <v>45328</v>
      </c>
      <c r="X408" s="35">
        <v>90.488979999999998</v>
      </c>
      <c r="Y408" s="34">
        <v>45327</v>
      </c>
      <c r="Z408" s="35">
        <v>88.866240000000005</v>
      </c>
      <c r="AA408" s="34">
        <v>45332</v>
      </c>
      <c r="AB408" s="35">
        <v>97.315070000000006</v>
      </c>
      <c r="AC408" s="34">
        <v>45333</v>
      </c>
      <c r="AD408" s="35">
        <v>97.315070000000006</v>
      </c>
      <c r="AE408" s="34">
        <v>45334</v>
      </c>
      <c r="AF408" s="35">
        <v>94.635350000000003</v>
      </c>
      <c r="AG408" s="34">
        <v>45335</v>
      </c>
      <c r="AH408" s="35">
        <v>93.686350000000004</v>
      </c>
      <c r="AI408" s="36">
        <v>6.047740900867371E-2</v>
      </c>
      <c r="AK408" s="34">
        <v>45324</v>
      </c>
      <c r="AL408" s="35">
        <v>90.374449999999996</v>
      </c>
      <c r="AM408" s="34">
        <v>45338</v>
      </c>
      <c r="AN408" s="5">
        <v>99.116569999999996</v>
      </c>
      <c r="AP408" s="36">
        <v>9.6732206945657762E-2</v>
      </c>
      <c r="AS408" s="5" t="s">
        <v>12387</v>
      </c>
      <c r="AT408" s="5">
        <v>622.16999999999996</v>
      </c>
      <c r="AU408" s="5">
        <v>100</v>
      </c>
      <c r="AV408" s="5" t="s">
        <v>12400</v>
      </c>
      <c r="AW408" s="5" t="s">
        <v>12400</v>
      </c>
      <c r="AX408" s="5" t="s">
        <v>12400</v>
      </c>
      <c r="AZ408" s="49" t="s">
        <v>12410</v>
      </c>
      <c r="BA408" s="50" t="s">
        <v>12416</v>
      </c>
      <c r="BC408" s="51">
        <v>0.86726000000000003</v>
      </c>
    </row>
    <row r="409" spans="1:55" ht="15" customHeight="1" x14ac:dyDescent="0.4">
      <c r="A409" s="27" t="s">
        <v>11323</v>
      </c>
      <c r="B409" s="44" t="s">
        <v>12276</v>
      </c>
      <c r="C409" s="45" t="s">
        <v>11819</v>
      </c>
      <c r="D409" s="47">
        <v>0.66900000000000004</v>
      </c>
      <c r="E409" s="45" t="s">
        <v>12358</v>
      </c>
      <c r="F409" s="45"/>
      <c r="G409" s="9">
        <v>34.282769999999999</v>
      </c>
      <c r="H409" s="9">
        <v>21.331489999999999</v>
      </c>
      <c r="I409" s="9">
        <v>20.987300000000001</v>
      </c>
      <c r="J409" s="9">
        <v>194.16606999999999</v>
      </c>
      <c r="K409" s="9">
        <v>194.16606999999999</v>
      </c>
      <c r="L409" s="9">
        <v>34.174399999999999</v>
      </c>
      <c r="M409" s="9">
        <v>18.463049999999999</v>
      </c>
      <c r="N409" s="10" t="s">
        <v>12465</v>
      </c>
      <c r="P409" s="32">
        <v>45331</v>
      </c>
      <c r="R409" s="35">
        <v>8.4956700000000005</v>
      </c>
      <c r="S409" s="34">
        <v>45330</v>
      </c>
      <c r="T409" s="35">
        <v>8.4326600000000003</v>
      </c>
      <c r="U409" s="34">
        <v>45329</v>
      </c>
      <c r="V409" s="35">
        <v>8.3999100000000002</v>
      </c>
      <c r="W409" s="34">
        <v>45328</v>
      </c>
      <c r="X409" s="35">
        <v>8.4125700000000005</v>
      </c>
      <c r="Y409" s="34">
        <v>45327</v>
      </c>
      <c r="Z409" s="35">
        <v>8.3561399999999999</v>
      </c>
      <c r="AA409" s="34">
        <v>45332</v>
      </c>
      <c r="AB409" s="35">
        <v>8.4956700000000005</v>
      </c>
      <c r="AC409" s="34">
        <v>45333</v>
      </c>
      <c r="AD409" s="35">
        <v>8.4956700000000005</v>
      </c>
      <c r="AE409" s="34">
        <v>45334</v>
      </c>
      <c r="AF409" s="35">
        <v>8.5911200000000001</v>
      </c>
      <c r="AG409" s="34">
        <v>45335</v>
      </c>
      <c r="AH409" s="35">
        <v>8.4690399999999997</v>
      </c>
      <c r="AI409" s="36">
        <v>7.4721380916580316E-3</v>
      </c>
      <c r="AK409" s="34">
        <v>45324</v>
      </c>
      <c r="AL409" s="35">
        <v>8.4578199999999999</v>
      </c>
      <c r="AM409" s="34">
        <v>45338</v>
      </c>
      <c r="AN409" s="5">
        <v>8.9445599999999992</v>
      </c>
      <c r="AP409" s="36">
        <v>5.7549108399090887E-2</v>
      </c>
      <c r="AS409" s="5" t="s">
        <v>12387</v>
      </c>
      <c r="AT409" s="5">
        <v>0.66900000000000004</v>
      </c>
      <c r="AU409" s="5">
        <v>100</v>
      </c>
      <c r="AV409" s="5" t="s">
        <v>12400</v>
      </c>
      <c r="AW409" s="5" t="s">
        <v>12400</v>
      </c>
      <c r="AX409" s="5" t="s">
        <v>12400</v>
      </c>
      <c r="AZ409" s="49" t="s">
        <v>12409</v>
      </c>
      <c r="BA409" s="50" t="s">
        <v>12409</v>
      </c>
      <c r="BC409" s="51">
        <v>1.2055800000000001</v>
      </c>
    </row>
    <row r="410" spans="1:55" ht="15" customHeight="1" x14ac:dyDescent="0.4">
      <c r="A410" s="27" t="s">
        <v>11324</v>
      </c>
      <c r="B410" s="44" t="s">
        <v>12277</v>
      </c>
      <c r="C410" s="45" t="s">
        <v>11820</v>
      </c>
      <c r="D410" s="46">
        <v>374.7</v>
      </c>
      <c r="E410" s="45" t="s">
        <v>12357</v>
      </c>
      <c r="F410" s="45"/>
      <c r="G410" s="9">
        <v>1087.7035800000001</v>
      </c>
      <c r="H410" s="9" t="s">
        <v>11415</v>
      </c>
      <c r="I410" s="9" t="s">
        <v>11415</v>
      </c>
      <c r="J410" s="9">
        <v>37591.490360000003</v>
      </c>
      <c r="K410" s="9">
        <v>37591.490360000003</v>
      </c>
      <c r="L410" s="9">
        <v>3587.7669900000001</v>
      </c>
      <c r="M410" s="9">
        <v>-1382.85454</v>
      </c>
      <c r="N410" s="10" t="s">
        <v>12473</v>
      </c>
      <c r="P410" s="32">
        <v>45331</v>
      </c>
      <c r="R410" s="35">
        <v>3.9547300000000001</v>
      </c>
      <c r="S410" s="34">
        <v>45330</v>
      </c>
      <c r="T410" s="35">
        <v>3.9440300000000001</v>
      </c>
      <c r="U410" s="34">
        <v>45329</v>
      </c>
      <c r="V410" s="35">
        <v>3.9418000000000002</v>
      </c>
      <c r="W410" s="34">
        <v>45328</v>
      </c>
      <c r="X410" s="35">
        <v>3.9361000000000002</v>
      </c>
      <c r="Y410" s="34">
        <v>45327</v>
      </c>
      <c r="Z410" s="35">
        <v>3.9168400000000001</v>
      </c>
      <c r="AA410" s="34">
        <v>45332</v>
      </c>
      <c r="AB410" s="35">
        <v>3.9547300000000001</v>
      </c>
      <c r="AC410" s="34">
        <v>45333</v>
      </c>
      <c r="AD410" s="35">
        <v>3.9547300000000001</v>
      </c>
      <c r="AE410" s="34">
        <v>45334</v>
      </c>
      <c r="AF410" s="35">
        <v>3.9589300000000001</v>
      </c>
      <c r="AG410" s="34">
        <v>45335</v>
      </c>
      <c r="AH410" s="35">
        <v>3.9342100000000002</v>
      </c>
      <c r="AI410" s="36">
        <v>2.7129611083078764E-3</v>
      </c>
      <c r="AK410" s="34">
        <v>45324</v>
      </c>
      <c r="AL410" s="35">
        <v>3.9137300000000002</v>
      </c>
      <c r="AM410" s="34">
        <v>45338</v>
      </c>
      <c r="AN410" s="5">
        <v>4.01112</v>
      </c>
      <c r="AP410" s="36">
        <v>2.4884189762707232E-2</v>
      </c>
      <c r="AS410" s="5" t="s">
        <v>12387</v>
      </c>
      <c r="AT410" s="5">
        <v>374.7</v>
      </c>
      <c r="AU410" s="5">
        <v>100</v>
      </c>
      <c r="AV410" s="5" t="s">
        <v>12400</v>
      </c>
      <c r="AW410" s="5" t="s">
        <v>12400</v>
      </c>
      <c r="AX410" s="5" t="s">
        <v>12400</v>
      </c>
      <c r="AZ410" s="49" t="s">
        <v>12430</v>
      </c>
      <c r="BA410" s="50" t="s">
        <v>12430</v>
      </c>
      <c r="BC410" s="51">
        <v>0.64524000000000004</v>
      </c>
    </row>
    <row r="411" spans="1:55" ht="15" customHeight="1" x14ac:dyDescent="0.4">
      <c r="A411" s="27" t="s">
        <v>11325</v>
      </c>
      <c r="B411" s="44" t="s">
        <v>12278</v>
      </c>
      <c r="C411" s="45" t="s">
        <v>11821</v>
      </c>
      <c r="D411" s="46">
        <v>28.53</v>
      </c>
      <c r="E411" s="45" t="s">
        <v>12357</v>
      </c>
      <c r="F411" s="45"/>
      <c r="G411" s="9">
        <v>165.22087999999999</v>
      </c>
      <c r="H411" s="9">
        <v>-67.826999999999998</v>
      </c>
      <c r="I411" s="9">
        <v>-9.3369</v>
      </c>
      <c r="J411" s="9">
        <v>748.95600000000002</v>
      </c>
      <c r="K411" s="9">
        <v>748.95600000000002</v>
      </c>
      <c r="L411" s="9">
        <v>188.65700000000001</v>
      </c>
      <c r="M411" s="9">
        <v>-381.66</v>
      </c>
      <c r="N411" s="10" t="s">
        <v>12465</v>
      </c>
      <c r="P411" s="32">
        <v>45330</v>
      </c>
      <c r="R411" s="35">
        <v>25.68</v>
      </c>
      <c r="S411" s="34">
        <v>45329</v>
      </c>
      <c r="T411" s="35">
        <v>25.21</v>
      </c>
      <c r="U411" s="34">
        <v>45328</v>
      </c>
      <c r="V411" s="35">
        <v>25.74</v>
      </c>
      <c r="W411" s="34">
        <v>45327</v>
      </c>
      <c r="X411" s="35">
        <v>25.1</v>
      </c>
      <c r="Y411" s="34">
        <v>45326</v>
      </c>
      <c r="Z411" s="35">
        <v>25.29</v>
      </c>
      <c r="AA411" s="34">
        <v>45331</v>
      </c>
      <c r="AB411" s="35">
        <v>26.36</v>
      </c>
      <c r="AC411" s="34">
        <v>45332</v>
      </c>
      <c r="AD411" s="35">
        <v>26.36</v>
      </c>
      <c r="AE411" s="34">
        <v>45333</v>
      </c>
      <c r="AF411" s="35">
        <v>26.36</v>
      </c>
      <c r="AG411" s="34">
        <v>45334</v>
      </c>
      <c r="AH411" s="35">
        <v>26.76</v>
      </c>
      <c r="AI411" s="36">
        <v>4.5616818722729047E-2</v>
      </c>
      <c r="AK411" s="34">
        <v>45323</v>
      </c>
      <c r="AL411" s="35">
        <v>26.14</v>
      </c>
      <c r="AM411" s="34">
        <v>45337</v>
      </c>
      <c r="AN411" s="5">
        <v>25.18</v>
      </c>
      <c r="AP411" s="36">
        <v>-3.6725325172149992E-2</v>
      </c>
      <c r="AS411" s="5" t="s">
        <v>12396</v>
      </c>
      <c r="AT411" s="5" t="s">
        <v>12400</v>
      </c>
      <c r="AU411" s="5" t="s">
        <v>12400</v>
      </c>
      <c r="AV411" s="5" t="s">
        <v>12400</v>
      </c>
      <c r="AW411" s="5" t="s">
        <v>12400</v>
      </c>
      <c r="AX411" s="5" t="s">
        <v>12400</v>
      </c>
      <c r="AZ411" s="49" t="s">
        <v>12409</v>
      </c>
      <c r="BA411" s="50" t="s">
        <v>12411</v>
      </c>
      <c r="BC411" s="51">
        <v>0.67159999999999997</v>
      </c>
    </row>
    <row r="412" spans="1:55" ht="15" customHeight="1" x14ac:dyDescent="0.4">
      <c r="A412" s="27" t="s">
        <v>11326</v>
      </c>
      <c r="B412" s="44" t="s">
        <v>12279</v>
      </c>
      <c r="C412" s="45" t="s">
        <v>11822</v>
      </c>
      <c r="D412" s="46">
        <v>3234.14</v>
      </c>
      <c r="E412" s="45" t="s">
        <v>12357</v>
      </c>
      <c r="F412" s="45"/>
      <c r="G412" s="9">
        <v>969.31638999999996</v>
      </c>
      <c r="H412" s="9">
        <v>612.67642000000001</v>
      </c>
      <c r="I412" s="9">
        <v>10.960900000000001</v>
      </c>
      <c r="J412" s="9">
        <v>9658.2513899999994</v>
      </c>
      <c r="K412" s="9">
        <v>9658.2513899999994</v>
      </c>
      <c r="L412" s="9">
        <v>1209.94039</v>
      </c>
      <c r="M412" s="9">
        <v>-896.72389999999996</v>
      </c>
      <c r="N412" s="10" t="s">
        <v>12474</v>
      </c>
      <c r="P412" s="32">
        <v>45329</v>
      </c>
      <c r="R412" s="35">
        <v>6.3243999999999998</v>
      </c>
      <c r="S412" s="34">
        <v>45328</v>
      </c>
      <c r="T412" s="35">
        <v>6.6707799999999997</v>
      </c>
      <c r="U412" s="34">
        <v>45327</v>
      </c>
      <c r="V412" s="35">
        <v>6.5237800000000004</v>
      </c>
      <c r="W412" s="34">
        <v>45326</v>
      </c>
      <c r="X412" s="35">
        <v>6.6923700000000004</v>
      </c>
      <c r="Y412" s="34">
        <v>45325</v>
      </c>
      <c r="Z412" s="35">
        <v>6.6923700000000004</v>
      </c>
      <c r="AA412" s="34">
        <v>45330</v>
      </c>
      <c r="AB412" s="35">
        <v>6.1475400000000002</v>
      </c>
      <c r="AC412" s="34">
        <v>45331</v>
      </c>
      <c r="AD412" s="35">
        <v>6.1537499999999996</v>
      </c>
      <c r="AE412" s="34">
        <v>45332</v>
      </c>
      <c r="AF412" s="35">
        <v>6.1537499999999996</v>
      </c>
      <c r="AG412" s="34">
        <v>45333</v>
      </c>
      <c r="AH412" s="35">
        <v>6.1537499999999996</v>
      </c>
      <c r="AI412" s="36">
        <v>-7.8437603998332994E-2</v>
      </c>
      <c r="AK412" s="34">
        <v>45322</v>
      </c>
      <c r="AL412" s="35">
        <v>6.8709499999999997</v>
      </c>
      <c r="AM412" s="34">
        <v>45336</v>
      </c>
      <c r="AN412" s="5">
        <v>5.944</v>
      </c>
      <c r="AP412" s="36">
        <v>-0.134908564317889</v>
      </c>
      <c r="AS412" s="5" t="s">
        <v>12399</v>
      </c>
      <c r="AT412" s="5" t="s">
        <v>12400</v>
      </c>
      <c r="AU412" s="5" t="s">
        <v>12400</v>
      </c>
      <c r="AV412" s="5" t="s">
        <v>12400</v>
      </c>
      <c r="AW412" s="5" t="s">
        <v>12400</v>
      </c>
      <c r="AX412" s="5">
        <v>100</v>
      </c>
      <c r="AZ412" s="49" t="s">
        <v>12415</v>
      </c>
      <c r="BA412" s="50" t="s">
        <v>12415</v>
      </c>
      <c r="BC412" s="51">
        <v>1.4002699999999999</v>
      </c>
    </row>
    <row r="413" spans="1:55" ht="15" customHeight="1" x14ac:dyDescent="0.4">
      <c r="A413" s="27" t="s">
        <v>11327</v>
      </c>
      <c r="B413" s="44" t="s">
        <v>12280</v>
      </c>
      <c r="C413" s="45" t="s">
        <v>11823</v>
      </c>
      <c r="D413" s="46">
        <v>42.57</v>
      </c>
      <c r="E413" s="45" t="s">
        <v>12357</v>
      </c>
      <c r="F413" s="45"/>
      <c r="G413" s="9">
        <v>79.224199999999996</v>
      </c>
      <c r="H413" s="9">
        <v>1479.7090000000001</v>
      </c>
      <c r="I413" s="9">
        <v>58.511400000000002</v>
      </c>
      <c r="J413" s="9">
        <v>5518.2190000000001</v>
      </c>
      <c r="K413" s="9">
        <v>5518.2190000000001</v>
      </c>
      <c r="L413" s="9">
        <v>457.815</v>
      </c>
      <c r="M413" s="9">
        <v>4170.0469999999996</v>
      </c>
      <c r="N413" s="10" t="s">
        <v>12473</v>
      </c>
      <c r="P413" s="32">
        <v>45329</v>
      </c>
      <c r="R413" s="35">
        <v>590.63</v>
      </c>
      <c r="S413" s="34">
        <v>45328</v>
      </c>
      <c r="T413" s="35">
        <v>582</v>
      </c>
      <c r="U413" s="34">
        <v>45327</v>
      </c>
      <c r="V413" s="35">
        <v>583.39</v>
      </c>
      <c r="W413" s="34">
        <v>45326</v>
      </c>
      <c r="X413" s="35">
        <v>593.05999999999995</v>
      </c>
      <c r="Y413" s="34">
        <v>45325</v>
      </c>
      <c r="Z413" s="35">
        <v>593.05999999999995</v>
      </c>
      <c r="AA413" s="34">
        <v>45330</v>
      </c>
      <c r="AB413" s="35">
        <v>585.5</v>
      </c>
      <c r="AC413" s="34">
        <v>45331</v>
      </c>
      <c r="AD413" s="35">
        <v>592.41999999999996</v>
      </c>
      <c r="AE413" s="34">
        <v>45332</v>
      </c>
      <c r="AF413" s="35">
        <v>592.41999999999996</v>
      </c>
      <c r="AG413" s="34">
        <v>45333</v>
      </c>
      <c r="AH413" s="35">
        <v>592.41999999999996</v>
      </c>
      <c r="AI413" s="36">
        <v>6.0137457044673326E-3</v>
      </c>
      <c r="AK413" s="34">
        <v>45322</v>
      </c>
      <c r="AL413" s="35">
        <v>598.62</v>
      </c>
      <c r="AM413" s="34">
        <v>45336</v>
      </c>
      <c r="AN413" s="5">
        <v>572.79999999999995</v>
      </c>
      <c r="AP413" s="36">
        <v>-4.3132538171127055E-2</v>
      </c>
      <c r="AS413" s="5" t="s">
        <v>12387</v>
      </c>
      <c r="AT413" s="5">
        <v>20.95</v>
      </c>
      <c r="AU413" s="5">
        <v>100</v>
      </c>
      <c r="AV413" s="5" t="s">
        <v>12400</v>
      </c>
      <c r="AW413" s="5" t="s">
        <v>12400</v>
      </c>
      <c r="AX413" s="5" t="s">
        <v>12400</v>
      </c>
      <c r="AZ413" s="49" t="s">
        <v>12403</v>
      </c>
      <c r="BA413" s="50" t="s">
        <v>12415</v>
      </c>
      <c r="BC413" s="51">
        <v>1.3163499999999999</v>
      </c>
    </row>
    <row r="414" spans="1:55" ht="15" customHeight="1" x14ac:dyDescent="0.4">
      <c r="A414" s="27" t="s">
        <v>11328</v>
      </c>
      <c r="B414" s="44" t="s">
        <v>12281</v>
      </c>
      <c r="C414" s="45" t="s">
        <v>11824</v>
      </c>
      <c r="D414" s="46">
        <v>6.97</v>
      </c>
      <c r="E414" s="45" t="s">
        <v>12357</v>
      </c>
      <c r="F414" s="45"/>
      <c r="G414" s="9">
        <v>36.942500000000003</v>
      </c>
      <c r="H414" s="9">
        <v>0</v>
      </c>
      <c r="I414" s="9">
        <v>0</v>
      </c>
      <c r="J414" s="9">
        <v>0</v>
      </c>
      <c r="K414" s="9">
        <v>0</v>
      </c>
      <c r="L414" s="9">
        <v>0</v>
      </c>
      <c r="M414" s="9">
        <v>0</v>
      </c>
      <c r="N414" s="10" t="s">
        <v>12473</v>
      </c>
      <c r="P414" s="32">
        <v>45329</v>
      </c>
      <c r="R414" s="35">
        <v>4.5344600000000002</v>
      </c>
      <c r="S414" s="34">
        <v>45328</v>
      </c>
      <c r="T414" s="35">
        <v>4.4776100000000003</v>
      </c>
      <c r="U414" s="34">
        <v>45327</v>
      </c>
      <c r="V414" s="35">
        <v>4.5491799999999998</v>
      </c>
      <c r="W414" s="34">
        <v>45326</v>
      </c>
      <c r="X414" s="35">
        <v>4.4625700000000004</v>
      </c>
      <c r="Y414" s="34">
        <v>45325</v>
      </c>
      <c r="Z414" s="35">
        <v>4.4625700000000004</v>
      </c>
      <c r="AA414" s="34">
        <v>45330</v>
      </c>
      <c r="AB414" s="35">
        <v>4.3581899999999996</v>
      </c>
      <c r="AC414" s="34">
        <v>45331</v>
      </c>
      <c r="AD414" s="35">
        <v>4.4801599999999997</v>
      </c>
      <c r="AE414" s="34">
        <v>45332</v>
      </c>
      <c r="AF414" s="35">
        <v>4.4801599999999997</v>
      </c>
      <c r="AG414" s="34">
        <v>45333</v>
      </c>
      <c r="AH414" s="35">
        <v>4.4801599999999997</v>
      </c>
      <c r="AI414" s="36">
        <v>-2.6670478223874028E-2</v>
      </c>
      <c r="AK414" s="34">
        <v>45322</v>
      </c>
      <c r="AL414" s="35">
        <v>4.6001099999999999</v>
      </c>
      <c r="AM414" s="34">
        <v>45336</v>
      </c>
      <c r="AN414" s="5">
        <v>4.5962399999999999</v>
      </c>
      <c r="AP414" s="36">
        <v>-8.4128423015972231E-4</v>
      </c>
      <c r="AS414" s="5" t="s">
        <v>12387</v>
      </c>
      <c r="AT414" s="5">
        <v>6.97</v>
      </c>
      <c r="AU414" s="5">
        <v>100</v>
      </c>
      <c r="AV414" s="5" t="s">
        <v>12400</v>
      </c>
      <c r="AW414" s="5" t="s">
        <v>12400</v>
      </c>
      <c r="AX414" s="5" t="s">
        <v>12400</v>
      </c>
      <c r="AZ414" s="49" t="s">
        <v>12420</v>
      </c>
      <c r="BA414" s="50" t="s">
        <v>12410</v>
      </c>
      <c r="BC414" s="51">
        <v>0.74595</v>
      </c>
    </row>
    <row r="415" spans="1:55" ht="15" customHeight="1" x14ac:dyDescent="0.4">
      <c r="A415" s="27" t="s">
        <v>11329</v>
      </c>
      <c r="B415" s="44" t="s">
        <v>12282</v>
      </c>
      <c r="C415" s="45" t="s">
        <v>11825</v>
      </c>
      <c r="D415" s="46">
        <v>17.09</v>
      </c>
      <c r="E415" s="45" t="s">
        <v>12358</v>
      </c>
      <c r="F415" s="45"/>
      <c r="G415" s="9">
        <v>131.25357</v>
      </c>
      <c r="H415" s="9">
        <v>43.65258</v>
      </c>
      <c r="I415" s="9">
        <v>74.030299999999997</v>
      </c>
      <c r="J415" s="9">
        <v>757.80476999999996</v>
      </c>
      <c r="K415" s="9">
        <v>757.80476999999996</v>
      </c>
      <c r="L415" s="9">
        <v>21.08052</v>
      </c>
      <c r="M415" s="9">
        <v>374.97465</v>
      </c>
      <c r="N415" s="10" t="s">
        <v>12475</v>
      </c>
      <c r="P415" s="32">
        <v>45329</v>
      </c>
      <c r="R415" s="35">
        <v>3.46496</v>
      </c>
      <c r="S415" s="34">
        <v>45328</v>
      </c>
      <c r="T415" s="35">
        <v>3.4087000000000001</v>
      </c>
      <c r="U415" s="34">
        <v>45327</v>
      </c>
      <c r="V415" s="35">
        <v>3.3405800000000001</v>
      </c>
      <c r="W415" s="34">
        <v>45326</v>
      </c>
      <c r="X415" s="35">
        <v>3.44225</v>
      </c>
      <c r="Y415" s="34">
        <v>45325</v>
      </c>
      <c r="Z415" s="35">
        <v>3.44225</v>
      </c>
      <c r="AA415" s="34">
        <v>45330</v>
      </c>
      <c r="AB415" s="35">
        <v>3.31589</v>
      </c>
      <c r="AC415" s="34">
        <v>45331</v>
      </c>
      <c r="AD415" s="35">
        <v>3.2683</v>
      </c>
      <c r="AE415" s="34">
        <v>45332</v>
      </c>
      <c r="AF415" s="35">
        <v>3.2683</v>
      </c>
      <c r="AG415" s="34">
        <v>45333</v>
      </c>
      <c r="AH415" s="35">
        <v>3.2683</v>
      </c>
      <c r="AI415" s="36">
        <v>-2.722738874057562E-2</v>
      </c>
      <c r="AK415" s="34">
        <v>45322</v>
      </c>
      <c r="AL415" s="35">
        <v>3.4794399999999999</v>
      </c>
      <c r="AM415" s="34">
        <v>45336</v>
      </c>
      <c r="AN415" s="5">
        <v>3.2473999999999998</v>
      </c>
      <c r="AP415" s="36">
        <v>-6.6688892465454175E-2</v>
      </c>
      <c r="AS415" s="5" t="s">
        <v>12387</v>
      </c>
      <c r="AT415" s="5">
        <v>17.09</v>
      </c>
      <c r="AU415" s="5">
        <v>100</v>
      </c>
      <c r="AV415" s="5" t="s">
        <v>12400</v>
      </c>
      <c r="AW415" s="5" t="s">
        <v>12400</v>
      </c>
      <c r="AX415" s="5" t="s">
        <v>12400</v>
      </c>
      <c r="AZ415" s="49" t="s">
        <v>12409</v>
      </c>
      <c r="BA415" s="50" t="s">
        <v>12409</v>
      </c>
      <c r="BC415" s="51">
        <v>1.3456600000000001</v>
      </c>
    </row>
    <row r="416" spans="1:55" ht="15" customHeight="1" x14ac:dyDescent="0.4">
      <c r="A416" s="27" t="s">
        <v>11330</v>
      </c>
      <c r="B416" s="44" t="s">
        <v>12283</v>
      </c>
      <c r="C416" s="45" t="s">
        <v>11826</v>
      </c>
      <c r="D416" s="46">
        <v>33.4</v>
      </c>
      <c r="E416" s="45" t="s">
        <v>12357</v>
      </c>
      <c r="F416" s="45"/>
      <c r="G416" s="9">
        <v>48.671999999999997</v>
      </c>
      <c r="H416" s="9">
        <v>521.904</v>
      </c>
      <c r="I416" s="9">
        <v>28.659099999999999</v>
      </c>
      <c r="J416" s="9">
        <v>2434.3530000000001</v>
      </c>
      <c r="K416" s="9">
        <v>2434.3530000000001</v>
      </c>
      <c r="L416" s="9">
        <v>527.84299999999996</v>
      </c>
      <c r="M416" s="9">
        <v>-1100.6079999999999</v>
      </c>
      <c r="N416" s="10" t="s">
        <v>12468</v>
      </c>
      <c r="P416" s="32">
        <v>45329</v>
      </c>
      <c r="R416" s="35">
        <v>645.41</v>
      </c>
      <c r="S416" s="34">
        <v>45328</v>
      </c>
      <c r="T416" s="35">
        <v>632.98</v>
      </c>
      <c r="U416" s="34">
        <v>45327</v>
      </c>
      <c r="V416" s="35">
        <v>646.21</v>
      </c>
      <c r="W416" s="34">
        <v>45326</v>
      </c>
      <c r="X416" s="35">
        <v>635.86</v>
      </c>
      <c r="Y416" s="34">
        <v>45325</v>
      </c>
      <c r="Z416" s="35">
        <v>635.86</v>
      </c>
      <c r="AA416" s="34">
        <v>45330</v>
      </c>
      <c r="AB416" s="35">
        <v>737.07</v>
      </c>
      <c r="AC416" s="34">
        <v>45331</v>
      </c>
      <c r="AD416" s="35">
        <v>752.31</v>
      </c>
      <c r="AE416" s="34">
        <v>45332</v>
      </c>
      <c r="AF416" s="35">
        <v>752.31</v>
      </c>
      <c r="AG416" s="34">
        <v>45333</v>
      </c>
      <c r="AH416" s="35">
        <v>752.31</v>
      </c>
      <c r="AI416" s="36">
        <v>0.1644443742298336</v>
      </c>
      <c r="AK416" s="34">
        <v>45322</v>
      </c>
      <c r="AL416" s="35">
        <v>602.72</v>
      </c>
      <c r="AM416" s="34">
        <v>45336</v>
      </c>
      <c r="AN416" s="5">
        <v>745.18</v>
      </c>
      <c r="AP416" s="36">
        <v>0.23636182638704528</v>
      </c>
      <c r="AS416" s="5" t="s">
        <v>12387</v>
      </c>
      <c r="AT416" s="5">
        <v>33.4</v>
      </c>
      <c r="AU416" s="5">
        <v>100</v>
      </c>
      <c r="AV416" s="5" t="s">
        <v>12400</v>
      </c>
      <c r="AW416" s="5" t="s">
        <v>12400</v>
      </c>
      <c r="AX416" s="5" t="s">
        <v>12400</v>
      </c>
      <c r="AZ416" s="49" t="s">
        <v>12403</v>
      </c>
      <c r="BA416" s="50" t="s">
        <v>12419</v>
      </c>
      <c r="BC416" s="51">
        <v>1.47187</v>
      </c>
    </row>
    <row r="417" spans="1:55" ht="15" customHeight="1" x14ac:dyDescent="0.4">
      <c r="A417" s="27" t="s">
        <v>11331</v>
      </c>
      <c r="B417" s="44" t="s">
        <v>12284</v>
      </c>
      <c r="C417" s="45" t="s">
        <v>11827</v>
      </c>
      <c r="D417" s="46">
        <v>9.15</v>
      </c>
      <c r="E417" s="45" t="s">
        <v>12357</v>
      </c>
      <c r="F417" s="45"/>
      <c r="G417" s="9">
        <v>1266.1474900000001</v>
      </c>
      <c r="H417" s="9">
        <v>0.8</v>
      </c>
      <c r="I417" s="9">
        <v>4.0708000000000002</v>
      </c>
      <c r="J417" s="9">
        <v>70.777000000000001</v>
      </c>
      <c r="K417" s="9">
        <v>70.777000000000001</v>
      </c>
      <c r="L417" s="9">
        <v>3.7629999999999999</v>
      </c>
      <c r="M417" s="9">
        <v>4.3959999999999999</v>
      </c>
      <c r="N417" s="10" t="s">
        <v>12469</v>
      </c>
      <c r="P417" s="32">
        <v>45329</v>
      </c>
      <c r="R417" s="35">
        <v>9.1299999999999992E-3</v>
      </c>
      <c r="S417" s="34">
        <v>45328</v>
      </c>
      <c r="T417" s="35">
        <v>9.1199999999999996E-3</v>
      </c>
      <c r="U417" s="34">
        <v>45327</v>
      </c>
      <c r="V417" s="35">
        <v>9.0600000000000003E-3</v>
      </c>
      <c r="W417" s="34">
        <v>45326</v>
      </c>
      <c r="X417" s="35">
        <v>8.4700000000000001E-3</v>
      </c>
      <c r="Y417" s="34">
        <v>45325</v>
      </c>
      <c r="Z417" s="35">
        <v>8.4700000000000001E-3</v>
      </c>
      <c r="AA417" s="34">
        <v>45330</v>
      </c>
      <c r="AB417" s="35">
        <v>8.43E-3</v>
      </c>
      <c r="AC417" s="34">
        <v>45331</v>
      </c>
      <c r="AD417" s="35">
        <v>8.4799999999999997E-3</v>
      </c>
      <c r="AE417" s="34">
        <v>45332</v>
      </c>
      <c r="AF417" s="35">
        <v>8.4799999999999997E-3</v>
      </c>
      <c r="AG417" s="34">
        <v>45333</v>
      </c>
      <c r="AH417" s="35">
        <v>8.4799999999999997E-3</v>
      </c>
      <c r="AI417" s="36">
        <v>-7.5657894736842035E-2</v>
      </c>
      <c r="AK417" s="34">
        <v>45322</v>
      </c>
      <c r="AL417" s="35">
        <v>8.5800000000000008E-3</v>
      </c>
      <c r="AM417" s="34">
        <v>45336</v>
      </c>
      <c r="AN417" s="5">
        <v>9.7300000000000008E-3</v>
      </c>
      <c r="AP417" s="36">
        <v>0.1340326340326341</v>
      </c>
      <c r="AS417" s="5" t="s">
        <v>12387</v>
      </c>
      <c r="AT417" s="5">
        <v>9.15</v>
      </c>
      <c r="AU417" s="5">
        <v>100</v>
      </c>
      <c r="AV417" s="5" t="s">
        <v>12400</v>
      </c>
      <c r="AW417" s="5" t="s">
        <v>12400</v>
      </c>
      <c r="AX417" s="5" t="s">
        <v>12400</v>
      </c>
      <c r="AZ417" s="49" t="s">
        <v>12417</v>
      </c>
      <c r="BA417" s="50" t="s">
        <v>12416</v>
      </c>
      <c r="BC417" s="51">
        <v>0.46165</v>
      </c>
    </row>
    <row r="418" spans="1:55" ht="15" customHeight="1" x14ac:dyDescent="0.4">
      <c r="A418" s="27" t="s">
        <v>11332</v>
      </c>
      <c r="B418" s="44" t="s">
        <v>12285</v>
      </c>
      <c r="C418" s="45" t="s">
        <v>11828</v>
      </c>
      <c r="D418" s="47">
        <v>0.89500000000000002</v>
      </c>
      <c r="E418" s="45" t="s">
        <v>12357</v>
      </c>
      <c r="F418" s="45"/>
      <c r="G418" s="9">
        <v>11.74295</v>
      </c>
      <c r="H418" s="9">
        <v>202.042</v>
      </c>
      <c r="I418" s="9">
        <v>21.097200000000001</v>
      </c>
      <c r="J418" s="9">
        <v>1175.665</v>
      </c>
      <c r="K418" s="9">
        <v>1175.665</v>
      </c>
      <c r="L418" s="9">
        <v>103.83199999999999</v>
      </c>
      <c r="M418" s="9">
        <v>31.782</v>
      </c>
      <c r="N418" s="10" t="s">
        <v>12467</v>
      </c>
      <c r="P418" s="32">
        <v>45329</v>
      </c>
      <c r="R418" s="35">
        <v>294.5</v>
      </c>
      <c r="S418" s="34">
        <v>45328</v>
      </c>
      <c r="T418" s="35">
        <v>294.89999999999998</v>
      </c>
      <c r="U418" s="34">
        <v>45327</v>
      </c>
      <c r="V418" s="35">
        <v>292.12</v>
      </c>
      <c r="W418" s="34">
        <v>45326</v>
      </c>
      <c r="X418" s="35">
        <v>295.12</v>
      </c>
      <c r="Y418" s="34">
        <v>45325</v>
      </c>
      <c r="Z418" s="35">
        <v>295.12</v>
      </c>
      <c r="AA418" s="34">
        <v>45330</v>
      </c>
      <c r="AB418" s="35">
        <v>300.06</v>
      </c>
      <c r="AC418" s="34">
        <v>45331</v>
      </c>
      <c r="AD418" s="35">
        <v>308.76</v>
      </c>
      <c r="AE418" s="34">
        <v>45332</v>
      </c>
      <c r="AF418" s="35">
        <v>308.76</v>
      </c>
      <c r="AG418" s="34">
        <v>45333</v>
      </c>
      <c r="AH418" s="35">
        <v>308.76</v>
      </c>
      <c r="AI418" s="36">
        <v>1.7497456765005248E-2</v>
      </c>
      <c r="AK418" s="34">
        <v>45322</v>
      </c>
      <c r="AL418" s="35">
        <v>286</v>
      </c>
      <c r="AM418" s="34">
        <v>45336</v>
      </c>
      <c r="AN418" s="5">
        <v>315.01</v>
      </c>
      <c r="AP418" s="36">
        <v>0.10143356643356638</v>
      </c>
      <c r="AS418" s="5" t="s">
        <v>12387</v>
      </c>
      <c r="AT418" s="5">
        <v>0.89500000000000002</v>
      </c>
      <c r="AU418" s="5">
        <v>100</v>
      </c>
      <c r="AV418" s="5" t="s">
        <v>12400</v>
      </c>
      <c r="AW418" s="5" t="s">
        <v>12400</v>
      </c>
      <c r="AX418" s="5" t="s">
        <v>12400</v>
      </c>
      <c r="AZ418" s="49" t="s">
        <v>12403</v>
      </c>
      <c r="BA418" s="50" t="s">
        <v>12409</v>
      </c>
      <c r="BC418" s="51">
        <v>1.2594000000000001</v>
      </c>
    </row>
    <row r="419" spans="1:55" ht="15" customHeight="1" x14ac:dyDescent="0.4">
      <c r="A419" s="27" t="s">
        <v>11333</v>
      </c>
      <c r="B419" s="44" t="s">
        <v>12286</v>
      </c>
      <c r="C419" s="45" t="s">
        <v>11829</v>
      </c>
      <c r="D419" s="46">
        <v>5.37</v>
      </c>
      <c r="E419" s="45" t="s">
        <v>12357</v>
      </c>
      <c r="F419" s="45"/>
      <c r="G419" s="9">
        <v>206.47843</v>
      </c>
      <c r="H419" s="9">
        <v>1322.1940999999999</v>
      </c>
      <c r="I419" s="9">
        <v>66.506600000000006</v>
      </c>
      <c r="J419" s="9">
        <v>5497.3847699999997</v>
      </c>
      <c r="K419" s="9">
        <v>5497.3847699999997</v>
      </c>
      <c r="L419" s="9">
        <v>1089.5943400000001</v>
      </c>
      <c r="M419" s="9">
        <v>-1001.76744</v>
      </c>
      <c r="N419" s="10" t="s">
        <v>12474</v>
      </c>
      <c r="P419" s="32">
        <v>45328</v>
      </c>
      <c r="R419" s="35">
        <v>122.04872</v>
      </c>
      <c r="S419" s="34">
        <v>45327</v>
      </c>
      <c r="T419" s="35">
        <v>120.84416</v>
      </c>
      <c r="U419" s="34">
        <v>45326</v>
      </c>
      <c r="V419" s="35">
        <v>121.30828</v>
      </c>
      <c r="W419" s="34">
        <v>45325</v>
      </c>
      <c r="X419" s="35">
        <v>121.30828</v>
      </c>
      <c r="Y419" s="34">
        <v>45324</v>
      </c>
      <c r="Z419" s="35">
        <v>121.30828</v>
      </c>
      <c r="AA419" s="34">
        <v>45329</v>
      </c>
      <c r="AB419" s="35">
        <v>121.97054</v>
      </c>
      <c r="AC419" s="34">
        <v>45330</v>
      </c>
      <c r="AD419" s="35">
        <v>122.5737</v>
      </c>
      <c r="AE419" s="34">
        <v>45331</v>
      </c>
      <c r="AF419" s="35">
        <v>125.28489999999999</v>
      </c>
      <c r="AG419" s="34">
        <v>45332</v>
      </c>
      <c r="AH419" s="35">
        <v>125.28489999999999</v>
      </c>
      <c r="AI419" s="36">
        <v>9.3209303618808637E-3</v>
      </c>
      <c r="AK419" s="34">
        <v>45321</v>
      </c>
      <c r="AL419" s="35">
        <v>117.17104999999999</v>
      </c>
      <c r="AM419" s="34">
        <v>45335</v>
      </c>
      <c r="AN419" s="5">
        <v>122.59314999999999</v>
      </c>
      <c r="AP419" s="36">
        <v>4.6275082454241057E-2</v>
      </c>
      <c r="AS419" s="5" t="s">
        <v>12387</v>
      </c>
      <c r="AT419" s="5">
        <v>4.62</v>
      </c>
      <c r="AU419" s="5">
        <v>100</v>
      </c>
      <c r="AV419" s="5" t="s">
        <v>12400</v>
      </c>
      <c r="AW419" s="5" t="s">
        <v>12400</v>
      </c>
      <c r="AX419" s="5" t="s">
        <v>12400</v>
      </c>
      <c r="AZ419" s="49" t="s">
        <v>12409</v>
      </c>
      <c r="BA419" s="50" t="s">
        <v>12421</v>
      </c>
      <c r="BC419" s="51">
        <v>1.0893699999999999</v>
      </c>
    </row>
    <row r="420" spans="1:55" ht="15" customHeight="1" x14ac:dyDescent="0.4">
      <c r="A420" s="27" t="s">
        <v>11334</v>
      </c>
      <c r="B420" s="44" t="s">
        <v>12287</v>
      </c>
      <c r="C420" s="45" t="s">
        <v>11830</v>
      </c>
      <c r="D420" s="46">
        <v>11.6</v>
      </c>
      <c r="E420" s="45" t="s">
        <v>12358</v>
      </c>
      <c r="F420" s="45"/>
      <c r="G420" s="9">
        <v>71.790430000000001</v>
      </c>
      <c r="H420" s="9">
        <v>550.20000000000005</v>
      </c>
      <c r="I420" s="9">
        <v>18.8994</v>
      </c>
      <c r="J420" s="9">
        <v>4423.8999999999996</v>
      </c>
      <c r="K420" s="9">
        <v>4423.8999999999996</v>
      </c>
      <c r="L420" s="9">
        <v>241.7</v>
      </c>
      <c r="M420" s="9">
        <v>3175.9</v>
      </c>
      <c r="N420" s="10" t="s">
        <v>12471</v>
      </c>
      <c r="P420" s="32">
        <v>45328</v>
      </c>
      <c r="R420" s="35">
        <v>32.04</v>
      </c>
      <c r="S420" s="34">
        <v>45327</v>
      </c>
      <c r="T420" s="35">
        <v>31.07</v>
      </c>
      <c r="U420" s="34">
        <v>45326</v>
      </c>
      <c r="V420" s="35">
        <v>31.82</v>
      </c>
      <c r="W420" s="34">
        <v>45325</v>
      </c>
      <c r="X420" s="35">
        <v>31.82</v>
      </c>
      <c r="Y420" s="34">
        <v>45324</v>
      </c>
      <c r="Z420" s="35">
        <v>31.82</v>
      </c>
      <c r="AA420" s="34">
        <v>45329</v>
      </c>
      <c r="AB420" s="35">
        <v>31.88</v>
      </c>
      <c r="AC420" s="34">
        <v>45330</v>
      </c>
      <c r="AD420" s="35">
        <v>31.77</v>
      </c>
      <c r="AE420" s="34">
        <v>45331</v>
      </c>
      <c r="AF420" s="35">
        <v>31.38</v>
      </c>
      <c r="AG420" s="34">
        <v>45332</v>
      </c>
      <c r="AH420" s="35">
        <v>31.38</v>
      </c>
      <c r="AI420" s="36">
        <v>2.6070164145477914E-2</v>
      </c>
      <c r="AK420" s="34">
        <v>45321</v>
      </c>
      <c r="AL420" s="35">
        <v>32.549999999999997</v>
      </c>
      <c r="AM420" s="34">
        <v>45335</v>
      </c>
      <c r="AN420" s="5">
        <v>30.14</v>
      </c>
      <c r="AP420" s="36">
        <v>-7.4039938556067497E-2</v>
      </c>
      <c r="AS420" s="5" t="s">
        <v>12387</v>
      </c>
      <c r="AT420" s="5">
        <v>11.6</v>
      </c>
      <c r="AU420" s="5">
        <v>100</v>
      </c>
      <c r="AV420" s="5" t="s">
        <v>12400</v>
      </c>
      <c r="AW420" s="5" t="s">
        <v>12400</v>
      </c>
      <c r="AX420" s="5" t="s">
        <v>12400</v>
      </c>
      <c r="AZ420" s="49" t="s">
        <v>12403</v>
      </c>
      <c r="BA420" s="50" t="s">
        <v>12441</v>
      </c>
      <c r="BC420" s="51">
        <v>0.62375000000000003</v>
      </c>
    </row>
    <row r="421" spans="1:55" ht="15" customHeight="1" x14ac:dyDescent="0.4">
      <c r="A421" s="27" t="s">
        <v>11335</v>
      </c>
      <c r="B421" s="44" t="s">
        <v>12288</v>
      </c>
      <c r="C421" s="45" t="s">
        <v>11831</v>
      </c>
      <c r="D421" s="46">
        <v>8.43</v>
      </c>
      <c r="E421" s="45" t="s">
        <v>12357</v>
      </c>
      <c r="F421" s="45"/>
      <c r="G421" s="9">
        <v>96.884680000000003</v>
      </c>
      <c r="H421" s="9">
        <v>129.79569000000001</v>
      </c>
      <c r="I421" s="9">
        <v>19.5322</v>
      </c>
      <c r="J421" s="9">
        <v>604.77913000000001</v>
      </c>
      <c r="K421" s="9">
        <v>604.77913000000001</v>
      </c>
      <c r="L421" s="9">
        <v>173.86762999999999</v>
      </c>
      <c r="M421" s="9">
        <v>-158.96468999999999</v>
      </c>
      <c r="N421" s="10" t="s">
        <v>12470</v>
      </c>
      <c r="P421" s="32">
        <v>45328</v>
      </c>
      <c r="R421" s="35">
        <v>14.70088</v>
      </c>
      <c r="S421" s="34">
        <v>45327</v>
      </c>
      <c r="T421" s="35">
        <v>14.480589999999999</v>
      </c>
      <c r="U421" s="34">
        <v>45326</v>
      </c>
      <c r="V421" s="35">
        <v>15.01801</v>
      </c>
      <c r="W421" s="34">
        <v>45325</v>
      </c>
      <c r="X421" s="35">
        <v>15.01801</v>
      </c>
      <c r="Y421" s="34">
        <v>45324</v>
      </c>
      <c r="Z421" s="35">
        <v>15.01801</v>
      </c>
      <c r="AA421" s="34">
        <v>45329</v>
      </c>
      <c r="AB421" s="35">
        <v>14.996779999999999</v>
      </c>
      <c r="AC421" s="34">
        <v>45330</v>
      </c>
      <c r="AD421" s="35">
        <v>15.056749999999999</v>
      </c>
      <c r="AE421" s="34">
        <v>45331</v>
      </c>
      <c r="AF421" s="35">
        <v>14.957990000000001</v>
      </c>
      <c r="AG421" s="34">
        <v>45332</v>
      </c>
      <c r="AH421" s="35">
        <v>14.957990000000001</v>
      </c>
      <c r="AI421" s="36">
        <v>3.5647028194293107E-2</v>
      </c>
      <c r="AK421" s="34">
        <v>45321</v>
      </c>
      <c r="AL421" s="35">
        <v>14.94598</v>
      </c>
      <c r="AM421" s="34">
        <v>45335</v>
      </c>
      <c r="AN421" s="5">
        <v>15.16545</v>
      </c>
      <c r="AP421" s="36">
        <v>1.4684216090212754E-2</v>
      </c>
      <c r="AS421" s="5" t="s">
        <v>12387</v>
      </c>
      <c r="AT421" s="5">
        <v>7.93</v>
      </c>
      <c r="AU421" s="5">
        <v>100</v>
      </c>
      <c r="AV421" s="5" t="s">
        <v>12400</v>
      </c>
      <c r="AW421" s="5" t="s">
        <v>12400</v>
      </c>
      <c r="AX421" s="5" t="s">
        <v>12400</v>
      </c>
      <c r="AZ421" s="49" t="s">
        <v>12415</v>
      </c>
      <c r="BA421" s="50" t="s">
        <v>12438</v>
      </c>
      <c r="BC421" s="51">
        <v>0.69301000000000001</v>
      </c>
    </row>
    <row r="422" spans="1:55" ht="15" customHeight="1" x14ac:dyDescent="0.4">
      <c r="A422" s="27" t="s">
        <v>11336</v>
      </c>
      <c r="B422" s="44" t="s">
        <v>12289</v>
      </c>
      <c r="C422" s="45" t="s">
        <v>11832</v>
      </c>
      <c r="D422" s="46">
        <v>5503.45</v>
      </c>
      <c r="E422" s="45" t="s">
        <v>12357</v>
      </c>
      <c r="F422" s="45"/>
      <c r="G422" s="9">
        <v>692.33600000000001</v>
      </c>
      <c r="H422" s="9">
        <v>21252.331269999999</v>
      </c>
      <c r="I422" s="9">
        <v>24.096599999999999</v>
      </c>
      <c r="J422" s="9">
        <v>95670.259489999997</v>
      </c>
      <c r="K422" s="9">
        <v>95670.259489999997</v>
      </c>
      <c r="L422" s="9">
        <v>13122.94788</v>
      </c>
      <c r="M422" s="9">
        <v>-8716.3308799999995</v>
      </c>
      <c r="N422" s="10" t="s">
        <v>12469</v>
      </c>
      <c r="P422" s="32">
        <v>45327</v>
      </c>
      <c r="R422" s="35">
        <v>43.155819999999999</v>
      </c>
      <c r="S422" s="34">
        <v>45326</v>
      </c>
      <c r="T422" s="35">
        <v>43.132779999999997</v>
      </c>
      <c r="U422" s="34">
        <v>45325</v>
      </c>
      <c r="V422" s="35">
        <v>43.132779999999997</v>
      </c>
      <c r="W422" s="34">
        <v>45324</v>
      </c>
      <c r="X422" s="35">
        <v>43.132779999999997</v>
      </c>
      <c r="Y422" s="34">
        <v>45323</v>
      </c>
      <c r="Z422" s="35">
        <v>43.248489999999997</v>
      </c>
      <c r="AA422" s="34">
        <v>45328</v>
      </c>
      <c r="AB422" s="35">
        <v>43.426609999999997</v>
      </c>
      <c r="AC422" s="34">
        <v>45329</v>
      </c>
      <c r="AD422" s="35">
        <v>42.999090000000002</v>
      </c>
      <c r="AE422" s="34">
        <v>45330</v>
      </c>
      <c r="AF422" s="35">
        <v>42.86018</v>
      </c>
      <c r="AG422" s="34">
        <v>45331</v>
      </c>
      <c r="AH422" s="35">
        <v>42.816220000000001</v>
      </c>
      <c r="AI422" s="36">
        <v>6.8122203113269997E-3</v>
      </c>
      <c r="AK422" s="34">
        <v>45320</v>
      </c>
      <c r="AL422" s="35">
        <v>43.792859999999997</v>
      </c>
      <c r="AM422" s="34">
        <v>45334</v>
      </c>
      <c r="AN422" s="5">
        <v>42.872489999999999</v>
      </c>
      <c r="AP422" s="36">
        <v>-2.1016439666192155E-2</v>
      </c>
      <c r="AS422" s="5" t="s">
        <v>12392</v>
      </c>
      <c r="AT422" s="5">
        <v>2800</v>
      </c>
      <c r="AU422" s="5">
        <v>50.88</v>
      </c>
      <c r="AV422" s="5" t="s">
        <v>12400</v>
      </c>
      <c r="AW422" s="5" t="s">
        <v>12400</v>
      </c>
      <c r="AX422" s="5">
        <v>49.12</v>
      </c>
      <c r="AZ422" s="49" t="s">
        <v>12453</v>
      </c>
      <c r="BA422" s="50" t="s">
        <v>12443</v>
      </c>
      <c r="BC422" s="51">
        <v>0.20596</v>
      </c>
    </row>
    <row r="423" spans="1:55" ht="15" customHeight="1" x14ac:dyDescent="0.4">
      <c r="A423" s="27" t="s">
        <v>11060</v>
      </c>
      <c r="B423" s="44" t="s">
        <v>12005</v>
      </c>
      <c r="C423" s="45" t="s">
        <v>11833</v>
      </c>
      <c r="D423" s="46">
        <v>3.9</v>
      </c>
      <c r="E423" s="45" t="s">
        <v>12357</v>
      </c>
      <c r="F423" s="45"/>
      <c r="G423" s="9">
        <v>28.288489999999999</v>
      </c>
      <c r="H423" s="9">
        <v>40.5</v>
      </c>
      <c r="I423" s="9">
        <v>2.1074999999999999</v>
      </c>
      <c r="J423" s="9">
        <v>2737</v>
      </c>
      <c r="K423" s="9">
        <v>2737</v>
      </c>
      <c r="L423" s="9">
        <v>407</v>
      </c>
      <c r="M423" s="9">
        <v>101.1</v>
      </c>
      <c r="N423" s="10" t="s">
        <v>12466</v>
      </c>
      <c r="P423" s="32">
        <v>45327</v>
      </c>
      <c r="R423" s="35">
        <v>13.28</v>
      </c>
      <c r="S423" s="34">
        <v>45326</v>
      </c>
      <c r="T423" s="35">
        <v>13.61</v>
      </c>
      <c r="U423" s="34">
        <v>45325</v>
      </c>
      <c r="V423" s="35">
        <v>13.61</v>
      </c>
      <c r="W423" s="34">
        <v>45324</v>
      </c>
      <c r="X423" s="35">
        <v>13.61</v>
      </c>
      <c r="Y423" s="34">
        <v>45323</v>
      </c>
      <c r="Z423" s="35">
        <v>14.24</v>
      </c>
      <c r="AA423" s="34">
        <v>45328</v>
      </c>
      <c r="AB423" s="35">
        <v>14.03</v>
      </c>
      <c r="AC423" s="34">
        <v>45329</v>
      </c>
      <c r="AD423" s="35">
        <v>13.7</v>
      </c>
      <c r="AE423" s="34">
        <v>45330</v>
      </c>
      <c r="AF423" s="35">
        <v>13.71</v>
      </c>
      <c r="AG423" s="34">
        <v>45331</v>
      </c>
      <c r="AH423" s="35">
        <v>13.27</v>
      </c>
      <c r="AI423" s="36">
        <v>3.0859662013225542E-2</v>
      </c>
      <c r="AK423" s="34">
        <v>45320</v>
      </c>
      <c r="AL423" s="35">
        <v>14.55</v>
      </c>
      <c r="AM423" s="34">
        <v>45334</v>
      </c>
      <c r="AN423" s="5">
        <v>13.9</v>
      </c>
      <c r="AP423" s="36">
        <v>-4.4673539518900407E-2</v>
      </c>
      <c r="AS423" s="5" t="s">
        <v>12387</v>
      </c>
      <c r="AT423" s="5">
        <v>3.51</v>
      </c>
      <c r="AU423" s="5">
        <v>100</v>
      </c>
      <c r="AV423" s="5" t="s">
        <v>12400</v>
      </c>
      <c r="AW423" s="5" t="s">
        <v>12400</v>
      </c>
      <c r="AX423" s="5" t="s">
        <v>12400</v>
      </c>
      <c r="AZ423" s="49" t="s">
        <v>12417</v>
      </c>
      <c r="BA423" s="50" t="s">
        <v>12415</v>
      </c>
      <c r="BC423" s="51">
        <v>1.1594</v>
      </c>
    </row>
    <row r="424" spans="1:55" ht="15" customHeight="1" x14ac:dyDescent="0.4">
      <c r="A424" s="27" t="s">
        <v>11337</v>
      </c>
      <c r="B424" s="44" t="s">
        <v>12290</v>
      </c>
      <c r="C424" s="45" t="s">
        <v>11834</v>
      </c>
      <c r="D424" s="46">
        <v>53.09</v>
      </c>
      <c r="E424" s="45" t="s">
        <v>12357</v>
      </c>
      <c r="F424" s="45"/>
      <c r="G424" s="9">
        <v>35.357750000000003</v>
      </c>
      <c r="H424" s="9">
        <v>99.834140000000005</v>
      </c>
      <c r="I424" s="9">
        <v>7.2401999999999997</v>
      </c>
      <c r="J424" s="9">
        <v>1554.19085</v>
      </c>
      <c r="K424" s="9">
        <v>1554.19085</v>
      </c>
      <c r="L424" s="9">
        <v>110.07608999999999</v>
      </c>
      <c r="M424" s="9">
        <v>807.32408999999996</v>
      </c>
      <c r="N424" s="10" t="s">
        <v>12467</v>
      </c>
      <c r="P424" s="32">
        <v>45324</v>
      </c>
      <c r="R424" s="35">
        <v>9.7641600000000004</v>
      </c>
      <c r="S424" s="34">
        <v>45323</v>
      </c>
      <c r="T424" s="35">
        <v>9.5559799999999999</v>
      </c>
      <c r="U424" s="34">
        <v>45322</v>
      </c>
      <c r="V424" s="35">
        <v>9.7037600000000008</v>
      </c>
      <c r="W424" s="34">
        <v>45321</v>
      </c>
      <c r="X424" s="35">
        <v>10.016920000000001</v>
      </c>
      <c r="Y424" s="34">
        <v>45320</v>
      </c>
      <c r="Z424" s="35">
        <v>9.9299199999999992</v>
      </c>
      <c r="AA424" s="34">
        <v>45325</v>
      </c>
      <c r="AB424" s="35">
        <v>9.7641600000000004</v>
      </c>
      <c r="AC424" s="34">
        <v>45326</v>
      </c>
      <c r="AD424" s="35">
        <v>9.7641600000000004</v>
      </c>
      <c r="AE424" s="34">
        <v>45327</v>
      </c>
      <c r="AF424" s="35">
        <v>9.5041700000000002</v>
      </c>
      <c r="AG424" s="34">
        <v>45328</v>
      </c>
      <c r="AH424" s="35">
        <v>9.7798499999999997</v>
      </c>
      <c r="AI424" s="36">
        <v>2.1785311396633311E-2</v>
      </c>
      <c r="AK424" s="34">
        <v>45317</v>
      </c>
      <c r="AL424" s="35">
        <v>9.5852299999999993</v>
      </c>
      <c r="AM424" s="34">
        <v>45331</v>
      </c>
      <c r="AN424" s="5">
        <v>9.9387000000000008</v>
      </c>
      <c r="AP424" s="36">
        <v>3.6876527741118492E-2</v>
      </c>
      <c r="AS424" s="5" t="s">
        <v>12387</v>
      </c>
      <c r="AT424" s="5">
        <v>53.09</v>
      </c>
      <c r="AU424" s="5">
        <v>100</v>
      </c>
      <c r="AV424" s="5" t="s">
        <v>12400</v>
      </c>
      <c r="AW424" s="5" t="s">
        <v>12400</v>
      </c>
      <c r="AX424" s="5" t="s">
        <v>12400</v>
      </c>
      <c r="AZ424" s="49" t="s">
        <v>12409</v>
      </c>
      <c r="BA424" s="50" t="s">
        <v>12415</v>
      </c>
      <c r="BC424" s="51">
        <v>0.92789999999999995</v>
      </c>
    </row>
    <row r="425" spans="1:55" ht="15" customHeight="1" x14ac:dyDescent="0.4">
      <c r="A425" s="27" t="s">
        <v>11338</v>
      </c>
      <c r="B425" s="44" t="s">
        <v>12291</v>
      </c>
      <c r="C425" s="45" t="s">
        <v>11835</v>
      </c>
      <c r="D425" s="46">
        <v>75.849999999999994</v>
      </c>
      <c r="E425" s="45" t="s">
        <v>12357</v>
      </c>
      <c r="F425" s="45"/>
      <c r="G425" s="9">
        <v>3008.73153</v>
      </c>
      <c r="H425" s="9">
        <v>3594.5381400000001</v>
      </c>
      <c r="I425" s="9">
        <v>12.228</v>
      </c>
      <c r="J425" s="9">
        <v>40841.697670000001</v>
      </c>
      <c r="K425" s="9">
        <v>40841.697670000001</v>
      </c>
      <c r="L425" s="9">
        <v>5180.3637900000003</v>
      </c>
      <c r="M425" s="9">
        <v>3297.7530999999999</v>
      </c>
      <c r="N425" s="10" t="s">
        <v>12467</v>
      </c>
      <c r="P425" s="32">
        <v>45324</v>
      </c>
      <c r="R425" s="35">
        <v>14.81575</v>
      </c>
      <c r="S425" s="34">
        <v>45323</v>
      </c>
      <c r="T425" s="35">
        <v>14.86042</v>
      </c>
      <c r="U425" s="34">
        <v>45322</v>
      </c>
      <c r="V425" s="35">
        <v>14.96503</v>
      </c>
      <c r="W425" s="34">
        <v>45321</v>
      </c>
      <c r="X425" s="35">
        <v>15.021979999999999</v>
      </c>
      <c r="Y425" s="34">
        <v>45320</v>
      </c>
      <c r="Z425" s="35">
        <v>14.9955</v>
      </c>
      <c r="AA425" s="34">
        <v>45325</v>
      </c>
      <c r="AB425" s="35">
        <v>14.81575</v>
      </c>
      <c r="AC425" s="34">
        <v>45326</v>
      </c>
      <c r="AD425" s="35">
        <v>14.81575</v>
      </c>
      <c r="AE425" s="34">
        <v>45327</v>
      </c>
      <c r="AF425" s="35">
        <v>14.768700000000001</v>
      </c>
      <c r="AG425" s="34">
        <v>45328</v>
      </c>
      <c r="AH425" s="35">
        <v>15.17287</v>
      </c>
      <c r="AI425" s="36">
        <v>-3.0059715674254361E-3</v>
      </c>
      <c r="AK425" s="34">
        <v>45317</v>
      </c>
      <c r="AL425" s="35">
        <v>14.85759</v>
      </c>
      <c r="AM425" s="34">
        <v>45331</v>
      </c>
      <c r="AN425" s="5">
        <v>15.280150000000001</v>
      </c>
      <c r="AP425" s="36">
        <v>2.844068250638232E-2</v>
      </c>
      <c r="AS425" s="5" t="s">
        <v>12387</v>
      </c>
      <c r="AT425" s="5">
        <v>75.849999999999994</v>
      </c>
      <c r="AU425" s="5">
        <v>100</v>
      </c>
      <c r="AV425" s="5" t="s">
        <v>12400</v>
      </c>
      <c r="AW425" s="5" t="s">
        <v>12400</v>
      </c>
      <c r="AX425" s="5" t="s">
        <v>12400</v>
      </c>
      <c r="AZ425" s="49" t="s">
        <v>12415</v>
      </c>
      <c r="BA425" s="50" t="s">
        <v>12415</v>
      </c>
      <c r="BC425" s="51">
        <v>-7.3349999999999999E-2</v>
      </c>
    </row>
    <row r="426" spans="1:55" ht="15" customHeight="1" x14ac:dyDescent="0.4">
      <c r="A426" s="27" t="s">
        <v>11339</v>
      </c>
      <c r="B426" s="44" t="s">
        <v>12292</v>
      </c>
      <c r="C426" s="45" t="s">
        <v>11836</v>
      </c>
      <c r="D426" s="46">
        <v>172.66</v>
      </c>
      <c r="E426" s="45" t="s">
        <v>12358</v>
      </c>
      <c r="F426" s="45"/>
      <c r="G426" s="9">
        <v>564.49253999999996</v>
      </c>
      <c r="H426" s="9">
        <v>0</v>
      </c>
      <c r="I426" s="9">
        <v>0</v>
      </c>
      <c r="J426" s="9">
        <v>767.15238999999997</v>
      </c>
      <c r="K426" s="9">
        <v>767.15238999999997</v>
      </c>
      <c r="L426" s="9">
        <v>12.752840000000001</v>
      </c>
      <c r="M426" s="9">
        <v>-12.752840000000001</v>
      </c>
      <c r="N426" s="10" t="s">
        <v>12473</v>
      </c>
      <c r="P426" s="32">
        <v>45324</v>
      </c>
      <c r="R426" s="35">
        <v>1.04924</v>
      </c>
      <c r="S426" s="34">
        <v>45323</v>
      </c>
      <c r="T426" s="35">
        <v>1.0699000000000001</v>
      </c>
      <c r="U426" s="34">
        <v>45322</v>
      </c>
      <c r="V426" s="35">
        <v>1.09345</v>
      </c>
      <c r="W426" s="34">
        <v>45321</v>
      </c>
      <c r="X426" s="35">
        <v>1.09562</v>
      </c>
      <c r="Y426" s="34">
        <v>45320</v>
      </c>
      <c r="Z426" s="35">
        <v>1.10453</v>
      </c>
      <c r="AA426" s="34">
        <v>45325</v>
      </c>
      <c r="AB426" s="35">
        <v>1.04924</v>
      </c>
      <c r="AC426" s="34">
        <v>45326</v>
      </c>
      <c r="AD426" s="35">
        <v>1.04924</v>
      </c>
      <c r="AE426" s="34">
        <v>45327</v>
      </c>
      <c r="AF426" s="35">
        <v>1.0246599999999999</v>
      </c>
      <c r="AG426" s="34">
        <v>45328</v>
      </c>
      <c r="AH426" s="35">
        <v>1.0119400000000001</v>
      </c>
      <c r="AI426" s="36">
        <v>-1.9310215908028949E-2</v>
      </c>
      <c r="AK426" s="34">
        <v>45317</v>
      </c>
      <c r="AL426" s="35">
        <v>1.1041399999999999</v>
      </c>
      <c r="AM426" s="34">
        <v>45331</v>
      </c>
      <c r="AN426" s="5">
        <v>0.99804000000000004</v>
      </c>
      <c r="AP426" s="36">
        <v>-9.609288677160488E-2</v>
      </c>
      <c r="AS426" s="5" t="s">
        <v>12387</v>
      </c>
      <c r="AT426" s="5">
        <v>172.66</v>
      </c>
      <c r="AU426" s="5">
        <v>100</v>
      </c>
      <c r="AV426" s="5" t="s">
        <v>12400</v>
      </c>
      <c r="AW426" s="5" t="s">
        <v>12400</v>
      </c>
      <c r="AX426" s="5" t="s">
        <v>12400</v>
      </c>
      <c r="AZ426" s="49" t="s">
        <v>12415</v>
      </c>
      <c r="BA426" s="50" t="s">
        <v>12438</v>
      </c>
      <c r="BC426" s="51">
        <v>0.33467000000000002</v>
      </c>
    </row>
    <row r="427" spans="1:55" ht="15" customHeight="1" x14ac:dyDescent="0.4">
      <c r="A427" s="27" t="s">
        <v>11340</v>
      </c>
      <c r="B427" s="44" t="s">
        <v>12293</v>
      </c>
      <c r="C427" s="45" t="s">
        <v>11837</v>
      </c>
      <c r="D427" s="46">
        <v>87.5</v>
      </c>
      <c r="E427" s="45" t="s">
        <v>12357</v>
      </c>
      <c r="F427" s="45"/>
      <c r="G427" s="9">
        <v>26.389420000000001</v>
      </c>
      <c r="H427" s="9">
        <v>0</v>
      </c>
      <c r="I427" s="9">
        <v>0</v>
      </c>
      <c r="J427" s="9">
        <v>1.5356399999999999</v>
      </c>
      <c r="K427" s="9">
        <v>1.5356399999999999</v>
      </c>
      <c r="L427" s="9">
        <v>1.06046</v>
      </c>
      <c r="M427" s="9">
        <v>-1.06046</v>
      </c>
      <c r="N427" s="10" t="s">
        <v>12466</v>
      </c>
      <c r="P427" s="32">
        <v>45324</v>
      </c>
      <c r="R427" s="35">
        <v>0.29736000000000001</v>
      </c>
      <c r="S427" s="34">
        <v>45323</v>
      </c>
      <c r="T427" s="35">
        <v>0.26108999999999999</v>
      </c>
      <c r="U427" s="34">
        <v>45322</v>
      </c>
      <c r="V427" s="35">
        <v>0.29898000000000002</v>
      </c>
      <c r="W427" s="34">
        <v>45321</v>
      </c>
      <c r="X427" s="35">
        <v>0.29798999999999998</v>
      </c>
      <c r="Y427" s="34">
        <v>45320</v>
      </c>
      <c r="Z427" s="35">
        <v>0.33456000000000002</v>
      </c>
      <c r="AA427" s="34">
        <v>45325</v>
      </c>
      <c r="AB427" s="35">
        <v>0.29736000000000001</v>
      </c>
      <c r="AC427" s="34">
        <v>45326</v>
      </c>
      <c r="AD427" s="35">
        <v>0.29736000000000001</v>
      </c>
      <c r="AE427" s="34">
        <v>45327</v>
      </c>
      <c r="AF427" s="35">
        <v>0.2954</v>
      </c>
      <c r="AG427" s="34">
        <v>45328</v>
      </c>
      <c r="AH427" s="35">
        <v>0.29620000000000002</v>
      </c>
      <c r="AI427" s="36">
        <v>0.13891761461564989</v>
      </c>
      <c r="AK427" s="34">
        <v>45317</v>
      </c>
      <c r="AL427" s="35">
        <v>0.33439000000000002</v>
      </c>
      <c r="AM427" s="34">
        <v>45331</v>
      </c>
      <c r="AN427" s="5">
        <v>0.33423000000000003</v>
      </c>
      <c r="AP427" s="36">
        <v>-4.784832082298518E-4</v>
      </c>
      <c r="AS427" s="5" t="s">
        <v>12387</v>
      </c>
      <c r="AT427" s="5">
        <v>87.5</v>
      </c>
      <c r="AU427" s="5">
        <v>100</v>
      </c>
      <c r="AV427" s="5" t="s">
        <v>12400</v>
      </c>
      <c r="AW427" s="5" t="s">
        <v>12400</v>
      </c>
      <c r="AX427" s="5" t="s">
        <v>12400</v>
      </c>
      <c r="AZ427" s="49" t="s">
        <v>12435</v>
      </c>
      <c r="BA427" s="50" t="s">
        <v>12410</v>
      </c>
      <c r="BC427" s="51">
        <v>1.45719</v>
      </c>
    </row>
    <row r="428" spans="1:55" ht="15" customHeight="1" x14ac:dyDescent="0.4">
      <c r="A428" s="27" t="s">
        <v>11341</v>
      </c>
      <c r="B428" s="44" t="s">
        <v>12294</v>
      </c>
      <c r="C428" s="45" t="s">
        <v>11838</v>
      </c>
      <c r="D428" s="46">
        <v>215.82</v>
      </c>
      <c r="E428" s="45" t="s">
        <v>12357</v>
      </c>
      <c r="F428" s="45"/>
      <c r="G428" s="9">
        <v>756.10905000000002</v>
      </c>
      <c r="H428" s="9">
        <v>3401.1912299999999</v>
      </c>
      <c r="I428" s="9">
        <v>12.3893</v>
      </c>
      <c r="J428" s="9">
        <v>49169.028120000003</v>
      </c>
      <c r="K428" s="9">
        <v>49169.028120000003</v>
      </c>
      <c r="L428" s="9">
        <v>2274.3645700000002</v>
      </c>
      <c r="M428" s="9">
        <v>19299.16446</v>
      </c>
      <c r="N428" s="10" t="s">
        <v>12472</v>
      </c>
      <c r="P428" s="32">
        <v>45324</v>
      </c>
      <c r="R428" s="35">
        <v>13.19896</v>
      </c>
      <c r="S428" s="34">
        <v>45323</v>
      </c>
      <c r="T428" s="35">
        <v>13.28326</v>
      </c>
      <c r="U428" s="34">
        <v>45322</v>
      </c>
      <c r="V428" s="35">
        <v>13.106540000000001</v>
      </c>
      <c r="W428" s="34">
        <v>45321</v>
      </c>
      <c r="X428" s="35">
        <v>12.91826</v>
      </c>
      <c r="Y428" s="34">
        <v>45320</v>
      </c>
      <c r="Z428" s="35">
        <v>12.86323</v>
      </c>
      <c r="AA428" s="34">
        <v>45325</v>
      </c>
      <c r="AB428" s="35">
        <v>13.19896</v>
      </c>
      <c r="AC428" s="34">
        <v>45326</v>
      </c>
      <c r="AD428" s="35">
        <v>13.19896</v>
      </c>
      <c r="AE428" s="34">
        <v>45327</v>
      </c>
      <c r="AF428" s="35">
        <v>13.23429</v>
      </c>
      <c r="AG428" s="34">
        <v>45328</v>
      </c>
      <c r="AH428" s="35">
        <v>13.10191</v>
      </c>
      <c r="AI428" s="36">
        <v>-6.346333656045311E-3</v>
      </c>
      <c r="AK428" s="34">
        <v>45317</v>
      </c>
      <c r="AL428" s="35">
        <v>12.561780000000001</v>
      </c>
      <c r="AM428" s="34">
        <v>45331</v>
      </c>
      <c r="AN428" s="5">
        <v>12.4527</v>
      </c>
      <c r="AP428" s="36">
        <v>-8.6834827548325499E-3</v>
      </c>
      <c r="AS428" s="5" t="s">
        <v>12387</v>
      </c>
      <c r="AT428" s="5">
        <v>215.82</v>
      </c>
      <c r="AU428" s="5">
        <v>100</v>
      </c>
      <c r="AV428" s="5" t="s">
        <v>12400</v>
      </c>
      <c r="AW428" s="5" t="s">
        <v>12400</v>
      </c>
      <c r="AX428" s="5" t="s">
        <v>12400</v>
      </c>
      <c r="AZ428" s="49" t="s">
        <v>12423</v>
      </c>
      <c r="BA428" s="50" t="s">
        <v>12419</v>
      </c>
      <c r="BC428" s="51">
        <v>0.12454999999999999</v>
      </c>
    </row>
    <row r="429" spans="1:55" ht="15" customHeight="1" x14ac:dyDescent="0.4">
      <c r="A429" s="27" t="s">
        <v>11342</v>
      </c>
      <c r="B429" s="44" t="s">
        <v>12295</v>
      </c>
      <c r="C429" s="45" t="s">
        <v>11839</v>
      </c>
      <c r="D429" s="46">
        <v>21.08</v>
      </c>
      <c r="E429" s="45" t="s">
        <v>12357</v>
      </c>
      <c r="F429" s="45"/>
      <c r="G429" s="9">
        <v>117.17442</v>
      </c>
      <c r="H429" s="9">
        <v>2.4257499999999999</v>
      </c>
      <c r="I429" s="9">
        <v>7.4598000000000004</v>
      </c>
      <c r="J429" s="9">
        <v>14.5557</v>
      </c>
      <c r="K429" s="9">
        <v>14.5557</v>
      </c>
      <c r="L429" s="9">
        <v>4.9130500000000001</v>
      </c>
      <c r="M429" s="9">
        <v>-4.7403300000000002</v>
      </c>
      <c r="N429" s="10" t="s">
        <v>12468</v>
      </c>
      <c r="P429" s="32">
        <v>45324</v>
      </c>
      <c r="R429" s="35">
        <v>0.25363999999999998</v>
      </c>
      <c r="S429" s="34">
        <v>45323</v>
      </c>
      <c r="T429" s="35">
        <v>0.25764999999999999</v>
      </c>
      <c r="U429" s="34">
        <v>45322</v>
      </c>
      <c r="V429" s="35">
        <v>0.26482</v>
      </c>
      <c r="W429" s="34">
        <v>45321</v>
      </c>
      <c r="X429" s="35">
        <v>0.26482</v>
      </c>
      <c r="Y429" s="34">
        <v>45320</v>
      </c>
      <c r="Z429" s="35">
        <v>0.25779999999999997</v>
      </c>
      <c r="AA429" s="34">
        <v>45325</v>
      </c>
      <c r="AB429" s="35">
        <v>0.25363999999999998</v>
      </c>
      <c r="AC429" s="34">
        <v>45326</v>
      </c>
      <c r="AD429" s="35">
        <v>0.25363999999999998</v>
      </c>
      <c r="AE429" s="34">
        <v>45327</v>
      </c>
      <c r="AF429" s="35">
        <v>0.25784000000000001</v>
      </c>
      <c r="AG429" s="34">
        <v>45328</v>
      </c>
      <c r="AH429" s="35">
        <v>0.25635999999999998</v>
      </c>
      <c r="AI429" s="36">
        <v>-1.5563749272268668E-2</v>
      </c>
      <c r="AK429" s="34">
        <v>45317</v>
      </c>
      <c r="AL429" s="35">
        <v>0.25906000000000001</v>
      </c>
      <c r="AM429" s="34">
        <v>45331</v>
      </c>
      <c r="AN429" s="5">
        <v>0.35359000000000002</v>
      </c>
      <c r="AP429" s="36">
        <v>0.36489616305103056</v>
      </c>
      <c r="AS429" s="5" t="s">
        <v>721</v>
      </c>
      <c r="AT429" s="5" t="s">
        <v>12400</v>
      </c>
      <c r="AU429" s="5" t="s">
        <v>12400</v>
      </c>
      <c r="AV429" s="5" t="s">
        <v>12400</v>
      </c>
      <c r="AW429" s="5" t="s">
        <v>12400</v>
      </c>
      <c r="AX429" s="5">
        <v>100</v>
      </c>
      <c r="AZ429" s="49" t="s">
        <v>12409</v>
      </c>
      <c r="BA429" s="50" t="s">
        <v>12409</v>
      </c>
      <c r="BC429" s="51">
        <v>1.25562</v>
      </c>
    </row>
    <row r="430" spans="1:55" ht="15" customHeight="1" x14ac:dyDescent="0.4">
      <c r="A430" s="27" t="s">
        <v>11343</v>
      </c>
      <c r="B430" s="44" t="s">
        <v>12296</v>
      </c>
      <c r="C430" s="45" t="s">
        <v>11840</v>
      </c>
      <c r="D430" s="46">
        <v>553.27</v>
      </c>
      <c r="E430" s="45" t="s">
        <v>12357</v>
      </c>
      <c r="F430" s="45"/>
      <c r="G430" s="9">
        <v>141.59511000000001</v>
      </c>
      <c r="H430" s="9">
        <v>3702</v>
      </c>
      <c r="I430" s="9">
        <v>6.2176</v>
      </c>
      <c r="J430" s="9">
        <v>25372</v>
      </c>
      <c r="K430" s="9">
        <v>25372</v>
      </c>
      <c r="L430" s="9">
        <v>2602</v>
      </c>
      <c r="M430" s="9">
        <v>3049</v>
      </c>
      <c r="N430" s="10" t="s">
        <v>12471</v>
      </c>
      <c r="P430" s="32">
        <v>45323</v>
      </c>
      <c r="R430" s="35">
        <v>90.4</v>
      </c>
      <c r="S430" s="34">
        <v>45322</v>
      </c>
      <c r="T430" s="35">
        <v>88.09</v>
      </c>
      <c r="U430" s="34">
        <v>45321</v>
      </c>
      <c r="V430" s="35">
        <v>90.3</v>
      </c>
      <c r="W430" s="34">
        <v>45320</v>
      </c>
      <c r="X430" s="35">
        <v>89.01</v>
      </c>
      <c r="Y430" s="34">
        <v>45319</v>
      </c>
      <c r="Z430" s="35">
        <v>88.3</v>
      </c>
      <c r="AA430" s="34">
        <v>45324</v>
      </c>
      <c r="AB430" s="35">
        <v>90.47</v>
      </c>
      <c r="AC430" s="34">
        <v>45325</v>
      </c>
      <c r="AD430" s="35">
        <v>90.47</v>
      </c>
      <c r="AE430" s="34">
        <v>45326</v>
      </c>
      <c r="AF430" s="35">
        <v>90.47</v>
      </c>
      <c r="AG430" s="34">
        <v>45327</v>
      </c>
      <c r="AH430" s="35">
        <v>89</v>
      </c>
      <c r="AI430" s="36">
        <v>2.7017822681348669E-2</v>
      </c>
      <c r="AK430" s="34">
        <v>45316</v>
      </c>
      <c r="AL430" s="35">
        <v>88.45</v>
      </c>
      <c r="AM430" s="34">
        <v>45330</v>
      </c>
      <c r="AN430" s="5">
        <v>86.5</v>
      </c>
      <c r="AP430" s="36">
        <v>-2.2046353872244184E-2</v>
      </c>
      <c r="AS430" s="5" t="s">
        <v>12387</v>
      </c>
      <c r="AT430" s="5">
        <v>553.27</v>
      </c>
      <c r="AU430" s="5">
        <v>100</v>
      </c>
      <c r="AV430" s="5" t="s">
        <v>12400</v>
      </c>
      <c r="AW430" s="5" t="s">
        <v>12400</v>
      </c>
      <c r="AX430" s="5" t="s">
        <v>12400</v>
      </c>
      <c r="AZ430" s="49" t="s">
        <v>12404</v>
      </c>
      <c r="BA430" s="50" t="s">
        <v>12419</v>
      </c>
      <c r="BC430" s="51">
        <v>0.77854999999999996</v>
      </c>
    </row>
    <row r="431" spans="1:55" ht="15" customHeight="1" x14ac:dyDescent="0.4">
      <c r="A431" s="27" t="s">
        <v>11344</v>
      </c>
      <c r="B431" s="44" t="s">
        <v>12297</v>
      </c>
      <c r="C431" s="45" t="s">
        <v>11841</v>
      </c>
      <c r="D431" s="46">
        <v>10.17</v>
      </c>
      <c r="E431" s="45" t="s">
        <v>12357</v>
      </c>
      <c r="F431" s="45"/>
      <c r="G431" s="9">
        <v>791.08729000000005</v>
      </c>
      <c r="H431" s="9">
        <v>330.70515</v>
      </c>
      <c r="I431" s="9">
        <v>71.265000000000001</v>
      </c>
      <c r="J431" s="9">
        <v>133.58257</v>
      </c>
      <c r="K431" s="9">
        <v>133.58257</v>
      </c>
      <c r="L431" s="9">
        <v>42.850409999999997</v>
      </c>
      <c r="M431" s="9">
        <v>-40.0749</v>
      </c>
      <c r="N431" s="10" t="s">
        <v>12470</v>
      </c>
      <c r="P431" s="32">
        <v>45323</v>
      </c>
      <c r="R431" s="35">
        <v>7.2173699999999998</v>
      </c>
      <c r="S431" s="34">
        <v>45322</v>
      </c>
      <c r="T431" s="35">
        <v>7.1227</v>
      </c>
      <c r="U431" s="34">
        <v>45321</v>
      </c>
      <c r="V431" s="35">
        <v>7.1031399999999998</v>
      </c>
      <c r="W431" s="34">
        <v>45320</v>
      </c>
      <c r="X431" s="35">
        <v>7.0811700000000002</v>
      </c>
      <c r="Y431" s="34">
        <v>45319</v>
      </c>
      <c r="Z431" s="35">
        <v>7.1667500000000004</v>
      </c>
      <c r="AA431" s="34">
        <v>45324</v>
      </c>
      <c r="AB431" s="35">
        <v>7.15252</v>
      </c>
      <c r="AC431" s="34">
        <v>45325</v>
      </c>
      <c r="AD431" s="35">
        <v>7.15252</v>
      </c>
      <c r="AE431" s="34">
        <v>45326</v>
      </c>
      <c r="AF431" s="35">
        <v>7.15252</v>
      </c>
      <c r="AG431" s="34">
        <v>45327</v>
      </c>
      <c r="AH431" s="35">
        <v>6.9697199999999997</v>
      </c>
      <c r="AI431" s="36">
        <v>4.1866146264759596E-3</v>
      </c>
      <c r="AK431" s="34">
        <v>45316</v>
      </c>
      <c r="AL431" s="35">
        <v>7.0227599999999999</v>
      </c>
      <c r="AM431" s="34">
        <v>45330</v>
      </c>
      <c r="AN431" s="5">
        <v>6.9533399999999999</v>
      </c>
      <c r="AP431" s="36">
        <v>-9.8850024776583334E-3</v>
      </c>
      <c r="AS431" s="5" t="s">
        <v>12387</v>
      </c>
      <c r="AT431" s="5">
        <v>10.17</v>
      </c>
      <c r="AU431" s="5">
        <v>100</v>
      </c>
      <c r="AV431" s="5" t="s">
        <v>12400</v>
      </c>
      <c r="AW431" s="5" t="s">
        <v>12400</v>
      </c>
      <c r="AX431" s="5" t="s">
        <v>12400</v>
      </c>
      <c r="AZ431" s="49" t="s">
        <v>12415</v>
      </c>
      <c r="BA431" s="50" t="s">
        <v>12415</v>
      </c>
      <c r="BC431" s="51">
        <v>1.09873</v>
      </c>
    </row>
    <row r="432" spans="1:55" ht="15" customHeight="1" x14ac:dyDescent="0.4">
      <c r="A432" s="27" t="s">
        <v>11345</v>
      </c>
      <c r="B432" s="44" t="s">
        <v>12298</v>
      </c>
      <c r="C432" s="45" t="s">
        <v>11842</v>
      </c>
      <c r="D432" s="46">
        <v>22.42</v>
      </c>
      <c r="E432" s="45" t="s">
        <v>12358</v>
      </c>
      <c r="F432" s="45"/>
      <c r="G432" s="9">
        <v>35.843330000000002</v>
      </c>
      <c r="H432" s="9">
        <v>147.82900000000001</v>
      </c>
      <c r="I432" s="9">
        <v>16.902699999999999</v>
      </c>
      <c r="J432" s="9">
        <v>1036.0150000000001</v>
      </c>
      <c r="K432" s="9">
        <v>1036.0150000000001</v>
      </c>
      <c r="L432" s="9">
        <v>100.49</v>
      </c>
      <c r="M432" s="9">
        <v>-32.01</v>
      </c>
      <c r="N432" s="10" t="s">
        <v>12470</v>
      </c>
      <c r="P432" s="32">
        <v>45323</v>
      </c>
      <c r="R432" s="35">
        <v>47.38</v>
      </c>
      <c r="S432" s="34">
        <v>45322</v>
      </c>
      <c r="T432" s="35">
        <v>46.97</v>
      </c>
      <c r="U432" s="34">
        <v>45321</v>
      </c>
      <c r="V432" s="35">
        <v>49.14</v>
      </c>
      <c r="W432" s="34">
        <v>45320</v>
      </c>
      <c r="X432" s="35">
        <v>48.35</v>
      </c>
      <c r="Y432" s="34">
        <v>45319</v>
      </c>
      <c r="Z432" s="35">
        <v>46.7</v>
      </c>
      <c r="AA432" s="34">
        <v>45324</v>
      </c>
      <c r="AB432" s="35">
        <v>47.67</v>
      </c>
      <c r="AC432" s="34">
        <v>45325</v>
      </c>
      <c r="AD432" s="35">
        <v>47.67</v>
      </c>
      <c r="AE432" s="34">
        <v>45326</v>
      </c>
      <c r="AF432" s="35">
        <v>47.67</v>
      </c>
      <c r="AG432" s="34">
        <v>45327</v>
      </c>
      <c r="AH432" s="35">
        <v>44.45</v>
      </c>
      <c r="AI432" s="36">
        <v>1.4903129657228176E-2</v>
      </c>
      <c r="AK432" s="34">
        <v>45316</v>
      </c>
      <c r="AL432" s="35">
        <v>48.05</v>
      </c>
      <c r="AM432" s="34">
        <v>45330</v>
      </c>
      <c r="AN432" s="5">
        <v>44.3</v>
      </c>
      <c r="AP432" s="36">
        <v>-7.8043704474505704E-2</v>
      </c>
      <c r="AS432" s="5" t="s">
        <v>12387</v>
      </c>
      <c r="AT432" s="5">
        <v>20</v>
      </c>
      <c r="AU432" s="5">
        <v>100</v>
      </c>
      <c r="AV432" s="5" t="s">
        <v>12400</v>
      </c>
      <c r="AW432" s="5" t="s">
        <v>12400</v>
      </c>
      <c r="AX432" s="5" t="s">
        <v>12400</v>
      </c>
      <c r="AZ432" s="49" t="s">
        <v>12403</v>
      </c>
      <c r="BA432" s="50" t="s">
        <v>12415</v>
      </c>
      <c r="BC432" s="51">
        <v>1.2632099999999999</v>
      </c>
    </row>
    <row r="433" spans="1:55" ht="15" customHeight="1" x14ac:dyDescent="0.4">
      <c r="A433" s="27" t="s">
        <v>11215</v>
      </c>
      <c r="B433" s="44" t="s">
        <v>12164</v>
      </c>
      <c r="C433" s="45" t="s">
        <v>11843</v>
      </c>
      <c r="D433" s="46">
        <v>153.19999999999999</v>
      </c>
      <c r="E433" s="45" t="s">
        <v>12357</v>
      </c>
      <c r="F433" s="45"/>
      <c r="G433" s="9">
        <v>403.43187999999998</v>
      </c>
      <c r="H433" s="9">
        <v>1700.6</v>
      </c>
      <c r="I433" s="9">
        <v>24.731999999999999</v>
      </c>
      <c r="J433" s="9">
        <v>15563.5</v>
      </c>
      <c r="K433" s="9">
        <v>15563.5</v>
      </c>
      <c r="L433" s="9">
        <v>1595.5</v>
      </c>
      <c r="M433" s="9">
        <v>1325.8</v>
      </c>
      <c r="N433" s="10" t="s">
        <v>12467</v>
      </c>
      <c r="P433" s="32">
        <v>45323</v>
      </c>
      <c r="R433" s="35">
        <v>81.99</v>
      </c>
      <c r="S433" s="34">
        <v>45322</v>
      </c>
      <c r="T433" s="35">
        <v>79.86</v>
      </c>
      <c r="U433" s="34">
        <v>45321</v>
      </c>
      <c r="V433" s="35">
        <v>80.61</v>
      </c>
      <c r="W433" s="34">
        <v>45320</v>
      </c>
      <c r="X433" s="35">
        <v>80.48</v>
      </c>
      <c r="Y433" s="34">
        <v>45319</v>
      </c>
      <c r="Z433" s="35">
        <v>79.3</v>
      </c>
      <c r="AA433" s="34">
        <v>45324</v>
      </c>
      <c r="AB433" s="35">
        <v>83.74</v>
      </c>
      <c r="AC433" s="34">
        <v>45325</v>
      </c>
      <c r="AD433" s="35">
        <v>83.74</v>
      </c>
      <c r="AE433" s="34">
        <v>45326</v>
      </c>
      <c r="AF433" s="35">
        <v>83.74</v>
      </c>
      <c r="AG433" s="34">
        <v>45327</v>
      </c>
      <c r="AH433" s="35">
        <v>82.91</v>
      </c>
      <c r="AI433" s="36">
        <v>4.8585023791635207E-2</v>
      </c>
      <c r="AK433" s="34">
        <v>45316</v>
      </c>
      <c r="AL433" s="35">
        <v>79.25</v>
      </c>
      <c r="AM433" s="34">
        <v>45330</v>
      </c>
      <c r="AN433" s="5">
        <v>85.38</v>
      </c>
      <c r="AP433" s="36">
        <v>7.735015772870657E-2</v>
      </c>
      <c r="AS433" s="5" t="s">
        <v>12387</v>
      </c>
      <c r="AT433" s="5">
        <v>142.19999999999999</v>
      </c>
      <c r="AU433" s="5">
        <v>100</v>
      </c>
      <c r="AV433" s="5" t="s">
        <v>12400</v>
      </c>
      <c r="AW433" s="5" t="s">
        <v>12400</v>
      </c>
      <c r="AX433" s="5" t="s">
        <v>12400</v>
      </c>
      <c r="AZ433" s="49" t="s">
        <v>12403</v>
      </c>
      <c r="BA433" s="50" t="s">
        <v>12416</v>
      </c>
      <c r="BC433" s="51">
        <v>1.3254900000000001</v>
      </c>
    </row>
    <row r="434" spans="1:55" ht="15" customHeight="1" x14ac:dyDescent="0.4">
      <c r="A434" s="27" t="s">
        <v>11346</v>
      </c>
      <c r="B434" s="44" t="s">
        <v>12299</v>
      </c>
      <c r="C434" s="45" t="s">
        <v>11844</v>
      </c>
      <c r="D434" s="46">
        <v>9.33</v>
      </c>
      <c r="E434" s="45" t="s">
        <v>12357</v>
      </c>
      <c r="F434" s="45"/>
      <c r="G434" s="9">
        <v>34.385460000000002</v>
      </c>
      <c r="H434" s="9">
        <v>258.32047999999998</v>
      </c>
      <c r="I434" s="9">
        <v>22.015499999999999</v>
      </c>
      <c r="J434" s="9">
        <v>2876.4602199999999</v>
      </c>
      <c r="K434" s="9">
        <v>2876.4602199999999</v>
      </c>
      <c r="L434" s="9">
        <v>187.45867000000001</v>
      </c>
      <c r="M434" s="9">
        <v>822.12915999999996</v>
      </c>
      <c r="N434" s="10" t="s">
        <v>12468</v>
      </c>
      <c r="P434" s="32">
        <v>45323</v>
      </c>
      <c r="R434" s="35">
        <v>20.9373</v>
      </c>
      <c r="S434" s="34">
        <v>45322</v>
      </c>
      <c r="T434" s="35">
        <v>21.286750000000001</v>
      </c>
      <c r="U434" s="34">
        <v>45321</v>
      </c>
      <c r="V434" s="35">
        <v>21.09028</v>
      </c>
      <c r="W434" s="34">
        <v>45320</v>
      </c>
      <c r="X434" s="35">
        <v>21.045809999999999</v>
      </c>
      <c r="Y434" s="34">
        <v>45319</v>
      </c>
      <c r="Z434" s="35">
        <v>21.27336</v>
      </c>
      <c r="AA434" s="34">
        <v>45324</v>
      </c>
      <c r="AB434" s="35">
        <v>21.02083</v>
      </c>
      <c r="AC434" s="34">
        <v>45325</v>
      </c>
      <c r="AD434" s="35">
        <v>21.02083</v>
      </c>
      <c r="AE434" s="34">
        <v>45326</v>
      </c>
      <c r="AF434" s="35">
        <v>21.02083</v>
      </c>
      <c r="AG434" s="34">
        <v>45327</v>
      </c>
      <c r="AH434" s="35">
        <v>21.77411</v>
      </c>
      <c r="AI434" s="36">
        <v>-1.2492278060295736E-2</v>
      </c>
      <c r="AK434" s="34">
        <v>45316</v>
      </c>
      <c r="AL434" s="35">
        <v>21.220330000000001</v>
      </c>
      <c r="AM434" s="34">
        <v>45330</v>
      </c>
      <c r="AN434" s="5">
        <v>21.42088</v>
      </c>
      <c r="AP434" s="36">
        <v>9.4508426589030581E-3</v>
      </c>
      <c r="AS434" s="5" t="s">
        <v>12387</v>
      </c>
      <c r="AT434" s="5">
        <v>9.33</v>
      </c>
      <c r="AU434" s="5">
        <v>100</v>
      </c>
      <c r="AV434" s="5" t="s">
        <v>12400</v>
      </c>
      <c r="AW434" s="5" t="s">
        <v>12400</v>
      </c>
      <c r="AX434" s="5" t="s">
        <v>12400</v>
      </c>
      <c r="AZ434" s="49" t="s">
        <v>12410</v>
      </c>
      <c r="BA434" s="50" t="s">
        <v>12412</v>
      </c>
      <c r="BC434" s="51">
        <v>0.94659000000000004</v>
      </c>
    </row>
    <row r="435" spans="1:55" ht="15" customHeight="1" x14ac:dyDescent="0.4">
      <c r="A435" s="27" t="s">
        <v>11347</v>
      </c>
      <c r="B435" s="44" t="s">
        <v>12300</v>
      </c>
      <c r="C435" s="45" t="s">
        <v>11845</v>
      </c>
      <c r="D435" s="46">
        <v>17.93</v>
      </c>
      <c r="E435" s="45" t="s">
        <v>12357</v>
      </c>
      <c r="F435" s="45"/>
      <c r="G435" s="9">
        <v>16638.185249999999</v>
      </c>
      <c r="H435" s="9">
        <v>0</v>
      </c>
      <c r="I435" s="9">
        <v>0</v>
      </c>
      <c r="J435" s="9">
        <v>36.211880000000001</v>
      </c>
      <c r="K435" s="9">
        <v>36.211880000000001</v>
      </c>
      <c r="L435" s="9">
        <v>2.0629999999999999E-2</v>
      </c>
      <c r="M435" s="9">
        <v>1.0330000000000001E-2</v>
      </c>
      <c r="N435" s="10" t="s">
        <v>12469</v>
      </c>
      <c r="P435" s="32">
        <v>45323</v>
      </c>
      <c r="R435" s="35">
        <v>2.7E-4</v>
      </c>
      <c r="S435" s="34">
        <v>45322</v>
      </c>
      <c r="T435" s="35">
        <v>2.7999999999999998E-4</v>
      </c>
      <c r="U435" s="34">
        <v>45321</v>
      </c>
      <c r="V435" s="35">
        <v>2.4000000000000001E-4</v>
      </c>
      <c r="W435" s="34">
        <v>45320</v>
      </c>
      <c r="X435" s="35">
        <v>2.2000000000000001E-4</v>
      </c>
      <c r="Y435" s="34">
        <v>45319</v>
      </c>
      <c r="Z435" s="35">
        <v>2.4000000000000001E-4</v>
      </c>
      <c r="AA435" s="34">
        <v>45324</v>
      </c>
      <c r="AB435" s="35">
        <v>2.7E-4</v>
      </c>
      <c r="AC435" s="34">
        <v>45325</v>
      </c>
      <c r="AD435" s="35">
        <v>2.7E-4</v>
      </c>
      <c r="AE435" s="34">
        <v>45326</v>
      </c>
      <c r="AF435" s="35">
        <v>2.7E-4</v>
      </c>
      <c r="AG435" s="34">
        <v>45327</v>
      </c>
      <c r="AH435" s="35">
        <v>2.4000000000000001E-4</v>
      </c>
      <c r="AI435" s="36">
        <v>-3.5714285714285587E-2</v>
      </c>
      <c r="AK435" s="34">
        <v>45316</v>
      </c>
      <c r="AL435" s="35">
        <v>2.3000000000000001E-4</v>
      </c>
      <c r="AM435" s="34">
        <v>45330</v>
      </c>
      <c r="AN435" s="5">
        <v>2.7999999999999998E-4</v>
      </c>
      <c r="AP435" s="36">
        <v>0.21739130434782594</v>
      </c>
      <c r="AS435" s="5" t="s">
        <v>12387</v>
      </c>
      <c r="AT435" s="5">
        <v>17.93</v>
      </c>
      <c r="AU435" s="5">
        <v>100</v>
      </c>
      <c r="AV435" s="5" t="s">
        <v>12400</v>
      </c>
      <c r="AW435" s="5" t="s">
        <v>12400</v>
      </c>
      <c r="AX435" s="5" t="s">
        <v>12400</v>
      </c>
      <c r="AZ435" s="49" t="s">
        <v>12430</v>
      </c>
      <c r="BA435" s="50" t="s">
        <v>12404</v>
      </c>
      <c r="BC435" s="51">
        <v>0.54025999999999996</v>
      </c>
    </row>
    <row r="436" spans="1:55" ht="15" customHeight="1" x14ac:dyDescent="0.4">
      <c r="A436" s="27" t="s">
        <v>11348</v>
      </c>
      <c r="B436" s="44" t="s">
        <v>12301</v>
      </c>
      <c r="C436" s="45" t="s">
        <v>11846</v>
      </c>
      <c r="D436" s="47">
        <v>0.48099999999999998</v>
      </c>
      <c r="E436" s="45" t="s">
        <v>12357</v>
      </c>
      <c r="F436" s="45"/>
      <c r="G436" s="9">
        <v>3.9407100000000002</v>
      </c>
      <c r="H436" s="9">
        <v>-2.8439800000000002</v>
      </c>
      <c r="I436" s="9">
        <v>-191.87569999999999</v>
      </c>
      <c r="J436" s="9">
        <v>3.1589999999999998</v>
      </c>
      <c r="K436" s="9">
        <v>3.1589999999999998</v>
      </c>
      <c r="L436" s="9">
        <v>4.4249999999999998E-2</v>
      </c>
      <c r="M436" s="9">
        <v>-4.4249999999999998E-2</v>
      </c>
      <c r="N436" s="10" t="s">
        <v>12470</v>
      </c>
      <c r="P436" s="32">
        <v>45323</v>
      </c>
      <c r="R436" s="35">
        <v>0.14210999999999999</v>
      </c>
      <c r="S436" s="34">
        <v>45322</v>
      </c>
      <c r="T436" s="35">
        <v>0.13996</v>
      </c>
      <c r="U436" s="34">
        <v>45321</v>
      </c>
      <c r="V436" s="35">
        <v>0.13764000000000001</v>
      </c>
      <c r="W436" s="34">
        <v>45320</v>
      </c>
      <c r="X436" s="35">
        <v>0.13613</v>
      </c>
      <c r="Y436" s="34">
        <v>45319</v>
      </c>
      <c r="Z436" s="35">
        <v>0.14341999999999999</v>
      </c>
      <c r="AA436" s="34">
        <v>45324</v>
      </c>
      <c r="AB436" s="35">
        <v>0.13811999999999999</v>
      </c>
      <c r="AC436" s="34">
        <v>45325</v>
      </c>
      <c r="AD436" s="35">
        <v>0.13811999999999999</v>
      </c>
      <c r="AE436" s="34">
        <v>45326</v>
      </c>
      <c r="AF436" s="35">
        <v>0.13811999999999999</v>
      </c>
      <c r="AG436" s="34">
        <v>45327</v>
      </c>
      <c r="AH436" s="35">
        <v>0.16089000000000001</v>
      </c>
      <c r="AI436" s="36">
        <v>-1.3146613318090972E-2</v>
      </c>
      <c r="AK436" s="34">
        <v>45316</v>
      </c>
      <c r="AL436" s="35">
        <v>0.14523</v>
      </c>
      <c r="AM436" s="34">
        <v>45330</v>
      </c>
      <c r="AN436" s="5">
        <v>0.16577</v>
      </c>
      <c r="AP436" s="36">
        <v>0.14143083384975563</v>
      </c>
      <c r="AS436" s="5" t="s">
        <v>12388</v>
      </c>
      <c r="AT436" s="5">
        <v>0.192</v>
      </c>
      <c r="AU436" s="5">
        <v>50</v>
      </c>
      <c r="AV436" s="5" t="s">
        <v>12400</v>
      </c>
      <c r="AW436" s="5" t="s">
        <v>12400</v>
      </c>
      <c r="AX436" s="5">
        <v>50</v>
      </c>
      <c r="AZ436" s="49" t="s">
        <v>12409</v>
      </c>
      <c r="BA436" s="50" t="s">
        <v>12409</v>
      </c>
      <c r="BC436" s="51">
        <v>10.26102</v>
      </c>
    </row>
    <row r="437" spans="1:55" ht="15" customHeight="1" x14ac:dyDescent="0.4">
      <c r="A437" s="27" t="s">
        <v>11125</v>
      </c>
      <c r="B437" s="44" t="s">
        <v>12072</v>
      </c>
      <c r="C437" s="45" t="s">
        <v>11847</v>
      </c>
      <c r="D437" s="46">
        <v>1.3</v>
      </c>
      <c r="E437" s="45" t="s">
        <v>12357</v>
      </c>
      <c r="F437" s="45"/>
      <c r="G437" s="9">
        <v>134.36304999999999</v>
      </c>
      <c r="H437" s="9" t="s">
        <v>11415</v>
      </c>
      <c r="I437" s="9" t="s">
        <v>11415</v>
      </c>
      <c r="J437" s="9">
        <v>20509.84304</v>
      </c>
      <c r="K437" s="9">
        <v>20509.84304</v>
      </c>
      <c r="L437" s="9">
        <v>1829.5423900000001</v>
      </c>
      <c r="M437" s="9">
        <v>4191.4468900000002</v>
      </c>
      <c r="N437" s="10" t="s">
        <v>12473</v>
      </c>
      <c r="P437" s="32">
        <v>45322</v>
      </c>
      <c r="R437" s="35">
        <v>4.17706</v>
      </c>
      <c r="S437" s="34">
        <v>45321</v>
      </c>
      <c r="T437" s="35">
        <v>4.20505</v>
      </c>
      <c r="U437" s="34">
        <v>45320</v>
      </c>
      <c r="V437" s="35">
        <v>4.1378599999999999</v>
      </c>
      <c r="W437" s="34">
        <v>45319</v>
      </c>
      <c r="X437" s="35">
        <v>4.1503699999999997</v>
      </c>
      <c r="Y437" s="34">
        <v>45318</v>
      </c>
      <c r="Z437" s="35">
        <v>4.1503699999999997</v>
      </c>
      <c r="AA437" s="34">
        <v>45323</v>
      </c>
      <c r="AB437" s="35">
        <v>4.1874599999999997</v>
      </c>
      <c r="AC437" s="34">
        <v>45324</v>
      </c>
      <c r="AD437" s="35">
        <v>4.2084799999999998</v>
      </c>
      <c r="AE437" s="34">
        <v>45325</v>
      </c>
      <c r="AF437" s="35">
        <v>4.2084799999999998</v>
      </c>
      <c r="AG437" s="34">
        <v>45326</v>
      </c>
      <c r="AH437" s="35">
        <v>4.2084799999999998</v>
      </c>
      <c r="AI437" s="36">
        <v>-4.1830655996956123E-3</v>
      </c>
      <c r="AK437" s="34">
        <v>45315</v>
      </c>
      <c r="AL437" s="35">
        <v>4.07585</v>
      </c>
      <c r="AM437" s="34">
        <v>45329</v>
      </c>
      <c r="AN437" s="5">
        <v>4.3576499999999996</v>
      </c>
      <c r="AP437" s="36">
        <v>6.9138952611111693E-2</v>
      </c>
      <c r="AS437" s="5" t="s">
        <v>12387</v>
      </c>
      <c r="AT437" s="5">
        <v>1.3</v>
      </c>
      <c r="AU437" s="5">
        <v>100</v>
      </c>
      <c r="AV437" s="5" t="s">
        <v>12400</v>
      </c>
      <c r="AW437" s="5" t="s">
        <v>12400</v>
      </c>
      <c r="AX437" s="5" t="s">
        <v>12400</v>
      </c>
      <c r="AZ437" s="49" t="s">
        <v>12416</v>
      </c>
      <c r="BA437" s="50" t="s">
        <v>12416</v>
      </c>
      <c r="BC437" s="51">
        <v>0.57062000000000002</v>
      </c>
    </row>
    <row r="438" spans="1:55" ht="15" customHeight="1" x14ac:dyDescent="0.4">
      <c r="A438" s="27" t="s">
        <v>11349</v>
      </c>
      <c r="B438" s="44" t="s">
        <v>12302</v>
      </c>
      <c r="C438" s="45" t="s">
        <v>11848</v>
      </c>
      <c r="D438" s="46">
        <v>33.28</v>
      </c>
      <c r="E438" s="45" t="s">
        <v>12358</v>
      </c>
      <c r="F438" s="45"/>
      <c r="G438" s="9">
        <v>9.4655100000000001</v>
      </c>
      <c r="H438" s="9">
        <v>-14.164999999999999</v>
      </c>
      <c r="I438" s="9">
        <v>-24.924299999999999</v>
      </c>
      <c r="J438" s="9">
        <v>59.435000000000002</v>
      </c>
      <c r="K438" s="9">
        <v>59.435000000000002</v>
      </c>
      <c r="L438" s="9">
        <v>3.6909999999999998</v>
      </c>
      <c r="M438" s="9">
        <v>63.735999999999997</v>
      </c>
      <c r="N438" s="10" t="s">
        <v>12465</v>
      </c>
      <c r="P438" s="32">
        <v>45322</v>
      </c>
      <c r="R438" s="35">
        <v>2.95</v>
      </c>
      <c r="S438" s="34">
        <v>45321</v>
      </c>
      <c r="T438" s="35">
        <v>2.1745000000000001</v>
      </c>
      <c r="U438" s="34">
        <v>45320</v>
      </c>
      <c r="V438" s="35">
        <v>2.1995</v>
      </c>
      <c r="W438" s="34">
        <v>45319</v>
      </c>
      <c r="X438" s="35">
        <v>2.1</v>
      </c>
      <c r="Y438" s="34">
        <v>45318</v>
      </c>
      <c r="Z438" s="35">
        <v>2.1</v>
      </c>
      <c r="AA438" s="34">
        <v>45323</v>
      </c>
      <c r="AB438" s="35">
        <v>2.8220000000000001</v>
      </c>
      <c r="AC438" s="34">
        <v>45324</v>
      </c>
      <c r="AD438" s="35">
        <v>3</v>
      </c>
      <c r="AE438" s="34">
        <v>45325</v>
      </c>
      <c r="AF438" s="35">
        <v>3</v>
      </c>
      <c r="AG438" s="34">
        <v>45326</v>
      </c>
      <c r="AH438" s="35">
        <v>3</v>
      </c>
      <c r="AI438" s="36">
        <v>0.29776960220740389</v>
      </c>
      <c r="AK438" s="34">
        <v>45315</v>
      </c>
      <c r="AL438" s="35">
        <v>2.0499999999999998</v>
      </c>
      <c r="AM438" s="34">
        <v>45329</v>
      </c>
      <c r="AN438" s="5">
        <v>2.605</v>
      </c>
      <c r="AP438" s="36">
        <v>0.27073170731707319</v>
      </c>
      <c r="AS438" s="5" t="s">
        <v>12388</v>
      </c>
      <c r="AT438" s="5">
        <v>12.5</v>
      </c>
      <c r="AU438" s="5">
        <v>94.11</v>
      </c>
      <c r="AV438" s="5" t="s">
        <v>12400</v>
      </c>
      <c r="AW438" s="5" t="s">
        <v>12400</v>
      </c>
      <c r="AX438" s="5">
        <v>5.89</v>
      </c>
      <c r="AZ438" s="49" t="s">
        <v>12438</v>
      </c>
      <c r="BA438" s="50" t="s">
        <v>12415</v>
      </c>
      <c r="BC438" s="51">
        <v>0.49722</v>
      </c>
    </row>
    <row r="439" spans="1:55" ht="15" customHeight="1" x14ac:dyDescent="0.4">
      <c r="A439" s="27" t="s">
        <v>11350</v>
      </c>
      <c r="B439" s="44" t="s">
        <v>12303</v>
      </c>
      <c r="C439" s="45" t="s">
        <v>11849</v>
      </c>
      <c r="D439" s="46">
        <v>9.2200000000000006</v>
      </c>
      <c r="E439" s="45" t="s">
        <v>12358</v>
      </c>
      <c r="F439" s="45"/>
      <c r="G439" s="9">
        <v>4410.2326199999998</v>
      </c>
      <c r="H439" s="9">
        <v>72.451570000000004</v>
      </c>
      <c r="I439" s="9">
        <v>14.1699</v>
      </c>
      <c r="J439" s="9">
        <v>1102.9994799999999</v>
      </c>
      <c r="K439" s="9">
        <v>1102.9994799999999</v>
      </c>
      <c r="L439" s="9">
        <v>5.72004</v>
      </c>
      <c r="M439" s="9">
        <v>385.26026999999999</v>
      </c>
      <c r="N439" s="10" t="s">
        <v>12471</v>
      </c>
      <c r="P439" s="32">
        <v>45322</v>
      </c>
      <c r="R439" s="35">
        <v>7.0669999999999997E-2</v>
      </c>
      <c r="S439" s="34">
        <v>45321</v>
      </c>
      <c r="T439" s="35">
        <v>7.2830000000000006E-2</v>
      </c>
      <c r="U439" s="34">
        <v>45320</v>
      </c>
      <c r="V439" s="35">
        <v>7.5009999999999993E-2</v>
      </c>
      <c r="W439" s="34">
        <v>45319</v>
      </c>
      <c r="X439" s="35">
        <v>7.4709999999999999E-2</v>
      </c>
      <c r="Y439" s="34">
        <v>45318</v>
      </c>
      <c r="Z439" s="35">
        <v>7.4709999999999999E-2</v>
      </c>
      <c r="AA439" s="34">
        <v>45323</v>
      </c>
      <c r="AB439" s="35">
        <v>7.1870000000000003E-2</v>
      </c>
      <c r="AC439" s="34">
        <v>45324</v>
      </c>
      <c r="AD439" s="35">
        <v>7.1970000000000006E-2</v>
      </c>
      <c r="AE439" s="34">
        <v>45325</v>
      </c>
      <c r="AF439" s="35">
        <v>7.1970000000000006E-2</v>
      </c>
      <c r="AG439" s="34">
        <v>45326</v>
      </c>
      <c r="AH439" s="35">
        <v>7.1970000000000006E-2</v>
      </c>
      <c r="AI439" s="36">
        <v>-1.3181381298915329E-2</v>
      </c>
      <c r="AK439" s="34">
        <v>45315</v>
      </c>
      <c r="AL439" s="35">
        <v>7.2900000000000006E-2</v>
      </c>
      <c r="AM439" s="34">
        <v>45329</v>
      </c>
      <c r="AN439" s="5">
        <v>7.4800000000000005E-2</v>
      </c>
      <c r="AP439" s="36">
        <v>2.6063100137174278E-2</v>
      </c>
      <c r="AS439" s="5" t="s">
        <v>12387</v>
      </c>
      <c r="AT439" s="5">
        <v>9.2200000000000006</v>
      </c>
      <c r="AU439" s="5">
        <v>100</v>
      </c>
      <c r="AV439" s="5" t="s">
        <v>12400</v>
      </c>
      <c r="AW439" s="5" t="s">
        <v>12400</v>
      </c>
      <c r="AX439" s="5" t="s">
        <v>12400</v>
      </c>
      <c r="AZ439" s="49" t="s">
        <v>12411</v>
      </c>
      <c r="BA439" s="50" t="s">
        <v>12411</v>
      </c>
      <c r="BC439" s="51">
        <v>4.2840000000000003E-2</v>
      </c>
    </row>
    <row r="440" spans="1:55" ht="15" customHeight="1" x14ac:dyDescent="0.4">
      <c r="A440" s="27" t="s">
        <v>11259</v>
      </c>
      <c r="B440" s="44" t="s">
        <v>12218</v>
      </c>
      <c r="C440" s="45" t="s">
        <v>11850</v>
      </c>
      <c r="D440" s="46">
        <v>347.18</v>
      </c>
      <c r="E440" s="45" t="s">
        <v>12357</v>
      </c>
      <c r="F440" s="45"/>
      <c r="G440" s="9">
        <v>6.3301400000000001</v>
      </c>
      <c r="H440" s="9">
        <v>7.4870000000000001</v>
      </c>
      <c r="I440" s="9">
        <v>35.109000000000002</v>
      </c>
      <c r="J440" s="9">
        <v>48.161999999999999</v>
      </c>
      <c r="K440" s="9">
        <v>48.161999999999999</v>
      </c>
      <c r="L440" s="9">
        <v>13.69</v>
      </c>
      <c r="M440" s="9">
        <v>1.992</v>
      </c>
      <c r="N440" s="10" t="s">
        <v>12465</v>
      </c>
      <c r="P440" s="32">
        <v>45322</v>
      </c>
      <c r="R440" s="35">
        <v>2.67</v>
      </c>
      <c r="S440" s="34">
        <v>45321</v>
      </c>
      <c r="T440" s="35">
        <v>2.64</v>
      </c>
      <c r="U440" s="34">
        <v>45320</v>
      </c>
      <c r="V440" s="35">
        <v>2.7101000000000002</v>
      </c>
      <c r="W440" s="34">
        <v>45319</v>
      </c>
      <c r="X440" s="35">
        <v>2.71</v>
      </c>
      <c r="Y440" s="34">
        <v>45318</v>
      </c>
      <c r="Z440" s="35">
        <v>2.71</v>
      </c>
      <c r="AA440" s="34">
        <v>45323</v>
      </c>
      <c r="AB440" s="35">
        <v>2.6709999999999998</v>
      </c>
      <c r="AC440" s="34">
        <v>45324</v>
      </c>
      <c r="AD440" s="35">
        <v>2.71</v>
      </c>
      <c r="AE440" s="34">
        <v>45325</v>
      </c>
      <c r="AF440" s="35">
        <v>2.71</v>
      </c>
      <c r="AG440" s="34">
        <v>45326</v>
      </c>
      <c r="AH440" s="35">
        <v>2.71</v>
      </c>
      <c r="AI440" s="36">
        <v>1.1742424242424221E-2</v>
      </c>
      <c r="AK440" s="34">
        <v>45315</v>
      </c>
      <c r="AL440" s="35">
        <v>2.72</v>
      </c>
      <c r="AM440" s="34">
        <v>45329</v>
      </c>
      <c r="AN440" s="5">
        <v>2.75</v>
      </c>
      <c r="AP440" s="36">
        <v>1.1029411764705843E-2</v>
      </c>
      <c r="AS440" s="5" t="s">
        <v>12394</v>
      </c>
      <c r="AT440" s="5" t="s">
        <v>12400</v>
      </c>
      <c r="AU440" s="5" t="s">
        <v>12400</v>
      </c>
      <c r="AV440" s="5" t="s">
        <v>12400</v>
      </c>
      <c r="AW440" s="5" t="s">
        <v>12400</v>
      </c>
      <c r="AX440" s="5" t="s">
        <v>12400</v>
      </c>
      <c r="AZ440" s="49" t="s">
        <v>12413</v>
      </c>
      <c r="BA440" s="50" t="s">
        <v>12429</v>
      </c>
      <c r="BC440" s="51">
        <v>0.11940000000000001</v>
      </c>
    </row>
    <row r="441" spans="1:55" ht="15" customHeight="1" x14ac:dyDescent="0.4">
      <c r="A441" s="27" t="s">
        <v>11351</v>
      </c>
      <c r="B441" s="44" t="s">
        <v>12304</v>
      </c>
      <c r="C441" s="45" t="s">
        <v>11851</v>
      </c>
      <c r="D441" s="47">
        <v>0.81399999999999995</v>
      </c>
      <c r="E441" s="45" t="s">
        <v>12358</v>
      </c>
      <c r="F441" s="45"/>
      <c r="G441" s="9">
        <v>12.51736</v>
      </c>
      <c r="H441" s="9">
        <v>7.5417300000000003</v>
      </c>
      <c r="I441" s="9">
        <v>5.8078000000000003</v>
      </c>
      <c r="J441" s="9">
        <v>122.93689000000001</v>
      </c>
      <c r="K441" s="9">
        <v>122.93689000000001</v>
      </c>
      <c r="L441" s="9">
        <v>2.63734</v>
      </c>
      <c r="M441" s="9">
        <v>39.90936</v>
      </c>
      <c r="N441" s="10" t="s">
        <v>12470</v>
      </c>
      <c r="P441" s="32">
        <v>45322</v>
      </c>
      <c r="R441" s="35">
        <v>3.2982499999999999</v>
      </c>
      <c r="S441" s="34">
        <v>45321</v>
      </c>
      <c r="T441" s="35">
        <v>3.0996000000000001</v>
      </c>
      <c r="U441" s="34">
        <v>45320</v>
      </c>
      <c r="V441" s="35">
        <v>3.08989</v>
      </c>
      <c r="W441" s="34">
        <v>45319</v>
      </c>
      <c r="X441" s="35">
        <v>3.1073400000000002</v>
      </c>
      <c r="Y441" s="34">
        <v>45318</v>
      </c>
      <c r="Z441" s="35">
        <v>3.1073400000000002</v>
      </c>
      <c r="AA441" s="34">
        <v>45323</v>
      </c>
      <c r="AB441" s="35">
        <v>3.2761999999999998</v>
      </c>
      <c r="AC441" s="34">
        <v>45324</v>
      </c>
      <c r="AD441" s="35">
        <v>3.1293799999999998</v>
      </c>
      <c r="AE441" s="34">
        <v>45325</v>
      </c>
      <c r="AF441" s="35">
        <v>3.1293799999999998</v>
      </c>
      <c r="AG441" s="34">
        <v>45326</v>
      </c>
      <c r="AH441" s="35">
        <v>3.1293799999999998</v>
      </c>
      <c r="AI441" s="36">
        <v>5.6975093560459378E-2</v>
      </c>
      <c r="AK441" s="34">
        <v>45315</v>
      </c>
      <c r="AL441" s="35">
        <v>3.1168300000000002</v>
      </c>
      <c r="AM441" s="34">
        <v>45329</v>
      </c>
      <c r="AN441" s="5">
        <v>3.1633300000000002</v>
      </c>
      <c r="AP441" s="36">
        <v>1.4919004244697387E-2</v>
      </c>
      <c r="AS441" s="5" t="s">
        <v>12387</v>
      </c>
      <c r="AT441" s="5">
        <v>0.81399999999999995</v>
      </c>
      <c r="AU441" s="5">
        <v>100</v>
      </c>
      <c r="AV441" s="5" t="s">
        <v>12400</v>
      </c>
      <c r="AW441" s="5" t="s">
        <v>12400</v>
      </c>
      <c r="AX441" s="5" t="s">
        <v>12400</v>
      </c>
      <c r="AZ441" s="49" t="s">
        <v>12411</v>
      </c>
      <c r="BA441" s="50" t="s">
        <v>12411</v>
      </c>
      <c r="BC441" s="51">
        <v>0.29894999999999999</v>
      </c>
    </row>
    <row r="442" spans="1:55" ht="15" customHeight="1" x14ac:dyDescent="0.4">
      <c r="A442" s="27" t="s">
        <v>11352</v>
      </c>
      <c r="B442" s="44" t="s">
        <v>12305</v>
      </c>
      <c r="C442" s="45" t="s">
        <v>11852</v>
      </c>
      <c r="D442" s="46">
        <v>3.41</v>
      </c>
      <c r="E442" s="45" t="s">
        <v>12359</v>
      </c>
      <c r="F442" s="45"/>
      <c r="G442" s="9">
        <v>27.195</v>
      </c>
      <c r="H442" s="9">
        <v>-3.77054</v>
      </c>
      <c r="I442" s="9">
        <v>-9.5602</v>
      </c>
      <c r="J442" s="9">
        <v>156.30423999999999</v>
      </c>
      <c r="K442" s="9">
        <v>156.30423999999999</v>
      </c>
      <c r="L442" s="9">
        <v>16.126059999999999</v>
      </c>
      <c r="M442" s="9">
        <v>26.615210000000001</v>
      </c>
      <c r="N442" s="10" t="s">
        <v>12467</v>
      </c>
      <c r="P442" s="32">
        <v>45322</v>
      </c>
      <c r="R442" s="35">
        <v>8.8965999999999994</v>
      </c>
      <c r="S442" s="34">
        <v>45321</v>
      </c>
      <c r="T442" s="35">
        <v>8.8652899999999999</v>
      </c>
      <c r="U442" s="34">
        <v>45320</v>
      </c>
      <c r="V442" s="35">
        <v>8.3189299999999999</v>
      </c>
      <c r="W442" s="34">
        <v>45319</v>
      </c>
      <c r="X442" s="35">
        <v>8.4528499999999998</v>
      </c>
      <c r="Y442" s="34">
        <v>45318</v>
      </c>
      <c r="Z442" s="35">
        <v>8.4528499999999998</v>
      </c>
      <c r="AA442" s="34">
        <v>45323</v>
      </c>
      <c r="AB442" s="35">
        <v>9.0041200000000003</v>
      </c>
      <c r="AC442" s="34">
        <v>45324</v>
      </c>
      <c r="AD442" s="35">
        <v>9.2802399999999992</v>
      </c>
      <c r="AE442" s="34">
        <v>45325</v>
      </c>
      <c r="AF442" s="35">
        <v>9.2802399999999992</v>
      </c>
      <c r="AG442" s="34">
        <v>45326</v>
      </c>
      <c r="AH442" s="35">
        <v>9.2802399999999992</v>
      </c>
      <c r="AI442" s="36">
        <v>1.5659950210314744E-2</v>
      </c>
      <c r="AK442" s="34">
        <v>45315</v>
      </c>
      <c r="AL442" s="35">
        <v>8.2606800000000007</v>
      </c>
      <c r="AM442" s="34">
        <v>45329</v>
      </c>
      <c r="AN442" s="5">
        <v>9.7267100000000006</v>
      </c>
      <c r="AP442" s="36">
        <v>0.17747086196293771</v>
      </c>
      <c r="AS442" s="5" t="s">
        <v>12387</v>
      </c>
      <c r="AT442" s="5">
        <v>3.41</v>
      </c>
      <c r="AU442" s="5">
        <v>100</v>
      </c>
      <c r="AV442" s="5" t="s">
        <v>12400</v>
      </c>
      <c r="AW442" s="5" t="s">
        <v>12400</v>
      </c>
      <c r="AX442" s="5" t="s">
        <v>12400</v>
      </c>
      <c r="AZ442" s="49" t="s">
        <v>12463</v>
      </c>
      <c r="BA442" s="50" t="s">
        <v>12406</v>
      </c>
      <c r="BC442" s="51">
        <v>0.19947000000000001</v>
      </c>
    </row>
    <row r="443" spans="1:55" ht="15" customHeight="1" x14ac:dyDescent="0.4">
      <c r="A443" s="27" t="s">
        <v>11001</v>
      </c>
      <c r="B443" s="44" t="s">
        <v>11946</v>
      </c>
      <c r="C443" s="45" t="s">
        <v>11853</v>
      </c>
      <c r="D443" s="46">
        <v>3.04</v>
      </c>
      <c r="E443" s="45" t="s">
        <v>12357</v>
      </c>
      <c r="F443" s="45"/>
      <c r="G443" s="9">
        <v>103.87221</v>
      </c>
      <c r="H443" s="9">
        <v>22.035969999999999</v>
      </c>
      <c r="I443" s="9">
        <v>26.656300000000002</v>
      </c>
      <c r="J443" s="9">
        <v>187.49682000000001</v>
      </c>
      <c r="K443" s="9">
        <v>187.49682000000001</v>
      </c>
      <c r="L443" s="9">
        <v>16.1767</v>
      </c>
      <c r="M443" s="9">
        <v>-0.12737999999999999</v>
      </c>
      <c r="N443" s="10" t="s">
        <v>12467</v>
      </c>
      <c r="P443" s="32">
        <v>45321</v>
      </c>
      <c r="R443" s="35">
        <v>3.1665199999999998</v>
      </c>
      <c r="S443" s="34">
        <v>45320</v>
      </c>
      <c r="T443" s="35">
        <v>3.3161299999999998</v>
      </c>
      <c r="U443" s="34">
        <v>45319</v>
      </c>
      <c r="V443" s="35">
        <v>3.33914</v>
      </c>
      <c r="W443" s="34">
        <v>45318</v>
      </c>
      <c r="X443" s="35">
        <v>3.33914</v>
      </c>
      <c r="Y443" s="34">
        <v>45317</v>
      </c>
      <c r="Z443" s="35">
        <v>3.33914</v>
      </c>
      <c r="AA443" s="34">
        <v>45322</v>
      </c>
      <c r="AB443" s="35">
        <v>3.1977099999999998</v>
      </c>
      <c r="AC443" s="34">
        <v>45323</v>
      </c>
      <c r="AD443" s="35">
        <v>3.1448900000000002</v>
      </c>
      <c r="AE443" s="34">
        <v>45324</v>
      </c>
      <c r="AF443" s="35">
        <v>3.1477200000000001</v>
      </c>
      <c r="AG443" s="34">
        <v>45325</v>
      </c>
      <c r="AH443" s="35">
        <v>3.1477200000000001</v>
      </c>
      <c r="AI443" s="36">
        <v>-3.571030086275262E-2</v>
      </c>
      <c r="AK443" s="34">
        <v>45314</v>
      </c>
      <c r="AL443" s="35">
        <v>3.2930199999999998</v>
      </c>
      <c r="AM443" s="34">
        <v>45328</v>
      </c>
      <c r="AN443" s="5">
        <v>3.1780599999999999</v>
      </c>
      <c r="AP443" s="36">
        <v>-3.4910204007263856E-2</v>
      </c>
      <c r="AS443" s="5" t="s">
        <v>12387</v>
      </c>
      <c r="AT443" s="5">
        <v>1.1399999999999999</v>
      </c>
      <c r="AU443" s="5">
        <v>100</v>
      </c>
      <c r="AV443" s="5" t="s">
        <v>12400</v>
      </c>
      <c r="AW443" s="5" t="s">
        <v>12400</v>
      </c>
      <c r="AX443" s="5" t="s">
        <v>12400</v>
      </c>
      <c r="AZ443" s="49" t="s">
        <v>12415</v>
      </c>
      <c r="BA443" s="50" t="s">
        <v>12415</v>
      </c>
      <c r="BC443" s="51">
        <v>0.52376</v>
      </c>
    </row>
    <row r="444" spans="1:55" ht="15" customHeight="1" x14ac:dyDescent="0.4">
      <c r="A444" s="27" t="s">
        <v>11353</v>
      </c>
      <c r="B444" s="44" t="s">
        <v>12306</v>
      </c>
      <c r="C444" s="45" t="s">
        <v>11854</v>
      </c>
      <c r="D444" s="47">
        <v>0.77200000000000002</v>
      </c>
      <c r="E444" s="45" t="s">
        <v>12357</v>
      </c>
      <c r="F444" s="45"/>
      <c r="G444" s="9">
        <v>173.2</v>
      </c>
      <c r="H444" s="9">
        <v>-2.7923499999999999</v>
      </c>
      <c r="I444" s="9">
        <v>0</v>
      </c>
      <c r="J444" s="9">
        <v>5.2975099999999999</v>
      </c>
      <c r="K444" s="9">
        <v>5.2975099999999999</v>
      </c>
      <c r="L444" s="9">
        <v>3.6797</v>
      </c>
      <c r="M444" s="9">
        <v>-3.6797</v>
      </c>
      <c r="N444" s="10" t="s">
        <v>12468</v>
      </c>
      <c r="P444" s="32">
        <v>45321</v>
      </c>
      <c r="R444" s="35">
        <v>7.5329999999999994E-2</v>
      </c>
      <c r="S444" s="34">
        <v>45320</v>
      </c>
      <c r="T444" s="35">
        <v>6.2950000000000006E-2</v>
      </c>
      <c r="U444" s="34">
        <v>45319</v>
      </c>
      <c r="V444" s="35">
        <v>6.2449999999999999E-2</v>
      </c>
      <c r="W444" s="34">
        <v>45318</v>
      </c>
      <c r="X444" s="35">
        <v>6.2449999999999999E-2</v>
      </c>
      <c r="Y444" s="34">
        <v>45317</v>
      </c>
      <c r="Z444" s="35">
        <v>6.2449999999999999E-2</v>
      </c>
      <c r="AA444" s="34">
        <v>45322</v>
      </c>
      <c r="AB444" s="35">
        <v>7.1370000000000003E-2</v>
      </c>
      <c r="AC444" s="34">
        <v>45323</v>
      </c>
      <c r="AD444" s="35">
        <v>7.3080000000000006E-2</v>
      </c>
      <c r="AE444" s="34">
        <v>45324</v>
      </c>
      <c r="AF444" s="35">
        <v>7.4929999999999997E-2</v>
      </c>
      <c r="AG444" s="34">
        <v>45325</v>
      </c>
      <c r="AH444" s="35">
        <v>7.4929999999999997E-2</v>
      </c>
      <c r="AI444" s="36">
        <v>0.13375694996028598</v>
      </c>
      <c r="AK444" s="34">
        <v>45314</v>
      </c>
      <c r="AL444" s="35">
        <v>5.7910000000000003E-2</v>
      </c>
      <c r="AM444" s="34">
        <v>45328</v>
      </c>
      <c r="AN444" s="5">
        <v>7.7560000000000004E-2</v>
      </c>
      <c r="AP444" s="36">
        <v>0.33931963391469511</v>
      </c>
      <c r="AS444" s="5" t="s">
        <v>12389</v>
      </c>
      <c r="AT444" s="5">
        <v>0.59599999999999997</v>
      </c>
      <c r="AU444" s="5">
        <v>77.2</v>
      </c>
      <c r="AV444" s="5" t="s">
        <v>12400</v>
      </c>
      <c r="AW444" s="5" t="s">
        <v>12400</v>
      </c>
      <c r="AX444" s="5">
        <v>22.8</v>
      </c>
      <c r="AZ444" s="49" t="s">
        <v>12408</v>
      </c>
      <c r="BA444" s="50" t="s">
        <v>12413</v>
      </c>
      <c r="BC444" s="51">
        <v>0.11928</v>
      </c>
    </row>
    <row r="445" spans="1:55" ht="15" customHeight="1" x14ac:dyDescent="0.4">
      <c r="A445" s="27" t="s">
        <v>11354</v>
      </c>
      <c r="B445" s="44" t="s">
        <v>12307</v>
      </c>
      <c r="C445" s="45" t="s">
        <v>11855</v>
      </c>
      <c r="D445" s="47">
        <v>0.11600000000000001</v>
      </c>
      <c r="E445" s="45" t="s">
        <v>12357</v>
      </c>
      <c r="F445" s="45"/>
      <c r="G445" s="9">
        <v>14.40291</v>
      </c>
      <c r="H445" s="9">
        <v>-1.3692899999999999</v>
      </c>
      <c r="I445" s="9" t="s">
        <v>11413</v>
      </c>
      <c r="J445" s="9">
        <v>1.1833199999999999</v>
      </c>
      <c r="K445" s="9">
        <v>1.1833199999999999</v>
      </c>
      <c r="L445" s="9">
        <v>0.20762</v>
      </c>
      <c r="M445" s="9">
        <v>0.53625</v>
      </c>
      <c r="N445" s="10" t="s">
        <v>12471</v>
      </c>
      <c r="P445" s="32">
        <v>45321</v>
      </c>
      <c r="R445" s="35">
        <v>0.13933000000000001</v>
      </c>
      <c r="S445" s="34">
        <v>45320</v>
      </c>
      <c r="T445" s="35">
        <v>0.13949</v>
      </c>
      <c r="U445" s="34">
        <v>45319</v>
      </c>
      <c r="V445" s="35">
        <v>0.13993</v>
      </c>
      <c r="W445" s="34">
        <v>45318</v>
      </c>
      <c r="X445" s="35">
        <v>0.13993</v>
      </c>
      <c r="Y445" s="34">
        <v>45317</v>
      </c>
      <c r="Z445" s="35">
        <v>0.13993</v>
      </c>
      <c r="AA445" s="34">
        <v>45322</v>
      </c>
      <c r="AB445" s="35">
        <v>0.13986000000000001</v>
      </c>
      <c r="AC445" s="34">
        <v>45323</v>
      </c>
      <c r="AD445" s="35">
        <v>0.13977000000000001</v>
      </c>
      <c r="AE445" s="34">
        <v>45324</v>
      </c>
      <c r="AF445" s="35">
        <v>0.13905999999999999</v>
      </c>
      <c r="AG445" s="34">
        <v>45325</v>
      </c>
      <c r="AH445" s="35">
        <v>0.13905999999999999</v>
      </c>
      <c r="AI445" s="36">
        <v>2.6525198938993633E-3</v>
      </c>
      <c r="AK445" s="34">
        <v>45314</v>
      </c>
      <c r="AL445" s="35">
        <v>0.13932</v>
      </c>
      <c r="AM445" s="34">
        <v>45328</v>
      </c>
      <c r="AN445" s="5">
        <v>0.13844999999999999</v>
      </c>
      <c r="AP445" s="36">
        <v>-6.2446167097330862E-3</v>
      </c>
      <c r="AS445" s="5" t="s">
        <v>12392</v>
      </c>
      <c r="AT445" s="5" t="s">
        <v>12400</v>
      </c>
      <c r="AU445" s="5" t="s">
        <v>12400</v>
      </c>
      <c r="AV445" s="5" t="s">
        <v>12400</v>
      </c>
      <c r="AW445" s="5" t="s">
        <v>12400</v>
      </c>
      <c r="AX445" s="5">
        <v>100</v>
      </c>
      <c r="AZ445" s="49" t="s">
        <v>12415</v>
      </c>
      <c r="BA445" s="50" t="s">
        <v>12415</v>
      </c>
      <c r="BC445" s="51">
        <v>0.61070000000000002</v>
      </c>
    </row>
    <row r="446" spans="1:55" ht="15" customHeight="1" x14ac:dyDescent="0.4">
      <c r="A446" s="27" t="s">
        <v>11355</v>
      </c>
      <c r="B446" s="44" t="s">
        <v>12308</v>
      </c>
      <c r="C446" s="45" t="s">
        <v>11856</v>
      </c>
      <c r="D446" s="46">
        <v>3.8</v>
      </c>
      <c r="E446" s="45" t="s">
        <v>12357</v>
      </c>
      <c r="F446" s="45"/>
      <c r="G446" s="9">
        <v>392.84012000000001</v>
      </c>
      <c r="H446" s="9">
        <v>120.15718</v>
      </c>
      <c r="I446" s="9">
        <v>23.2439</v>
      </c>
      <c r="J446" s="9">
        <v>960.70591999999999</v>
      </c>
      <c r="K446" s="9">
        <v>960.70591999999999</v>
      </c>
      <c r="L446" s="9">
        <v>30.40709</v>
      </c>
      <c r="M446" s="9">
        <v>183.99270999999999</v>
      </c>
      <c r="N446" s="10" t="s">
        <v>12466</v>
      </c>
      <c r="P446" s="32">
        <v>45321</v>
      </c>
      <c r="R446" s="35">
        <v>1.96451</v>
      </c>
      <c r="S446" s="34">
        <v>45320</v>
      </c>
      <c r="T446" s="35">
        <v>1.9655800000000001</v>
      </c>
      <c r="U446" s="34">
        <v>45319</v>
      </c>
      <c r="V446" s="35">
        <v>1.9767699999999999</v>
      </c>
      <c r="W446" s="34">
        <v>45318</v>
      </c>
      <c r="X446" s="35">
        <v>1.9767699999999999</v>
      </c>
      <c r="Y446" s="34">
        <v>45317</v>
      </c>
      <c r="Z446" s="35">
        <v>1.9767699999999999</v>
      </c>
      <c r="AA446" s="34">
        <v>45322</v>
      </c>
      <c r="AB446" s="35">
        <v>1.95041</v>
      </c>
      <c r="AC446" s="34">
        <v>45323</v>
      </c>
      <c r="AD446" s="35">
        <v>1.92506</v>
      </c>
      <c r="AE446" s="34">
        <v>45324</v>
      </c>
      <c r="AF446" s="35">
        <v>1.94299</v>
      </c>
      <c r="AG446" s="34">
        <v>45325</v>
      </c>
      <c r="AH446" s="35">
        <v>1.94299</v>
      </c>
      <c r="AI446" s="36">
        <v>-7.7178237466803967E-3</v>
      </c>
      <c r="AK446" s="34">
        <v>45314</v>
      </c>
      <c r="AL446" s="35">
        <v>1.8998200000000001</v>
      </c>
      <c r="AM446" s="34">
        <v>45328</v>
      </c>
      <c r="AN446" s="5">
        <v>1.9080900000000001</v>
      </c>
      <c r="AP446" s="36">
        <v>4.3530439725869563E-3</v>
      </c>
      <c r="AS446" s="5" t="s">
        <v>12387</v>
      </c>
      <c r="AT446" s="5">
        <v>3.8</v>
      </c>
      <c r="AU446" s="5">
        <v>100</v>
      </c>
      <c r="AV446" s="5" t="s">
        <v>12400</v>
      </c>
      <c r="AW446" s="5" t="s">
        <v>12400</v>
      </c>
      <c r="AX446" s="5" t="s">
        <v>12400</v>
      </c>
      <c r="AZ446" s="49" t="s">
        <v>12415</v>
      </c>
      <c r="BA446" s="50" t="s">
        <v>12415</v>
      </c>
      <c r="BC446" s="51">
        <v>0.79420000000000002</v>
      </c>
    </row>
    <row r="447" spans="1:55" ht="15" customHeight="1" x14ac:dyDescent="0.4">
      <c r="A447" s="27" t="s">
        <v>11194</v>
      </c>
      <c r="B447" s="44" t="s">
        <v>12142</v>
      </c>
      <c r="C447" s="45" t="s">
        <v>11857</v>
      </c>
      <c r="D447" s="46">
        <v>183.66</v>
      </c>
      <c r="E447" s="45" t="s">
        <v>12357</v>
      </c>
      <c r="F447" s="45"/>
      <c r="G447" s="9">
        <v>31.593070000000001</v>
      </c>
      <c r="H447" s="9">
        <v>422.00065999999998</v>
      </c>
      <c r="I447" s="9">
        <v>8.0114000000000001</v>
      </c>
      <c r="J447" s="9">
        <v>4948.7222300000003</v>
      </c>
      <c r="K447" s="9">
        <v>4948.7222300000003</v>
      </c>
      <c r="L447" s="9">
        <v>495.59411999999998</v>
      </c>
      <c r="M447" s="9">
        <v>-341.13407999999998</v>
      </c>
      <c r="N447" s="10" t="s">
        <v>12467</v>
      </c>
      <c r="P447" s="32">
        <v>45320</v>
      </c>
      <c r="R447" s="35">
        <v>125.64823</v>
      </c>
      <c r="S447" s="34">
        <v>45319</v>
      </c>
      <c r="T447" s="35">
        <v>126.7927</v>
      </c>
      <c r="U447" s="34">
        <v>45318</v>
      </c>
      <c r="V447" s="35">
        <v>126.7927</v>
      </c>
      <c r="W447" s="34">
        <v>45317</v>
      </c>
      <c r="X447" s="35">
        <v>126.7927</v>
      </c>
      <c r="Y447" s="34">
        <v>45316</v>
      </c>
      <c r="Z447" s="35">
        <v>126.47664</v>
      </c>
      <c r="AA447" s="34">
        <v>45321</v>
      </c>
      <c r="AB447" s="35">
        <v>124.52585000000001</v>
      </c>
      <c r="AC447" s="34">
        <v>45322</v>
      </c>
      <c r="AD447" s="35">
        <v>124.87794</v>
      </c>
      <c r="AE447" s="34">
        <v>45323</v>
      </c>
      <c r="AF447" s="35">
        <v>125.62378</v>
      </c>
      <c r="AG447" s="34">
        <v>45324</v>
      </c>
      <c r="AH447" s="35">
        <v>124.6358</v>
      </c>
      <c r="AI447" s="36">
        <v>-1.787839520729495E-2</v>
      </c>
      <c r="AK447" s="34">
        <v>45313</v>
      </c>
      <c r="AL447" s="35">
        <v>126.86485999999999</v>
      </c>
      <c r="AM447" s="34">
        <v>45327</v>
      </c>
      <c r="AN447" s="5">
        <v>121.84918999999999</v>
      </c>
      <c r="AP447" s="36">
        <v>-3.9535534110864079E-2</v>
      </c>
      <c r="AS447" s="5" t="s">
        <v>12387</v>
      </c>
      <c r="AT447" s="5">
        <v>183.66</v>
      </c>
      <c r="AU447" s="5">
        <v>100</v>
      </c>
      <c r="AV447" s="5" t="s">
        <v>12400</v>
      </c>
      <c r="AW447" s="5" t="s">
        <v>12400</v>
      </c>
      <c r="AX447" s="5" t="s">
        <v>12400</v>
      </c>
      <c r="AZ447" s="49" t="s">
        <v>12406</v>
      </c>
      <c r="BA447" s="50" t="s">
        <v>12412</v>
      </c>
      <c r="BC447" s="51">
        <v>0.96074000000000004</v>
      </c>
    </row>
    <row r="448" spans="1:55" ht="15" customHeight="1" x14ac:dyDescent="0.4">
      <c r="A448" s="27" t="s">
        <v>11356</v>
      </c>
      <c r="B448" s="44" t="s">
        <v>12309</v>
      </c>
      <c r="C448" s="45" t="s">
        <v>11858</v>
      </c>
      <c r="D448" s="46">
        <v>1.55</v>
      </c>
      <c r="E448" s="45" t="s">
        <v>12357</v>
      </c>
      <c r="F448" s="45"/>
      <c r="G448" s="9">
        <v>136.46333000000001</v>
      </c>
      <c r="H448" s="9">
        <v>-3.9973399999999999</v>
      </c>
      <c r="I448" s="9">
        <v>0</v>
      </c>
      <c r="J448" s="9">
        <v>1.7555499999999999</v>
      </c>
      <c r="K448" s="9">
        <v>1.7555499999999999</v>
      </c>
      <c r="L448" s="9">
        <v>1.3435900000000001</v>
      </c>
      <c r="M448" s="9">
        <v>-1.3435900000000001</v>
      </c>
      <c r="N448" s="10" t="s">
        <v>12465</v>
      </c>
      <c r="P448" s="32">
        <v>45320</v>
      </c>
      <c r="R448" s="35">
        <v>2.4729999999999999E-2</v>
      </c>
      <c r="S448" s="34">
        <v>45319</v>
      </c>
      <c r="T448" s="35">
        <v>2.6290000000000001E-2</v>
      </c>
      <c r="U448" s="34">
        <v>45318</v>
      </c>
      <c r="V448" s="35">
        <v>2.6290000000000001E-2</v>
      </c>
      <c r="W448" s="34">
        <v>45317</v>
      </c>
      <c r="X448" s="35">
        <v>2.6290000000000001E-2</v>
      </c>
      <c r="Y448" s="34">
        <v>45316</v>
      </c>
      <c r="Z448" s="35">
        <v>1.9720000000000001E-2</v>
      </c>
      <c r="AA448" s="34">
        <v>45321</v>
      </c>
      <c r="AB448" s="35">
        <v>2.1399999999999999E-2</v>
      </c>
      <c r="AC448" s="34">
        <v>45322</v>
      </c>
      <c r="AD448" s="35">
        <v>2.078E-2</v>
      </c>
      <c r="AE448" s="34">
        <v>45323</v>
      </c>
      <c r="AF448" s="35">
        <v>1.9800000000000002E-2</v>
      </c>
      <c r="AG448" s="34">
        <v>45324</v>
      </c>
      <c r="AH448" s="35">
        <v>1.9550000000000001E-2</v>
      </c>
      <c r="AI448" s="36">
        <v>-0.18600228223659188</v>
      </c>
      <c r="AK448" s="34">
        <v>45313</v>
      </c>
      <c r="AL448" s="35">
        <v>2.4709999999999999E-2</v>
      </c>
      <c r="AM448" s="34">
        <v>45327</v>
      </c>
      <c r="AN448" s="5">
        <v>1.9009999999999999E-2</v>
      </c>
      <c r="AP448" s="36">
        <v>-0.23067583974099559</v>
      </c>
      <c r="AS448" s="5" t="s">
        <v>721</v>
      </c>
      <c r="AT448" s="5" t="s">
        <v>12400</v>
      </c>
      <c r="AU448" s="5" t="s">
        <v>12400</v>
      </c>
      <c r="AV448" s="5" t="s">
        <v>12400</v>
      </c>
      <c r="AW448" s="5" t="s">
        <v>12400</v>
      </c>
      <c r="AX448" s="5">
        <v>100</v>
      </c>
      <c r="AZ448" s="49" t="s">
        <v>12409</v>
      </c>
      <c r="BA448" s="50" t="s">
        <v>12409</v>
      </c>
      <c r="BC448" s="51">
        <v>5.1639999999999998E-2</v>
      </c>
    </row>
    <row r="449" spans="1:55" ht="15" customHeight="1" x14ac:dyDescent="0.4">
      <c r="A449" s="27" t="s">
        <v>11357</v>
      </c>
      <c r="B449" s="44" t="s">
        <v>12310</v>
      </c>
      <c r="C449" s="45" t="s">
        <v>11859</v>
      </c>
      <c r="D449" s="46">
        <v>21.23</v>
      </c>
      <c r="E449" s="45" t="s">
        <v>12359</v>
      </c>
      <c r="F449" s="45"/>
      <c r="G449" s="9">
        <v>0</v>
      </c>
      <c r="H449" s="9">
        <v>18.15523</v>
      </c>
      <c r="I449" s="9">
        <v>22.152699999999999</v>
      </c>
      <c r="J449" s="9">
        <v>132.04944</v>
      </c>
      <c r="K449" s="9">
        <v>132.04944</v>
      </c>
      <c r="L449" s="9">
        <v>92.720290000000006</v>
      </c>
      <c r="M449" s="9">
        <v>-75.073580000000007</v>
      </c>
      <c r="N449" s="10" t="s">
        <v>12473</v>
      </c>
      <c r="P449" s="32">
        <v>45320</v>
      </c>
      <c r="R449" s="35">
        <v>0</v>
      </c>
      <c r="S449" s="34">
        <v>45319</v>
      </c>
      <c r="T449" s="35">
        <v>0</v>
      </c>
      <c r="U449" s="34">
        <v>45318</v>
      </c>
      <c r="V449" s="35">
        <v>0</v>
      </c>
      <c r="W449" s="34">
        <v>45317</v>
      </c>
      <c r="X449" s="35">
        <v>0</v>
      </c>
      <c r="Y449" s="34">
        <v>45316</v>
      </c>
      <c r="Z449" s="35">
        <v>0</v>
      </c>
      <c r="AA449" s="34">
        <v>45321</v>
      </c>
      <c r="AB449" s="35">
        <v>0</v>
      </c>
      <c r="AC449" s="34">
        <v>45322</v>
      </c>
      <c r="AD449" s="35">
        <v>0</v>
      </c>
      <c r="AE449" s="34">
        <v>45323</v>
      </c>
      <c r="AF449" s="35">
        <v>0</v>
      </c>
      <c r="AG449" s="34">
        <v>45324</v>
      </c>
      <c r="AH449" s="35">
        <v>0</v>
      </c>
      <c r="AI449" s="36" t="s">
        <v>318</v>
      </c>
      <c r="AK449" s="34">
        <v>45313</v>
      </c>
      <c r="AL449" s="35">
        <v>0</v>
      </c>
      <c r="AM449" s="34">
        <v>45327</v>
      </c>
      <c r="AN449" s="5">
        <v>0</v>
      </c>
      <c r="AP449" s="36" t="s">
        <v>318</v>
      </c>
      <c r="AS449" s="5" t="s">
        <v>721</v>
      </c>
      <c r="AT449" s="5" t="s">
        <v>12400</v>
      </c>
      <c r="AU449" s="5" t="s">
        <v>12400</v>
      </c>
      <c r="AV449" s="5" t="s">
        <v>12400</v>
      </c>
      <c r="AW449" s="5" t="s">
        <v>12400</v>
      </c>
      <c r="AX449" s="5">
        <v>100</v>
      </c>
      <c r="AZ449" s="49" t="s">
        <v>12412</v>
      </c>
      <c r="BA449" s="50" t="s">
        <v>12412</v>
      </c>
      <c r="BC449" s="51">
        <v>0</v>
      </c>
    </row>
    <row r="450" spans="1:55" ht="15" customHeight="1" x14ac:dyDescent="0.4">
      <c r="A450" s="27" t="s">
        <v>11358</v>
      </c>
      <c r="B450" s="44" t="s">
        <v>12311</v>
      </c>
      <c r="C450" s="45" t="s">
        <v>11860</v>
      </c>
      <c r="D450" s="46">
        <v>35.340000000000003</v>
      </c>
      <c r="E450" s="45" t="s">
        <v>12357</v>
      </c>
      <c r="F450" s="45"/>
      <c r="G450" s="9">
        <v>297.33873</v>
      </c>
      <c r="H450" s="9">
        <v>163.47399999999999</v>
      </c>
      <c r="I450" s="9">
        <v>11.983499999999999</v>
      </c>
      <c r="J450" s="9">
        <v>2999.2130000000002</v>
      </c>
      <c r="K450" s="9">
        <v>2999.2130000000002</v>
      </c>
      <c r="L450" s="9">
        <v>782.649</v>
      </c>
      <c r="M450" s="9">
        <v>-708.35900000000004</v>
      </c>
      <c r="N450" s="10" t="s">
        <v>12468</v>
      </c>
      <c r="P450" s="32">
        <v>45320</v>
      </c>
      <c r="R450" s="35">
        <v>59.83</v>
      </c>
      <c r="S450" s="34">
        <v>45319</v>
      </c>
      <c r="T450" s="35">
        <v>58.26</v>
      </c>
      <c r="U450" s="34">
        <v>45318</v>
      </c>
      <c r="V450" s="35">
        <v>58.26</v>
      </c>
      <c r="W450" s="34">
        <v>45317</v>
      </c>
      <c r="X450" s="35">
        <v>58.26</v>
      </c>
      <c r="Y450" s="34">
        <v>45316</v>
      </c>
      <c r="Z450" s="35">
        <v>58.19</v>
      </c>
      <c r="AA450" s="34">
        <v>45321</v>
      </c>
      <c r="AB450" s="35">
        <v>59.35</v>
      </c>
      <c r="AC450" s="34">
        <v>45322</v>
      </c>
      <c r="AD450" s="35">
        <v>57</v>
      </c>
      <c r="AE450" s="34">
        <v>45323</v>
      </c>
      <c r="AF450" s="35">
        <v>58.3</v>
      </c>
      <c r="AG450" s="34">
        <v>45324</v>
      </c>
      <c r="AH450" s="35">
        <v>60.7</v>
      </c>
      <c r="AI450" s="36">
        <v>1.8709234466186109E-2</v>
      </c>
      <c r="AK450" s="34">
        <v>45313</v>
      </c>
      <c r="AL450" s="35">
        <v>58.29</v>
      </c>
      <c r="AM450" s="34">
        <v>45327</v>
      </c>
      <c r="AN450" s="5">
        <v>60.03</v>
      </c>
      <c r="AP450" s="36">
        <v>2.9850746268656803E-2</v>
      </c>
      <c r="AS450" s="5" t="s">
        <v>12387</v>
      </c>
      <c r="AT450" s="5">
        <v>26.1</v>
      </c>
      <c r="AU450" s="5">
        <v>100</v>
      </c>
      <c r="AV450" s="5" t="s">
        <v>12400</v>
      </c>
      <c r="AW450" s="5" t="s">
        <v>12400</v>
      </c>
      <c r="AX450" s="5" t="s">
        <v>12400</v>
      </c>
      <c r="AZ450" s="49" t="s">
        <v>12403</v>
      </c>
      <c r="BA450" s="50" t="s">
        <v>12415</v>
      </c>
      <c r="BC450" s="51">
        <v>0.86775000000000002</v>
      </c>
    </row>
    <row r="451" spans="1:55" ht="15" customHeight="1" x14ac:dyDescent="0.4">
      <c r="A451" s="27" t="s">
        <v>11359</v>
      </c>
      <c r="B451" s="44" t="s">
        <v>12312</v>
      </c>
      <c r="C451" s="45" t="s">
        <v>11861</v>
      </c>
      <c r="D451" s="46">
        <v>4.32</v>
      </c>
      <c r="E451" s="45" t="s">
        <v>12357</v>
      </c>
      <c r="F451" s="45"/>
      <c r="G451" s="9">
        <v>5279.8689400000003</v>
      </c>
      <c r="H451" s="9">
        <v>168.31583000000001</v>
      </c>
      <c r="I451" s="9">
        <v>9.0779999999999994</v>
      </c>
      <c r="J451" s="9">
        <v>3406.5908399999998</v>
      </c>
      <c r="K451" s="9">
        <v>3406.5908399999998</v>
      </c>
      <c r="L451" s="9">
        <v>133.70936</v>
      </c>
      <c r="M451" s="9">
        <v>1288.98047</v>
      </c>
      <c r="N451" s="10" t="s">
        <v>12467</v>
      </c>
      <c r="P451" s="32">
        <v>45320</v>
      </c>
      <c r="R451" s="35">
        <v>2.087E-2</v>
      </c>
      <c r="S451" s="34">
        <v>45319</v>
      </c>
      <c r="T451" s="35">
        <v>2.1350000000000001E-2</v>
      </c>
      <c r="U451" s="34">
        <v>45318</v>
      </c>
      <c r="V451" s="35">
        <v>2.1350000000000001E-2</v>
      </c>
      <c r="W451" s="34">
        <v>45317</v>
      </c>
      <c r="X451" s="35">
        <v>2.1350000000000001E-2</v>
      </c>
      <c r="Y451" s="34">
        <v>45316</v>
      </c>
      <c r="Z451" s="35">
        <v>2.181E-2</v>
      </c>
      <c r="AA451" s="34">
        <v>45321</v>
      </c>
      <c r="AB451" s="35">
        <v>2.1170000000000001E-2</v>
      </c>
      <c r="AC451" s="34">
        <v>45322</v>
      </c>
      <c r="AD451" s="35">
        <v>2.0920000000000001E-2</v>
      </c>
      <c r="AE451" s="34">
        <v>45323</v>
      </c>
      <c r="AF451" s="35">
        <v>2.0369999999999999E-2</v>
      </c>
      <c r="AG451" s="34">
        <v>45324</v>
      </c>
      <c r="AH451" s="35">
        <v>2.052E-2</v>
      </c>
      <c r="AI451" s="36">
        <v>-8.4309133489460786E-3</v>
      </c>
      <c r="AK451" s="34">
        <v>45313</v>
      </c>
      <c r="AL451" s="35">
        <v>1.966E-2</v>
      </c>
      <c r="AM451" s="34">
        <v>45327</v>
      </c>
      <c r="AN451" s="5">
        <v>2.01E-2</v>
      </c>
      <c r="AP451" s="36">
        <v>2.238046795523907E-2</v>
      </c>
      <c r="AS451" s="5" t="s">
        <v>12387</v>
      </c>
      <c r="AT451" s="5">
        <v>3.89</v>
      </c>
      <c r="AU451" s="5">
        <v>100</v>
      </c>
      <c r="AV451" s="5" t="s">
        <v>12400</v>
      </c>
      <c r="AW451" s="5" t="s">
        <v>12400</v>
      </c>
      <c r="AX451" s="5" t="s">
        <v>12400</v>
      </c>
      <c r="AZ451" s="49" t="s">
        <v>12416</v>
      </c>
      <c r="BA451" s="50" t="s">
        <v>12416</v>
      </c>
      <c r="BC451" s="51">
        <v>0.70940000000000003</v>
      </c>
    </row>
    <row r="452" spans="1:55" ht="15" customHeight="1" x14ac:dyDescent="0.4">
      <c r="A452" s="27" t="s">
        <v>11360</v>
      </c>
      <c r="B452" s="44" t="s">
        <v>12313</v>
      </c>
      <c r="C452" s="45" t="s">
        <v>11862</v>
      </c>
      <c r="D452" s="47">
        <v>0.193</v>
      </c>
      <c r="E452" s="45" t="s">
        <v>12357</v>
      </c>
      <c r="F452" s="45"/>
      <c r="G452" s="9">
        <v>18.5472</v>
      </c>
      <c r="H452" s="9">
        <v>-16.708680000000001</v>
      </c>
      <c r="I452" s="9">
        <v>0</v>
      </c>
      <c r="J452" s="9">
        <v>1.44306</v>
      </c>
      <c r="K452" s="9">
        <v>1.44306</v>
      </c>
      <c r="L452" s="9">
        <v>0.34300000000000003</v>
      </c>
      <c r="M452" s="9">
        <v>7.4179500000000003</v>
      </c>
      <c r="N452" s="10" t="s">
        <v>12468</v>
      </c>
      <c r="P452" s="32">
        <v>45320</v>
      </c>
      <c r="R452" s="35">
        <v>1.66</v>
      </c>
      <c r="S452" s="34">
        <v>45319</v>
      </c>
      <c r="T452" s="35">
        <v>1.85</v>
      </c>
      <c r="U452" s="34">
        <v>45318</v>
      </c>
      <c r="V452" s="35">
        <v>1.85</v>
      </c>
      <c r="W452" s="34">
        <v>45317</v>
      </c>
      <c r="X452" s="35">
        <v>1.85</v>
      </c>
      <c r="Y452" s="34">
        <v>45316</v>
      </c>
      <c r="Z452" s="35">
        <v>2.04</v>
      </c>
      <c r="AA452" s="34">
        <v>45321</v>
      </c>
      <c r="AB452" s="35">
        <v>1.58</v>
      </c>
      <c r="AC452" s="34">
        <v>45322</v>
      </c>
      <c r="AD452" s="35">
        <v>1.73</v>
      </c>
      <c r="AE452" s="34">
        <v>45323</v>
      </c>
      <c r="AF452" s="35">
        <v>1.75</v>
      </c>
      <c r="AG452" s="34">
        <v>45324</v>
      </c>
      <c r="AH452" s="35">
        <v>1.66</v>
      </c>
      <c r="AI452" s="36">
        <v>-0.1459459459459459</v>
      </c>
      <c r="AK452" s="34">
        <v>45313</v>
      </c>
      <c r="AL452" s="35">
        <v>2.14</v>
      </c>
      <c r="AM452" s="34">
        <v>45327</v>
      </c>
      <c r="AN452" s="5">
        <v>1.63</v>
      </c>
      <c r="AP452" s="36">
        <v>-0.23831775700934588</v>
      </c>
      <c r="AS452" s="5" t="s">
        <v>12387</v>
      </c>
      <c r="AT452" s="5">
        <v>0.193</v>
      </c>
      <c r="AU452" s="5">
        <v>100</v>
      </c>
      <c r="AV452" s="5" t="s">
        <v>12400</v>
      </c>
      <c r="AW452" s="5" t="s">
        <v>12400</v>
      </c>
      <c r="AX452" s="5" t="s">
        <v>12400</v>
      </c>
      <c r="AZ452" s="49" t="s">
        <v>12415</v>
      </c>
      <c r="BA452" s="50" t="s">
        <v>12408</v>
      </c>
      <c r="BC452" s="51">
        <v>-6.3473199999999999</v>
      </c>
    </row>
    <row r="453" spans="1:55" ht="15" customHeight="1" x14ac:dyDescent="0.4">
      <c r="A453" s="27" t="s">
        <v>11361</v>
      </c>
      <c r="B453" s="44" t="s">
        <v>12314</v>
      </c>
      <c r="C453" s="45" t="s">
        <v>11863</v>
      </c>
      <c r="D453" s="46">
        <v>19.72</v>
      </c>
      <c r="E453" s="45" t="s">
        <v>12357</v>
      </c>
      <c r="F453" s="45"/>
      <c r="G453" s="9">
        <v>613.57444999999996</v>
      </c>
      <c r="H453" s="9">
        <v>289.33357000000001</v>
      </c>
      <c r="I453" s="9">
        <v>4.7999000000000001</v>
      </c>
      <c r="J453" s="9">
        <v>4849.6968500000003</v>
      </c>
      <c r="K453" s="9">
        <v>4849.6968500000003</v>
      </c>
      <c r="L453" s="9">
        <v>632.41962999999998</v>
      </c>
      <c r="M453" s="9">
        <v>1463.2903699999999</v>
      </c>
      <c r="N453" s="10" t="s">
        <v>12467</v>
      </c>
      <c r="P453" s="32">
        <v>45317</v>
      </c>
      <c r="R453" s="35">
        <v>2.1497700000000002</v>
      </c>
      <c r="S453" s="34">
        <v>45316</v>
      </c>
      <c r="T453" s="35">
        <v>2.1487400000000001</v>
      </c>
      <c r="U453" s="34">
        <v>45315</v>
      </c>
      <c r="V453" s="35">
        <v>2.1516099999999998</v>
      </c>
      <c r="W453" s="34">
        <v>45314</v>
      </c>
      <c r="X453" s="35">
        <v>2.1024600000000002</v>
      </c>
      <c r="Y453" s="34">
        <v>45313</v>
      </c>
      <c r="Z453" s="35">
        <v>2.13137</v>
      </c>
      <c r="AA453" s="34">
        <v>45318</v>
      </c>
      <c r="AB453" s="35">
        <v>2.1497700000000002</v>
      </c>
      <c r="AC453" s="34">
        <v>45319</v>
      </c>
      <c r="AD453" s="35">
        <v>2.1497700000000002</v>
      </c>
      <c r="AE453" s="34">
        <v>45320</v>
      </c>
      <c r="AF453" s="35">
        <v>2.1697500000000001</v>
      </c>
      <c r="AG453" s="34">
        <v>45321</v>
      </c>
      <c r="AH453" s="35">
        <v>2.15577</v>
      </c>
      <c r="AI453" s="36">
        <v>4.7935068924109814E-4</v>
      </c>
      <c r="AK453" s="34">
        <v>45310</v>
      </c>
      <c r="AL453" s="35">
        <v>2.0918600000000001</v>
      </c>
      <c r="AM453" s="34">
        <v>45324</v>
      </c>
      <c r="AN453" s="5">
        <v>2.1389300000000002</v>
      </c>
      <c r="AP453" s="36">
        <v>2.2501505836910685E-2</v>
      </c>
      <c r="AS453" s="5" t="s">
        <v>12387</v>
      </c>
      <c r="AT453" s="5">
        <v>19.079999999999998</v>
      </c>
      <c r="AU453" s="5">
        <v>100</v>
      </c>
      <c r="AV453" s="5" t="s">
        <v>12400</v>
      </c>
      <c r="AW453" s="5" t="s">
        <v>12400</v>
      </c>
      <c r="AX453" s="5" t="s">
        <v>12400</v>
      </c>
      <c r="AZ453" s="49" t="s">
        <v>12415</v>
      </c>
      <c r="BA453" s="50" t="s">
        <v>12415</v>
      </c>
      <c r="BC453" s="51">
        <v>0.84519</v>
      </c>
    </row>
    <row r="454" spans="1:55" ht="15" customHeight="1" x14ac:dyDescent="0.4">
      <c r="A454" s="27" t="s">
        <v>11362</v>
      </c>
      <c r="B454" s="44" t="s">
        <v>12315</v>
      </c>
      <c r="C454" s="45" t="s">
        <v>11864</v>
      </c>
      <c r="D454" s="46">
        <v>2.31</v>
      </c>
      <c r="E454" s="45" t="s">
        <v>12357</v>
      </c>
      <c r="F454" s="45"/>
      <c r="G454" s="9">
        <v>85.878820000000005</v>
      </c>
      <c r="H454" s="9">
        <v>-2.3206000000000002</v>
      </c>
      <c r="I454" s="9">
        <v>-256.33069999999998</v>
      </c>
      <c r="J454" s="9">
        <v>11.88472</v>
      </c>
      <c r="K454" s="9">
        <v>11.88472</v>
      </c>
      <c r="L454" s="9">
        <v>3.9309999999999998E-2</v>
      </c>
      <c r="M454" s="9">
        <v>3.4600900000000001</v>
      </c>
      <c r="N454" s="10" t="s">
        <v>12473</v>
      </c>
      <c r="P454" s="32">
        <v>45317</v>
      </c>
      <c r="R454" s="35">
        <v>6.1490000000000003E-2</v>
      </c>
      <c r="S454" s="34">
        <v>45316</v>
      </c>
      <c r="T454" s="35">
        <v>6.2449999999999999E-2</v>
      </c>
      <c r="U454" s="34">
        <v>45315</v>
      </c>
      <c r="V454" s="35">
        <v>6.2789999999999999E-2</v>
      </c>
      <c r="W454" s="34">
        <v>45314</v>
      </c>
      <c r="X454" s="35">
        <v>6.1899999999999997E-2</v>
      </c>
      <c r="Y454" s="34">
        <v>45313</v>
      </c>
      <c r="Z454" s="35">
        <v>6.2120000000000002E-2</v>
      </c>
      <c r="AA454" s="34">
        <v>45318</v>
      </c>
      <c r="AB454" s="35">
        <v>6.1490000000000003E-2</v>
      </c>
      <c r="AC454" s="34">
        <v>45319</v>
      </c>
      <c r="AD454" s="35">
        <v>6.1490000000000003E-2</v>
      </c>
      <c r="AE454" s="34">
        <v>45320</v>
      </c>
      <c r="AF454" s="35">
        <v>6.275E-2</v>
      </c>
      <c r="AG454" s="34">
        <v>45321</v>
      </c>
      <c r="AH454" s="35">
        <v>6.2140000000000001E-2</v>
      </c>
      <c r="AI454" s="36">
        <v>-1.5372297838270543E-2</v>
      </c>
      <c r="AK454" s="34">
        <v>45310</v>
      </c>
      <c r="AL454" s="35">
        <v>6.1609999999999998E-2</v>
      </c>
      <c r="AM454" s="34">
        <v>45324</v>
      </c>
      <c r="AN454" s="5">
        <v>6.608E-2</v>
      </c>
      <c r="AP454" s="36">
        <v>7.2553156955039722E-2</v>
      </c>
      <c r="AS454" s="5" t="s">
        <v>12387</v>
      </c>
      <c r="AT454" s="5" t="s">
        <v>12400</v>
      </c>
      <c r="AU454" s="5" t="s">
        <v>12400</v>
      </c>
      <c r="AV454" s="5" t="s">
        <v>12400</v>
      </c>
      <c r="AW454" s="5" t="s">
        <v>12400</v>
      </c>
      <c r="AX454" s="5" t="s">
        <v>12400</v>
      </c>
      <c r="AZ454" s="49" t="s">
        <v>12408</v>
      </c>
      <c r="BA454" s="50" t="s">
        <v>12408</v>
      </c>
      <c r="BC454" s="51">
        <v>1.2742199999999999</v>
      </c>
    </row>
    <row r="455" spans="1:55" ht="15" customHeight="1" x14ac:dyDescent="0.4">
      <c r="A455" s="27" t="s">
        <v>11363</v>
      </c>
      <c r="B455" s="44" t="s">
        <v>12316</v>
      </c>
      <c r="C455" s="45" t="s">
        <v>11865</v>
      </c>
      <c r="D455" s="46">
        <v>3.72</v>
      </c>
      <c r="E455" s="45" t="s">
        <v>12357</v>
      </c>
      <c r="F455" s="45"/>
      <c r="G455" s="9">
        <v>192.79595</v>
      </c>
      <c r="H455" s="9">
        <v>-3.8201000000000001</v>
      </c>
      <c r="I455" s="9" t="s">
        <v>11413</v>
      </c>
      <c r="J455" s="9">
        <v>5.3642899999999996</v>
      </c>
      <c r="K455" s="9">
        <v>5.3642899999999996</v>
      </c>
      <c r="L455" s="9">
        <v>3.6181299999999998</v>
      </c>
      <c r="M455" s="9">
        <v>-3.49451</v>
      </c>
      <c r="N455" s="10" t="s">
        <v>12465</v>
      </c>
      <c r="P455" s="32">
        <v>45316</v>
      </c>
      <c r="R455" s="35">
        <v>0.16192000000000001</v>
      </c>
      <c r="S455" s="34">
        <v>45315</v>
      </c>
      <c r="T455" s="35">
        <v>0.18801000000000001</v>
      </c>
      <c r="U455" s="34">
        <v>45314</v>
      </c>
      <c r="V455" s="35">
        <v>0.19314999999999999</v>
      </c>
      <c r="W455" s="34">
        <v>45313</v>
      </c>
      <c r="X455" s="35">
        <v>0.20347000000000001</v>
      </c>
      <c r="Y455" s="34">
        <v>45312</v>
      </c>
      <c r="Z455" s="35">
        <v>0.20906</v>
      </c>
      <c r="AA455" s="34">
        <v>45317</v>
      </c>
      <c r="AB455" s="35">
        <v>0.14756</v>
      </c>
      <c r="AC455" s="34">
        <v>45318</v>
      </c>
      <c r="AD455" s="35">
        <v>0.14756</v>
      </c>
      <c r="AE455" s="34">
        <v>45319</v>
      </c>
      <c r="AF455" s="35">
        <v>0.14756</v>
      </c>
      <c r="AG455" s="34">
        <v>45320</v>
      </c>
      <c r="AH455" s="35">
        <v>0.14108000000000001</v>
      </c>
      <c r="AI455" s="36">
        <v>-0.21514813041859482</v>
      </c>
      <c r="AK455" s="34">
        <v>45309</v>
      </c>
      <c r="AL455" s="35">
        <v>0.19667000000000001</v>
      </c>
      <c r="AM455" s="34">
        <v>45323</v>
      </c>
      <c r="AN455" s="5">
        <v>0.14294999999999999</v>
      </c>
      <c r="AP455" s="36">
        <v>-0.27314791274724159</v>
      </c>
      <c r="AS455" s="5" t="s">
        <v>12387</v>
      </c>
      <c r="AT455" s="5">
        <v>2.13</v>
      </c>
      <c r="AU455" s="5">
        <v>100</v>
      </c>
      <c r="AV455" s="5" t="s">
        <v>12400</v>
      </c>
      <c r="AW455" s="5" t="s">
        <v>12400</v>
      </c>
      <c r="AX455" s="5" t="s">
        <v>12400</v>
      </c>
      <c r="AZ455" s="49" t="s">
        <v>12415</v>
      </c>
      <c r="BA455" s="50" t="s">
        <v>12415</v>
      </c>
      <c r="BC455" s="51">
        <v>0.64261000000000001</v>
      </c>
    </row>
    <row r="456" spans="1:55" ht="15" customHeight="1" x14ac:dyDescent="0.4">
      <c r="A456" s="27" t="s">
        <v>11195</v>
      </c>
      <c r="B456" s="44" t="s">
        <v>12143</v>
      </c>
      <c r="C456" s="45" t="s">
        <v>11866</v>
      </c>
      <c r="D456" s="46">
        <v>175.4</v>
      </c>
      <c r="E456" s="45" t="s">
        <v>12357</v>
      </c>
      <c r="F456" s="45"/>
      <c r="G456" s="9">
        <v>151.33593999999999</v>
      </c>
      <c r="H456" s="9">
        <v>604</v>
      </c>
      <c r="I456" s="9">
        <v>20.374400000000001</v>
      </c>
      <c r="J456" s="9">
        <v>4249.8999999999996</v>
      </c>
      <c r="K456" s="9">
        <v>4249.8999999999996</v>
      </c>
      <c r="L456" s="9">
        <v>488.3</v>
      </c>
      <c r="M456" s="9">
        <v>879.3</v>
      </c>
      <c r="N456" s="10" t="s">
        <v>12465</v>
      </c>
      <c r="P456" s="32">
        <v>45316</v>
      </c>
      <c r="R456" s="35">
        <v>71.66</v>
      </c>
      <c r="S456" s="34">
        <v>45315</v>
      </c>
      <c r="T456" s="35">
        <v>71.53</v>
      </c>
      <c r="U456" s="34">
        <v>45314</v>
      </c>
      <c r="V456" s="35">
        <v>71.930000000000007</v>
      </c>
      <c r="W456" s="34">
        <v>45313</v>
      </c>
      <c r="X456" s="35">
        <v>72.900000000000006</v>
      </c>
      <c r="Y456" s="34">
        <v>45312</v>
      </c>
      <c r="Z456" s="35">
        <v>71.94</v>
      </c>
      <c r="AA456" s="34">
        <v>45317</v>
      </c>
      <c r="AB456" s="35">
        <v>71.97</v>
      </c>
      <c r="AC456" s="34">
        <v>45318</v>
      </c>
      <c r="AD456" s="35">
        <v>71.97</v>
      </c>
      <c r="AE456" s="34">
        <v>45319</v>
      </c>
      <c r="AF456" s="35">
        <v>71.97</v>
      </c>
      <c r="AG456" s="34">
        <v>45320</v>
      </c>
      <c r="AH456" s="35">
        <v>73.14</v>
      </c>
      <c r="AI456" s="36">
        <v>6.1512652034110271E-3</v>
      </c>
      <c r="AK456" s="34">
        <v>45309</v>
      </c>
      <c r="AL456" s="35">
        <v>71.5</v>
      </c>
      <c r="AM456" s="34">
        <v>45323</v>
      </c>
      <c r="AN456" s="5">
        <v>72.58</v>
      </c>
      <c r="AP456" s="36">
        <v>1.51048951048951E-2</v>
      </c>
      <c r="AS456" s="5" t="s">
        <v>12387</v>
      </c>
      <c r="AT456" s="5">
        <v>175.4</v>
      </c>
      <c r="AU456" s="5">
        <v>100</v>
      </c>
      <c r="AV456" s="5" t="s">
        <v>12400</v>
      </c>
      <c r="AW456" s="5" t="s">
        <v>12400</v>
      </c>
      <c r="AX456" s="5" t="s">
        <v>12400</v>
      </c>
      <c r="AZ456" s="49" t="s">
        <v>12403</v>
      </c>
      <c r="BA456" s="50" t="s">
        <v>12412</v>
      </c>
      <c r="BC456" s="51">
        <v>1.17363</v>
      </c>
    </row>
    <row r="457" spans="1:55" ht="15" customHeight="1" x14ac:dyDescent="0.4">
      <c r="A457" s="27" t="s">
        <v>11014</v>
      </c>
      <c r="B457" s="44" t="s">
        <v>11959</v>
      </c>
      <c r="C457" s="45" t="s">
        <v>11867</v>
      </c>
      <c r="D457" s="46">
        <v>1.8</v>
      </c>
      <c r="E457" s="45" t="s">
        <v>12357</v>
      </c>
      <c r="F457" s="45"/>
      <c r="G457" s="9">
        <v>43.752029999999998</v>
      </c>
      <c r="H457" s="9">
        <v>-2.31</v>
      </c>
      <c r="I457" s="9">
        <v>-1.1343000000000001</v>
      </c>
      <c r="J457" s="9">
        <v>150.42511999999999</v>
      </c>
      <c r="K457" s="9">
        <v>150.42511999999999</v>
      </c>
      <c r="L457" s="9">
        <v>8.0748599999999993</v>
      </c>
      <c r="M457" s="9">
        <v>46.387689999999999</v>
      </c>
      <c r="N457" s="10" t="s">
        <v>12468</v>
      </c>
      <c r="P457" s="32">
        <v>45316</v>
      </c>
      <c r="R457" s="35">
        <v>0.69779999999999998</v>
      </c>
      <c r="S457" s="34">
        <v>45315</v>
      </c>
      <c r="T457" s="35">
        <v>0.67625999999999997</v>
      </c>
      <c r="U457" s="34">
        <v>45314</v>
      </c>
      <c r="V457" s="35">
        <v>0.66191</v>
      </c>
      <c r="W457" s="34">
        <v>45313</v>
      </c>
      <c r="X457" s="35">
        <v>0.66654000000000002</v>
      </c>
      <c r="Y457" s="34">
        <v>45312</v>
      </c>
      <c r="Z457" s="35">
        <v>0.67656000000000005</v>
      </c>
      <c r="AA457" s="34">
        <v>45317</v>
      </c>
      <c r="AB457" s="35">
        <v>0.69987999999999995</v>
      </c>
      <c r="AC457" s="34">
        <v>45318</v>
      </c>
      <c r="AD457" s="35">
        <v>0.69987999999999995</v>
      </c>
      <c r="AE457" s="34">
        <v>45319</v>
      </c>
      <c r="AF457" s="35">
        <v>0.72616999999999998</v>
      </c>
      <c r="AG457" s="34">
        <v>45320</v>
      </c>
      <c r="AH457" s="35">
        <v>0.79991999999999996</v>
      </c>
      <c r="AI457" s="36">
        <v>3.4927394788986543E-2</v>
      </c>
      <c r="AK457" s="34">
        <v>45309</v>
      </c>
      <c r="AL457" s="35">
        <v>0.66098999999999997</v>
      </c>
      <c r="AM457" s="34">
        <v>45323</v>
      </c>
      <c r="AN457" s="5">
        <v>0.88590999999999998</v>
      </c>
      <c r="AP457" s="36">
        <v>0.34027746259398794</v>
      </c>
      <c r="AS457" s="5" t="s">
        <v>12389</v>
      </c>
      <c r="AT457" s="5">
        <v>0.879</v>
      </c>
      <c r="AU457" s="5">
        <v>48.68</v>
      </c>
      <c r="AV457" s="5" t="s">
        <v>12400</v>
      </c>
      <c r="AW457" s="5" t="s">
        <v>12400</v>
      </c>
      <c r="AX457" s="5">
        <v>51.32</v>
      </c>
      <c r="AZ457" s="49" t="s">
        <v>12408</v>
      </c>
      <c r="BA457" s="50" t="s">
        <v>12408</v>
      </c>
      <c r="BC457" s="51">
        <v>0.22228999999999999</v>
      </c>
    </row>
    <row r="458" spans="1:55" ht="15" customHeight="1" x14ac:dyDescent="0.4">
      <c r="A458" s="27" t="s">
        <v>11364</v>
      </c>
      <c r="B458" s="44" t="s">
        <v>12317</v>
      </c>
      <c r="C458" s="45" t="s">
        <v>11868</v>
      </c>
      <c r="D458" s="47">
        <v>0.32700000000000001</v>
      </c>
      <c r="E458" s="45" t="s">
        <v>12357</v>
      </c>
      <c r="F458" s="45"/>
      <c r="G458" s="9">
        <v>10.00441</v>
      </c>
      <c r="H458" s="9">
        <v>5.08345</v>
      </c>
      <c r="I458" s="9">
        <v>6.9691000000000001</v>
      </c>
      <c r="J458" s="9">
        <v>96.215320000000006</v>
      </c>
      <c r="K458" s="9">
        <v>96.215320000000006</v>
      </c>
      <c r="L458" s="9">
        <v>17.633469999999999</v>
      </c>
      <c r="M458" s="9">
        <v>10.387969999999999</v>
      </c>
      <c r="N458" s="10" t="s">
        <v>12467</v>
      </c>
      <c r="P458" s="32">
        <v>45315</v>
      </c>
      <c r="R458" s="35">
        <v>5.1220600000000003</v>
      </c>
      <c r="S458" s="34">
        <v>45314</v>
      </c>
      <c r="T458" s="35">
        <v>5.07097</v>
      </c>
      <c r="U458" s="34">
        <v>45313</v>
      </c>
      <c r="V458" s="35">
        <v>5.11815</v>
      </c>
      <c r="W458" s="34">
        <v>45312</v>
      </c>
      <c r="X458" s="35">
        <v>5.1148100000000003</v>
      </c>
      <c r="Y458" s="34">
        <v>45311</v>
      </c>
      <c r="Z458" s="35">
        <v>5.1148100000000003</v>
      </c>
      <c r="AA458" s="34">
        <v>45316</v>
      </c>
      <c r="AB458" s="35">
        <v>5.2021199999999999</v>
      </c>
      <c r="AC458" s="34">
        <v>45317</v>
      </c>
      <c r="AD458" s="35">
        <v>5.04129</v>
      </c>
      <c r="AE458" s="34">
        <v>45318</v>
      </c>
      <c r="AF458" s="35">
        <v>5.04129</v>
      </c>
      <c r="AG458" s="34">
        <v>45319</v>
      </c>
      <c r="AH458" s="35">
        <v>5.04129</v>
      </c>
      <c r="AI458" s="36">
        <v>2.5862901969445629E-2</v>
      </c>
      <c r="AK458" s="34">
        <v>45308</v>
      </c>
      <c r="AL458" s="35">
        <v>5.14602</v>
      </c>
      <c r="AM458" s="34">
        <v>45322</v>
      </c>
      <c r="AN458" s="5">
        <v>4.7520899999999999</v>
      </c>
      <c r="AP458" s="36">
        <v>-7.6550421490783171E-2</v>
      </c>
      <c r="AS458" s="5" t="s">
        <v>12387</v>
      </c>
      <c r="AT458" s="5">
        <v>0.32700000000000001</v>
      </c>
      <c r="AU458" s="5">
        <v>100</v>
      </c>
      <c r="AV458" s="5" t="s">
        <v>12400</v>
      </c>
      <c r="AW458" s="5" t="s">
        <v>12400</v>
      </c>
      <c r="AX458" s="5" t="s">
        <v>12400</v>
      </c>
      <c r="AZ458" s="49" t="s">
        <v>12411</v>
      </c>
      <c r="BA458" s="50" t="s">
        <v>12411</v>
      </c>
      <c r="BC458" s="51">
        <v>0.90307999999999999</v>
      </c>
    </row>
    <row r="459" spans="1:55" ht="15" customHeight="1" x14ac:dyDescent="0.4">
      <c r="A459" s="27" t="s">
        <v>11203</v>
      </c>
      <c r="B459" s="44" t="s">
        <v>12152</v>
      </c>
      <c r="C459" s="45" t="s">
        <v>11869</v>
      </c>
      <c r="D459" s="46">
        <v>32.630000000000003</v>
      </c>
      <c r="E459" s="45" t="s">
        <v>12357</v>
      </c>
      <c r="F459" s="45"/>
      <c r="G459" s="9">
        <v>37.99194</v>
      </c>
      <c r="H459" s="9">
        <v>97.5471</v>
      </c>
      <c r="I459" s="9">
        <v>21.409800000000001</v>
      </c>
      <c r="J459" s="9">
        <v>905.36838</v>
      </c>
      <c r="K459" s="9">
        <v>905.36838</v>
      </c>
      <c r="L459" s="9">
        <v>54.690019999999997</v>
      </c>
      <c r="M459" s="9">
        <v>347.62963999999999</v>
      </c>
      <c r="N459" s="10" t="s">
        <v>12467</v>
      </c>
      <c r="P459" s="32">
        <v>45315</v>
      </c>
      <c r="R459" s="35">
        <v>23.522970000000001</v>
      </c>
      <c r="S459" s="34">
        <v>45314</v>
      </c>
      <c r="T459" s="35">
        <v>22.794350000000001</v>
      </c>
      <c r="U459" s="34">
        <v>45313</v>
      </c>
      <c r="V459" s="35">
        <v>22.810700000000001</v>
      </c>
      <c r="W459" s="34">
        <v>45312</v>
      </c>
      <c r="X459" s="35">
        <v>22.201460000000001</v>
      </c>
      <c r="Y459" s="34">
        <v>45311</v>
      </c>
      <c r="Z459" s="35">
        <v>22.201460000000001</v>
      </c>
      <c r="AA459" s="34">
        <v>45316</v>
      </c>
      <c r="AB459" s="35">
        <v>24.337350000000001</v>
      </c>
      <c r="AC459" s="34">
        <v>45317</v>
      </c>
      <c r="AD459" s="35">
        <v>24.754639999999998</v>
      </c>
      <c r="AE459" s="34">
        <v>45318</v>
      </c>
      <c r="AF459" s="35">
        <v>24.754639999999998</v>
      </c>
      <c r="AG459" s="34">
        <v>45319</v>
      </c>
      <c r="AH459" s="35">
        <v>24.754639999999998</v>
      </c>
      <c r="AI459" s="36">
        <v>6.7692213201955731E-2</v>
      </c>
      <c r="AK459" s="34">
        <v>45308</v>
      </c>
      <c r="AL459" s="35">
        <v>23.713339999999999</v>
      </c>
      <c r="AM459" s="34">
        <v>45322</v>
      </c>
      <c r="AN459" s="5">
        <v>25.071280000000002</v>
      </c>
      <c r="AP459" s="36">
        <v>5.7264813813659332E-2</v>
      </c>
      <c r="AS459" s="5" t="s">
        <v>12387</v>
      </c>
      <c r="AT459" s="5">
        <v>32.630000000000003</v>
      </c>
      <c r="AU459" s="5">
        <v>100</v>
      </c>
      <c r="AV459" s="5" t="s">
        <v>12400</v>
      </c>
      <c r="AW459" s="5" t="s">
        <v>12400</v>
      </c>
      <c r="AX459" s="5" t="s">
        <v>12400</v>
      </c>
      <c r="AZ459" s="49" t="s">
        <v>12409</v>
      </c>
      <c r="BA459" s="50" t="s">
        <v>12415</v>
      </c>
      <c r="BC459" s="51">
        <v>1.5592900000000001</v>
      </c>
    </row>
    <row r="460" spans="1:55" ht="15" customHeight="1" x14ac:dyDescent="0.4">
      <c r="A460" s="27" t="s">
        <v>11365</v>
      </c>
      <c r="B460" s="44" t="s">
        <v>12318</v>
      </c>
      <c r="C460" s="45" t="s">
        <v>11870</v>
      </c>
      <c r="D460" s="46">
        <v>223.41</v>
      </c>
      <c r="E460" s="45" t="s">
        <v>12357</v>
      </c>
      <c r="F460" s="45"/>
      <c r="G460" s="9">
        <v>41.858739999999997</v>
      </c>
      <c r="H460" s="9">
        <v>37.100679999999997</v>
      </c>
      <c r="I460" s="9">
        <v>36.988</v>
      </c>
      <c r="J460" s="9">
        <v>98.810310000000001</v>
      </c>
      <c r="K460" s="9">
        <v>98.810310000000001</v>
      </c>
      <c r="L460" s="9">
        <v>25.43308</v>
      </c>
      <c r="M460" s="9">
        <v>-5.8210600000000001</v>
      </c>
      <c r="N460" s="10" t="s">
        <v>12467</v>
      </c>
      <c r="P460" s="32">
        <v>45315</v>
      </c>
      <c r="R460" s="35">
        <v>8.0302900000000008</v>
      </c>
      <c r="S460" s="34">
        <v>45314</v>
      </c>
      <c r="T460" s="35">
        <v>7.8842400000000001</v>
      </c>
      <c r="U460" s="34">
        <v>45313</v>
      </c>
      <c r="V460" s="35">
        <v>7.9481099999999998</v>
      </c>
      <c r="W460" s="34">
        <v>45312</v>
      </c>
      <c r="X460" s="35">
        <v>7.8872299999999997</v>
      </c>
      <c r="Y460" s="34">
        <v>45311</v>
      </c>
      <c r="Z460" s="35">
        <v>7.8872299999999997</v>
      </c>
      <c r="AA460" s="34">
        <v>45316</v>
      </c>
      <c r="AB460" s="35">
        <v>7.9371099999999997</v>
      </c>
      <c r="AC460" s="34">
        <v>45317</v>
      </c>
      <c r="AD460" s="35">
        <v>7.9503399999999997</v>
      </c>
      <c r="AE460" s="34">
        <v>45318</v>
      </c>
      <c r="AF460" s="35">
        <v>7.9503399999999997</v>
      </c>
      <c r="AG460" s="34">
        <v>45319</v>
      </c>
      <c r="AH460" s="35">
        <v>7.9503399999999997</v>
      </c>
      <c r="AI460" s="36">
        <v>6.7057826753116334E-3</v>
      </c>
      <c r="AK460" s="34">
        <v>45308</v>
      </c>
      <c r="AL460" s="35">
        <v>7.9162999999999997</v>
      </c>
      <c r="AM460" s="34">
        <v>45322</v>
      </c>
      <c r="AN460" s="5">
        <v>7.8830299999999998</v>
      </c>
      <c r="AP460" s="36">
        <v>-4.2027209681290145E-3</v>
      </c>
      <c r="AS460" s="5" t="s">
        <v>12387</v>
      </c>
      <c r="AT460" s="5">
        <v>223.41</v>
      </c>
      <c r="AU460" s="5">
        <v>100</v>
      </c>
      <c r="AV460" s="5" t="s">
        <v>12400</v>
      </c>
      <c r="AW460" s="5" t="s">
        <v>12400</v>
      </c>
      <c r="AX460" s="5" t="s">
        <v>12400</v>
      </c>
      <c r="AZ460" s="49" t="s">
        <v>12410</v>
      </c>
      <c r="BA460" s="50" t="s">
        <v>12410</v>
      </c>
      <c r="BC460" s="51">
        <v>0.23216999999999999</v>
      </c>
    </row>
    <row r="461" spans="1:55" ht="15" customHeight="1" x14ac:dyDescent="0.4">
      <c r="A461" s="27" t="s">
        <v>11366</v>
      </c>
      <c r="B461" s="44" t="s">
        <v>12319</v>
      </c>
      <c r="C461" s="45" t="s">
        <v>11871</v>
      </c>
      <c r="D461" s="46">
        <v>7.88</v>
      </c>
      <c r="E461" s="45" t="s">
        <v>12357</v>
      </c>
      <c r="F461" s="45"/>
      <c r="G461" s="9">
        <v>339.79320000000001</v>
      </c>
      <c r="H461" s="9">
        <v>-71.165000000000006</v>
      </c>
      <c r="I461" s="9">
        <v>-5.4878999999999998</v>
      </c>
      <c r="J461" s="9">
        <v>2759.7669999999998</v>
      </c>
      <c r="K461" s="9">
        <v>2759.7669999999998</v>
      </c>
      <c r="L461" s="9">
        <v>86.864000000000004</v>
      </c>
      <c r="M461" s="9">
        <v>-238.541</v>
      </c>
      <c r="N461" s="10" t="s">
        <v>12468</v>
      </c>
      <c r="P461" s="32">
        <v>45314</v>
      </c>
      <c r="R461" s="35">
        <v>83.93</v>
      </c>
      <c r="S461" s="34">
        <v>45313</v>
      </c>
      <c r="T461" s="35">
        <v>84.68</v>
      </c>
      <c r="U461" s="34">
        <v>45312</v>
      </c>
      <c r="V461" s="35">
        <v>81.349999999999994</v>
      </c>
      <c r="W461" s="34">
        <v>45311</v>
      </c>
      <c r="X461" s="35">
        <v>81.349999999999994</v>
      </c>
      <c r="Y461" s="34">
        <v>45310</v>
      </c>
      <c r="Z461" s="35">
        <v>81.349999999999994</v>
      </c>
      <c r="AA461" s="34">
        <v>45315</v>
      </c>
      <c r="AB461" s="35">
        <v>82.33</v>
      </c>
      <c r="AC461" s="34">
        <v>45316</v>
      </c>
      <c r="AD461" s="35">
        <v>81.86</v>
      </c>
      <c r="AE461" s="34">
        <v>45317</v>
      </c>
      <c r="AF461" s="35">
        <v>80.180000000000007</v>
      </c>
      <c r="AG461" s="34">
        <v>45318</v>
      </c>
      <c r="AH461" s="35">
        <v>80.180000000000007</v>
      </c>
      <c r="AI461" s="36">
        <v>-2.7751535191308574E-2</v>
      </c>
      <c r="AK461" s="34">
        <v>45307</v>
      </c>
      <c r="AL461" s="35">
        <v>78.45</v>
      </c>
      <c r="AM461" s="34">
        <v>45321</v>
      </c>
      <c r="AN461" s="5">
        <v>82.96</v>
      </c>
      <c r="AP461" s="36">
        <v>5.748884639898022E-2</v>
      </c>
      <c r="AS461" s="5" t="s">
        <v>12387</v>
      </c>
      <c r="AT461" s="5">
        <v>2.2799999999999998</v>
      </c>
      <c r="AU461" s="5">
        <v>100</v>
      </c>
      <c r="AV461" s="5" t="s">
        <v>12400</v>
      </c>
      <c r="AW461" s="5" t="s">
        <v>12400</v>
      </c>
      <c r="AX461" s="5" t="s">
        <v>12400</v>
      </c>
      <c r="AZ461" s="49" t="s">
        <v>12415</v>
      </c>
      <c r="BA461" s="50" t="s">
        <v>12415</v>
      </c>
      <c r="BC461" s="51">
        <v>1.9477899999999999</v>
      </c>
    </row>
    <row r="462" spans="1:55" ht="15" customHeight="1" x14ac:dyDescent="0.4">
      <c r="A462" s="27" t="s">
        <v>11072</v>
      </c>
      <c r="B462" s="44" t="s">
        <v>12017</v>
      </c>
      <c r="C462" s="45" t="s">
        <v>11872</v>
      </c>
      <c r="D462" s="46">
        <v>97.52</v>
      </c>
      <c r="E462" s="45" t="s">
        <v>12357</v>
      </c>
      <c r="F462" s="45"/>
      <c r="G462" s="9">
        <v>2317.2233200000001</v>
      </c>
      <c r="H462" s="9">
        <v>45081</v>
      </c>
      <c r="I462" s="9">
        <v>20.5901</v>
      </c>
      <c r="J462" s="9">
        <v>283654</v>
      </c>
      <c r="K462" s="9">
        <v>283654</v>
      </c>
      <c r="L462" s="9">
        <v>27263</v>
      </c>
      <c r="M462" s="9">
        <v>17086</v>
      </c>
      <c r="N462" s="10" t="s">
        <v>12469</v>
      </c>
      <c r="P462" s="32">
        <v>45314</v>
      </c>
      <c r="R462" s="35">
        <v>62.9754</v>
      </c>
      <c r="S462" s="34">
        <v>45313</v>
      </c>
      <c r="T462" s="35">
        <v>62.887949999999996</v>
      </c>
      <c r="U462" s="34">
        <v>45312</v>
      </c>
      <c r="V462" s="35">
        <v>63.423659999999998</v>
      </c>
      <c r="W462" s="34">
        <v>45311</v>
      </c>
      <c r="X462" s="35">
        <v>63.423659999999998</v>
      </c>
      <c r="Y462" s="34">
        <v>45310</v>
      </c>
      <c r="Z462" s="35">
        <v>63.423659999999998</v>
      </c>
      <c r="AA462" s="34">
        <v>45315</v>
      </c>
      <c r="AB462" s="35">
        <v>64.145600000000002</v>
      </c>
      <c r="AC462" s="34">
        <v>45316</v>
      </c>
      <c r="AD462" s="35">
        <v>63.877749999999999</v>
      </c>
      <c r="AE462" s="34">
        <v>45317</v>
      </c>
      <c r="AF462" s="35">
        <v>64.776179999999997</v>
      </c>
      <c r="AG462" s="34">
        <v>45318</v>
      </c>
      <c r="AH462" s="35">
        <v>64.776179999999997</v>
      </c>
      <c r="AI462" s="36">
        <v>1.99982667585763E-2</v>
      </c>
      <c r="AK462" s="34">
        <v>45307</v>
      </c>
      <c r="AL462" s="35">
        <v>64.901960000000003</v>
      </c>
      <c r="AM462" s="34">
        <v>45321</v>
      </c>
      <c r="AN462" s="5">
        <v>65.492580000000004</v>
      </c>
      <c r="AP462" s="36">
        <v>9.1001874211502631E-3</v>
      </c>
      <c r="AS462" s="5" t="s">
        <v>12387</v>
      </c>
      <c r="AT462" s="5">
        <v>97.52</v>
      </c>
      <c r="AU462" s="5">
        <v>100</v>
      </c>
      <c r="AV462" s="5" t="s">
        <v>12400</v>
      </c>
      <c r="AW462" s="5" t="s">
        <v>12400</v>
      </c>
      <c r="AX462" s="5" t="s">
        <v>12400</v>
      </c>
      <c r="AZ462" s="49" t="s">
        <v>12410</v>
      </c>
      <c r="BA462" s="50" t="s">
        <v>12406</v>
      </c>
      <c r="BC462" s="51">
        <v>0.22844999999999999</v>
      </c>
    </row>
    <row r="463" spans="1:55" ht="15" customHeight="1" x14ac:dyDescent="0.4">
      <c r="A463" s="27" t="s">
        <v>11367</v>
      </c>
      <c r="B463" s="44" t="s">
        <v>12320</v>
      </c>
      <c r="C463" s="45" t="s">
        <v>11873</v>
      </c>
      <c r="D463" s="46">
        <v>1.65</v>
      </c>
      <c r="E463" s="45" t="s">
        <v>12357</v>
      </c>
      <c r="F463" s="45"/>
      <c r="G463" s="9">
        <v>0</v>
      </c>
      <c r="H463" s="9">
        <v>0</v>
      </c>
      <c r="I463" s="9">
        <v>0</v>
      </c>
      <c r="J463" s="9">
        <v>0</v>
      </c>
      <c r="K463" s="9">
        <v>0</v>
      </c>
      <c r="L463" s="9">
        <v>0</v>
      </c>
      <c r="M463" s="9">
        <v>0</v>
      </c>
      <c r="N463" s="10" t="s">
        <v>12473</v>
      </c>
      <c r="P463" s="32">
        <v>45314</v>
      </c>
      <c r="R463" s="35">
        <v>0</v>
      </c>
      <c r="S463" s="34">
        <v>45313</v>
      </c>
      <c r="T463" s="35">
        <v>0</v>
      </c>
      <c r="U463" s="34">
        <v>45312</v>
      </c>
      <c r="V463" s="35">
        <v>0</v>
      </c>
      <c r="W463" s="34">
        <v>45311</v>
      </c>
      <c r="X463" s="35">
        <v>0</v>
      </c>
      <c r="Y463" s="34">
        <v>45310</v>
      </c>
      <c r="Z463" s="35">
        <v>0</v>
      </c>
      <c r="AA463" s="34">
        <v>45315</v>
      </c>
      <c r="AB463" s="35">
        <v>0</v>
      </c>
      <c r="AC463" s="34">
        <v>45316</v>
      </c>
      <c r="AD463" s="35">
        <v>0</v>
      </c>
      <c r="AE463" s="34">
        <v>45317</v>
      </c>
      <c r="AF463" s="35">
        <v>0</v>
      </c>
      <c r="AG463" s="34">
        <v>45318</v>
      </c>
      <c r="AH463" s="35">
        <v>0</v>
      </c>
      <c r="AI463" s="36" t="s">
        <v>318</v>
      </c>
      <c r="AK463" s="34">
        <v>45307</v>
      </c>
      <c r="AL463" s="35">
        <v>0</v>
      </c>
      <c r="AM463" s="34">
        <v>45321</v>
      </c>
      <c r="AN463" s="5">
        <v>0</v>
      </c>
      <c r="AP463" s="36" t="s">
        <v>318</v>
      </c>
      <c r="AS463" s="5" t="s">
        <v>12387</v>
      </c>
      <c r="AT463" s="5">
        <v>1.65</v>
      </c>
      <c r="AU463" s="5">
        <v>100</v>
      </c>
      <c r="AV463" s="5" t="s">
        <v>12400</v>
      </c>
      <c r="AW463" s="5" t="s">
        <v>12400</v>
      </c>
      <c r="AX463" s="5" t="s">
        <v>12400</v>
      </c>
      <c r="AZ463" s="49" t="s">
        <v>12415</v>
      </c>
      <c r="BA463" s="50" t="s">
        <v>12415</v>
      </c>
      <c r="BC463" s="51">
        <v>0</v>
      </c>
    </row>
    <row r="464" spans="1:55" ht="15" customHeight="1" x14ac:dyDescent="0.4">
      <c r="A464" s="27" t="s">
        <v>11368</v>
      </c>
      <c r="B464" s="44" t="s">
        <v>12321</v>
      </c>
      <c r="C464" s="45" t="s">
        <v>11874</v>
      </c>
      <c r="D464" s="47">
        <v>0.32400000000000001</v>
      </c>
      <c r="E464" s="45" t="s">
        <v>12357</v>
      </c>
      <c r="F464" s="45"/>
      <c r="G464" s="9">
        <v>34.54701</v>
      </c>
      <c r="H464" s="9">
        <v>-0.23885000000000001</v>
      </c>
      <c r="I464" s="9">
        <v>-15.260400000000001</v>
      </c>
      <c r="J464" s="9">
        <v>2.9683799999999998</v>
      </c>
      <c r="K464" s="9">
        <v>2.9683799999999998</v>
      </c>
      <c r="L464" s="9">
        <v>4.8700000000000002E-3</v>
      </c>
      <c r="M464" s="9">
        <v>0.87892000000000003</v>
      </c>
      <c r="N464" s="10" t="s">
        <v>12470</v>
      </c>
      <c r="P464" s="32">
        <v>45314</v>
      </c>
      <c r="R464" s="35">
        <v>4.8599999999999997E-2</v>
      </c>
      <c r="S464" s="34">
        <v>45313</v>
      </c>
      <c r="T464" s="35">
        <v>4.5969999999999997E-2</v>
      </c>
      <c r="U464" s="34">
        <v>45312</v>
      </c>
      <c r="V464" s="35">
        <v>4.5339999999999998E-2</v>
      </c>
      <c r="W464" s="34">
        <v>45311</v>
      </c>
      <c r="X464" s="35">
        <v>4.5339999999999998E-2</v>
      </c>
      <c r="Y464" s="34">
        <v>45310</v>
      </c>
      <c r="Z464" s="35">
        <v>4.5339999999999998E-2</v>
      </c>
      <c r="AA464" s="34">
        <v>45315</v>
      </c>
      <c r="AB464" s="35">
        <v>5.0889999999999998E-2</v>
      </c>
      <c r="AC464" s="34">
        <v>45316</v>
      </c>
      <c r="AD464" s="35">
        <v>5.1700000000000003E-2</v>
      </c>
      <c r="AE464" s="34">
        <v>45317</v>
      </c>
      <c r="AF464" s="35">
        <v>5.1429999999999997E-2</v>
      </c>
      <c r="AG464" s="34">
        <v>45318</v>
      </c>
      <c r="AH464" s="35">
        <v>5.1429999999999997E-2</v>
      </c>
      <c r="AI464" s="36">
        <v>0.10702632151403102</v>
      </c>
      <c r="AK464" s="34">
        <v>45307</v>
      </c>
      <c r="AL464" s="35">
        <v>4.1300000000000003E-2</v>
      </c>
      <c r="AM464" s="34">
        <v>45321</v>
      </c>
      <c r="AN464" s="5">
        <v>5.0849999999999999E-2</v>
      </c>
      <c r="AP464" s="36">
        <v>0.23123486682808703</v>
      </c>
      <c r="AS464" s="5" t="s">
        <v>12388</v>
      </c>
      <c r="AT464" s="5">
        <v>4.8000000000000001E-2</v>
      </c>
      <c r="AU464" s="5">
        <v>20.66</v>
      </c>
      <c r="AV464" s="5" t="s">
        <v>12400</v>
      </c>
      <c r="AW464" s="5" t="s">
        <v>12400</v>
      </c>
      <c r="AX464" s="5">
        <v>79.34</v>
      </c>
      <c r="AZ464" s="49" t="s">
        <v>12409</v>
      </c>
      <c r="BA464" s="50" t="s">
        <v>12409</v>
      </c>
      <c r="BC464" s="51">
        <v>0.52893000000000001</v>
      </c>
    </row>
    <row r="465" spans="1:55" ht="15" customHeight="1" x14ac:dyDescent="0.4">
      <c r="A465" s="27" t="s">
        <v>11369</v>
      </c>
      <c r="B465" s="44" t="s">
        <v>12322</v>
      </c>
      <c r="C465" s="45" t="s">
        <v>11875</v>
      </c>
      <c r="D465" s="46">
        <v>604.05999999999995</v>
      </c>
      <c r="E465" s="45" t="s">
        <v>12357</v>
      </c>
      <c r="F465" s="45"/>
      <c r="G465" s="9">
        <v>1701.7480499999999</v>
      </c>
      <c r="H465" s="9">
        <v>3051</v>
      </c>
      <c r="I465" s="9">
        <v>7.8327999999999998</v>
      </c>
      <c r="J465" s="9">
        <v>22447</v>
      </c>
      <c r="K465" s="9">
        <v>22447</v>
      </c>
      <c r="L465" s="9">
        <v>695</v>
      </c>
      <c r="M465" s="9">
        <v>5145</v>
      </c>
      <c r="N465" s="10" t="s">
        <v>12474</v>
      </c>
      <c r="P465" s="32">
        <v>45313</v>
      </c>
      <c r="R465" s="35">
        <v>27.53227</v>
      </c>
      <c r="S465" s="34">
        <v>45312</v>
      </c>
      <c r="T465" s="35">
        <v>27.49446</v>
      </c>
      <c r="U465" s="34">
        <v>45311</v>
      </c>
      <c r="V465" s="35">
        <v>27.49446</v>
      </c>
      <c r="W465" s="34">
        <v>45310</v>
      </c>
      <c r="X465" s="35">
        <v>27.49446</v>
      </c>
      <c r="Y465" s="34">
        <v>45309</v>
      </c>
      <c r="Z465" s="35">
        <v>27.596969999999999</v>
      </c>
      <c r="AA465" s="34">
        <v>45314</v>
      </c>
      <c r="AB465" s="35">
        <v>26.71142</v>
      </c>
      <c r="AC465" s="34">
        <v>45315</v>
      </c>
      <c r="AD465" s="35">
        <v>27.022549999999999</v>
      </c>
      <c r="AE465" s="34">
        <v>45316</v>
      </c>
      <c r="AF465" s="35">
        <v>27.22747</v>
      </c>
      <c r="AG465" s="34">
        <v>45317</v>
      </c>
      <c r="AH465" s="35">
        <v>27.311</v>
      </c>
      <c r="AI465" s="36">
        <v>-2.847991922736437E-2</v>
      </c>
      <c r="AK465" s="34">
        <v>45306</v>
      </c>
      <c r="AL465" s="35">
        <v>27.894179999999999</v>
      </c>
      <c r="AM465" s="34">
        <v>45320</v>
      </c>
      <c r="AN465" s="5">
        <v>27.26454</v>
      </c>
      <c r="AP465" s="36">
        <v>-2.257245059722135E-2</v>
      </c>
      <c r="AS465" s="5" t="s">
        <v>12394</v>
      </c>
      <c r="AT465" s="5" t="s">
        <v>12400</v>
      </c>
      <c r="AU465" s="5" t="s">
        <v>12400</v>
      </c>
      <c r="AV465" s="5" t="s">
        <v>12400</v>
      </c>
      <c r="AW465" s="5" t="s">
        <v>12400</v>
      </c>
      <c r="AX465" s="5" t="s">
        <v>12400</v>
      </c>
      <c r="AZ465" s="49" t="s">
        <v>12415</v>
      </c>
      <c r="BA465" s="50" t="s">
        <v>12415</v>
      </c>
      <c r="BC465" s="51">
        <v>0.27968999999999999</v>
      </c>
    </row>
    <row r="466" spans="1:55" ht="15" customHeight="1" x14ac:dyDescent="0.4">
      <c r="A466" s="27" t="s">
        <v>11370</v>
      </c>
      <c r="B466" s="44" t="s">
        <v>12323</v>
      </c>
      <c r="C466" s="45" t="s">
        <v>11876</v>
      </c>
      <c r="D466" s="46">
        <v>60.5</v>
      </c>
      <c r="E466" s="45" t="s">
        <v>12357</v>
      </c>
      <c r="F466" s="45"/>
      <c r="G466" s="9">
        <v>319.89947000000001</v>
      </c>
      <c r="H466" s="9">
        <v>54.608449999999998</v>
      </c>
      <c r="I466" s="9">
        <v>6.8741000000000003</v>
      </c>
      <c r="J466" s="9">
        <v>575.44964000000004</v>
      </c>
      <c r="K466" s="9">
        <v>575.44964000000004</v>
      </c>
      <c r="L466" s="9">
        <v>19.84639</v>
      </c>
      <c r="M466" s="9">
        <v>95.524019999999993</v>
      </c>
      <c r="N466" s="10" t="s">
        <v>12467</v>
      </c>
      <c r="P466" s="32">
        <v>45313</v>
      </c>
      <c r="R466" s="35">
        <v>0.77573999999999999</v>
      </c>
      <c r="S466" s="34">
        <v>45312</v>
      </c>
      <c r="T466" s="35">
        <v>0.70952999999999999</v>
      </c>
      <c r="U466" s="34">
        <v>45311</v>
      </c>
      <c r="V466" s="35">
        <v>0.70952999999999999</v>
      </c>
      <c r="W466" s="34">
        <v>45310</v>
      </c>
      <c r="X466" s="35">
        <v>0.70952999999999999</v>
      </c>
      <c r="Y466" s="34">
        <v>45309</v>
      </c>
      <c r="Z466" s="35">
        <v>0.66359999999999997</v>
      </c>
      <c r="AA466" s="34">
        <v>45314</v>
      </c>
      <c r="AB466" s="35">
        <v>0.77259</v>
      </c>
      <c r="AC466" s="34">
        <v>45315</v>
      </c>
      <c r="AD466" s="35">
        <v>0.77754000000000001</v>
      </c>
      <c r="AE466" s="34">
        <v>45316</v>
      </c>
      <c r="AF466" s="35">
        <v>0.78100999999999998</v>
      </c>
      <c r="AG466" s="34">
        <v>45317</v>
      </c>
      <c r="AH466" s="35">
        <v>0.80393999999999999</v>
      </c>
      <c r="AI466" s="36">
        <v>8.8875734641241433E-2</v>
      </c>
      <c r="AK466" s="34">
        <v>45306</v>
      </c>
      <c r="AL466" s="35">
        <v>0.70691000000000004</v>
      </c>
      <c r="AM466" s="34">
        <v>45320</v>
      </c>
      <c r="AN466" s="5">
        <v>0.88514999999999999</v>
      </c>
      <c r="AP466" s="36">
        <v>0.25213959344188086</v>
      </c>
      <c r="AS466" s="5" t="s">
        <v>12388</v>
      </c>
      <c r="AT466" s="5">
        <v>22</v>
      </c>
      <c r="AU466" s="5">
        <v>64.38</v>
      </c>
      <c r="AV466" s="5" t="s">
        <v>12400</v>
      </c>
      <c r="AW466" s="5" t="s">
        <v>12400</v>
      </c>
      <c r="AX466" s="5">
        <v>35.619999999999997</v>
      </c>
      <c r="AZ466" s="49" t="s">
        <v>12415</v>
      </c>
      <c r="BA466" s="50" t="s">
        <v>12415</v>
      </c>
      <c r="BC466" s="51">
        <v>0.53883000000000003</v>
      </c>
    </row>
    <row r="467" spans="1:55" ht="15" customHeight="1" x14ac:dyDescent="0.4">
      <c r="A467" s="27" t="s">
        <v>11371</v>
      </c>
      <c r="B467" s="44" t="s">
        <v>12324</v>
      </c>
      <c r="C467" s="45" t="s">
        <v>11877</v>
      </c>
      <c r="D467" s="46">
        <v>5</v>
      </c>
      <c r="E467" s="45" t="s">
        <v>12357</v>
      </c>
      <c r="F467" s="45"/>
      <c r="G467" s="9">
        <v>2.24682</v>
      </c>
      <c r="H467" s="9">
        <v>-0.10947</v>
      </c>
      <c r="I467" s="9">
        <v>-7.5700000000000003E-2</v>
      </c>
      <c r="J467" s="9">
        <v>22.155650000000001</v>
      </c>
      <c r="K467" s="9">
        <v>22.155650000000001</v>
      </c>
      <c r="L467" s="9">
        <v>1.36267</v>
      </c>
      <c r="M467" s="9">
        <v>-0.38249</v>
      </c>
      <c r="N467" s="10" t="s">
        <v>12470</v>
      </c>
      <c r="P467" s="32">
        <v>45313</v>
      </c>
      <c r="R467" s="35">
        <v>14.953860000000001</v>
      </c>
      <c r="S467" s="34">
        <v>45312</v>
      </c>
      <c r="T467" s="35">
        <v>12.435309999999999</v>
      </c>
      <c r="U467" s="34">
        <v>45311</v>
      </c>
      <c r="V467" s="35">
        <v>12.435309999999999</v>
      </c>
      <c r="W467" s="34">
        <v>45310</v>
      </c>
      <c r="X467" s="35">
        <v>12.435309999999999</v>
      </c>
      <c r="Y467" s="34">
        <v>45309</v>
      </c>
      <c r="Z467" s="35">
        <v>12.435309999999999</v>
      </c>
      <c r="AA467" s="34">
        <v>45314</v>
      </c>
      <c r="AB467" s="35">
        <v>15.520530000000001</v>
      </c>
      <c r="AC467" s="34">
        <v>45315</v>
      </c>
      <c r="AD467" s="35">
        <v>14.993209999999999</v>
      </c>
      <c r="AE467" s="34">
        <v>45316</v>
      </c>
      <c r="AF467" s="35">
        <v>14.710660000000001</v>
      </c>
      <c r="AG467" s="34">
        <v>45317</v>
      </c>
      <c r="AH467" s="35">
        <v>14.32422</v>
      </c>
      <c r="AI467" s="36">
        <v>0.24810157527234966</v>
      </c>
      <c r="AK467" s="34">
        <v>45306</v>
      </c>
      <c r="AL467" s="35">
        <v>12.695040000000001</v>
      </c>
      <c r="AM467" s="34">
        <v>45320</v>
      </c>
      <c r="AN467" s="5">
        <v>14.25339</v>
      </c>
      <c r="AP467" s="36">
        <v>0.12275266560798537</v>
      </c>
      <c r="AS467" s="5" t="s">
        <v>12389</v>
      </c>
      <c r="AT467" s="5">
        <v>3</v>
      </c>
      <c r="AU467" s="5">
        <v>60</v>
      </c>
      <c r="AV467" s="5">
        <v>2</v>
      </c>
      <c r="AW467" s="5">
        <v>40</v>
      </c>
      <c r="AX467" s="5" t="s">
        <v>12400</v>
      </c>
      <c r="AZ467" s="49" t="s">
        <v>12403</v>
      </c>
      <c r="BA467" s="50" t="s">
        <v>12415</v>
      </c>
      <c r="BC467" s="51">
        <v>2.0723400000000001</v>
      </c>
    </row>
    <row r="468" spans="1:55" ht="15" customHeight="1" x14ac:dyDescent="0.4">
      <c r="A468" s="27" t="s">
        <v>11271</v>
      </c>
      <c r="B468" s="44" t="s">
        <v>12223</v>
      </c>
      <c r="C468" s="45" t="s">
        <v>11878</v>
      </c>
      <c r="D468" s="46">
        <v>16.34</v>
      </c>
      <c r="E468" s="45" t="s">
        <v>12357</v>
      </c>
      <c r="F468" s="45"/>
      <c r="G468" s="9">
        <v>23.021650000000001</v>
      </c>
      <c r="H468" s="9">
        <v>10.776120000000001</v>
      </c>
      <c r="I468" s="9">
        <v>8.9202999999999992</v>
      </c>
      <c r="J468" s="9">
        <v>126.0061</v>
      </c>
      <c r="K468" s="9">
        <v>126.0061</v>
      </c>
      <c r="L468" s="9">
        <v>0.27892</v>
      </c>
      <c r="M468" s="9">
        <v>24.02533</v>
      </c>
      <c r="N468" s="10" t="s">
        <v>12467</v>
      </c>
      <c r="P468" s="32">
        <v>45313</v>
      </c>
      <c r="R468" s="35">
        <v>4.6875900000000001</v>
      </c>
      <c r="S468" s="34">
        <v>45312</v>
      </c>
      <c r="T468" s="35">
        <v>4.4717900000000004</v>
      </c>
      <c r="U468" s="34">
        <v>45311</v>
      </c>
      <c r="V468" s="35">
        <v>4.4717900000000004</v>
      </c>
      <c r="W468" s="34">
        <v>45310</v>
      </c>
      <c r="X468" s="35">
        <v>4.4717900000000004</v>
      </c>
      <c r="Y468" s="34">
        <v>45309</v>
      </c>
      <c r="Z468" s="35">
        <v>4.6818</v>
      </c>
      <c r="AA468" s="34">
        <v>45314</v>
      </c>
      <c r="AB468" s="35">
        <v>4.5074100000000001</v>
      </c>
      <c r="AC468" s="34">
        <v>45315</v>
      </c>
      <c r="AD468" s="35">
        <v>4.5413699999999997</v>
      </c>
      <c r="AE468" s="34">
        <v>45316</v>
      </c>
      <c r="AF468" s="35">
        <v>4.4710999999999999</v>
      </c>
      <c r="AG468" s="34">
        <v>45317</v>
      </c>
      <c r="AH468" s="35">
        <v>4.5239599999999998</v>
      </c>
      <c r="AI468" s="36">
        <v>7.9654903293757684E-3</v>
      </c>
      <c r="AK468" s="34">
        <v>45306</v>
      </c>
      <c r="AL468" s="35">
        <v>4.74315</v>
      </c>
      <c r="AM468" s="34">
        <v>45320</v>
      </c>
      <c r="AN468" s="5">
        <v>4.7596800000000004</v>
      </c>
      <c r="AP468" s="36">
        <v>3.4850257740111079E-3</v>
      </c>
      <c r="AS468" s="5" t="s">
        <v>12389</v>
      </c>
      <c r="AT468" s="5">
        <v>13.07</v>
      </c>
      <c r="AU468" s="5">
        <v>79.989999999999995</v>
      </c>
      <c r="AV468" s="5" t="s">
        <v>12400</v>
      </c>
      <c r="AW468" s="5" t="s">
        <v>12400</v>
      </c>
      <c r="AX468" s="5">
        <v>20.010000000000002</v>
      </c>
      <c r="AZ468" s="49" t="s">
        <v>12409</v>
      </c>
      <c r="BA468" s="50" t="s">
        <v>12411</v>
      </c>
      <c r="BC468" s="51">
        <v>0.54847000000000001</v>
      </c>
    </row>
    <row r="469" spans="1:55" ht="15" customHeight="1" x14ac:dyDescent="0.4">
      <c r="A469" s="27" t="s">
        <v>11372</v>
      </c>
      <c r="B469" s="44" t="s">
        <v>12325</v>
      </c>
      <c r="C469" s="45" t="s">
        <v>11879</v>
      </c>
      <c r="D469" s="46">
        <v>2907.12</v>
      </c>
      <c r="E469" s="45" t="s">
        <v>12357</v>
      </c>
      <c r="F469" s="45"/>
      <c r="G469" s="9">
        <v>184.88518999999999</v>
      </c>
      <c r="H469" s="9">
        <v>669.06156999999996</v>
      </c>
      <c r="I469" s="9">
        <v>23.0898</v>
      </c>
      <c r="J469" s="9">
        <v>4156.9581099999996</v>
      </c>
      <c r="K469" s="9">
        <v>4156.9581099999996</v>
      </c>
      <c r="L469" s="9">
        <v>595.33546999999999</v>
      </c>
      <c r="M469" s="9">
        <v>-361.11417999999998</v>
      </c>
      <c r="N469" s="10" t="s">
        <v>12474</v>
      </c>
      <c r="P469" s="32">
        <v>45312</v>
      </c>
      <c r="R469" s="35">
        <v>37.392530000000001</v>
      </c>
      <c r="S469" s="34">
        <v>45311</v>
      </c>
      <c r="T469" s="35">
        <v>37.392530000000001</v>
      </c>
      <c r="U469" s="34">
        <v>45310</v>
      </c>
      <c r="V469" s="35">
        <v>37.392530000000001</v>
      </c>
      <c r="W469" s="34">
        <v>45309</v>
      </c>
      <c r="X469" s="35">
        <v>36.788350000000001</v>
      </c>
      <c r="Y469" s="34">
        <v>45308</v>
      </c>
      <c r="Z469" s="35">
        <v>36.36956</v>
      </c>
      <c r="AA469" s="34">
        <v>45313</v>
      </c>
      <c r="AB469" s="35">
        <v>39.74736</v>
      </c>
      <c r="AC469" s="34">
        <v>45314</v>
      </c>
      <c r="AD469" s="35">
        <v>39.224179999999997</v>
      </c>
      <c r="AE469" s="34">
        <v>45315</v>
      </c>
      <c r="AF469" s="35">
        <v>39.450740000000003</v>
      </c>
      <c r="AG469" s="34">
        <v>45316</v>
      </c>
      <c r="AH469" s="35">
        <v>40.641599999999997</v>
      </c>
      <c r="AI469" s="36">
        <v>6.2975947334935611E-2</v>
      </c>
      <c r="AK469" s="34">
        <v>45305</v>
      </c>
      <c r="AL469" s="35">
        <v>36.104410000000001</v>
      </c>
      <c r="AM469" s="34">
        <v>45319</v>
      </c>
      <c r="AN469" s="5">
        <v>40.591050000000003</v>
      </c>
      <c r="AP469" s="36">
        <v>0.12426847579007672</v>
      </c>
      <c r="AS469" s="5" t="s">
        <v>12387</v>
      </c>
      <c r="AT469" s="5">
        <v>2667.9</v>
      </c>
      <c r="AU469" s="5">
        <v>100</v>
      </c>
      <c r="AV469" s="5" t="s">
        <v>12400</v>
      </c>
      <c r="AW469" s="5" t="s">
        <v>12400</v>
      </c>
      <c r="AX469" s="5" t="s">
        <v>12400</v>
      </c>
      <c r="AZ469" s="49" t="s">
        <v>12410</v>
      </c>
      <c r="BA469" s="50" t="s">
        <v>12421</v>
      </c>
      <c r="BC469" s="51">
        <v>0.81116999999999995</v>
      </c>
    </row>
    <row r="470" spans="1:55" ht="15" customHeight="1" x14ac:dyDescent="0.4">
      <c r="A470" s="27" t="s">
        <v>11373</v>
      </c>
      <c r="B470" s="44" t="s">
        <v>12326</v>
      </c>
      <c r="C470" s="45" t="s">
        <v>11880</v>
      </c>
      <c r="D470" s="46">
        <v>1.28</v>
      </c>
      <c r="E470" s="45" t="s">
        <v>12359</v>
      </c>
      <c r="F470" s="45"/>
      <c r="G470" s="9">
        <v>2.0518299999999998</v>
      </c>
      <c r="H470" s="9">
        <v>0</v>
      </c>
      <c r="I470" s="9">
        <v>0</v>
      </c>
      <c r="J470" s="9">
        <v>2.11008</v>
      </c>
      <c r="K470" s="9">
        <v>2.11008</v>
      </c>
      <c r="L470" s="9">
        <v>1.7669699999999999</v>
      </c>
      <c r="M470" s="9">
        <v>-1.7669699999999999</v>
      </c>
      <c r="N470" s="10" t="s">
        <v>12468</v>
      </c>
      <c r="P470" s="32">
        <v>45310</v>
      </c>
      <c r="R470" s="35">
        <v>0</v>
      </c>
      <c r="S470" s="34">
        <v>45309</v>
      </c>
      <c r="T470" s="35">
        <v>0</v>
      </c>
      <c r="U470" s="34">
        <v>45308</v>
      </c>
      <c r="V470" s="35">
        <v>0</v>
      </c>
      <c r="W470" s="34">
        <v>45307</v>
      </c>
      <c r="X470" s="35">
        <v>0</v>
      </c>
      <c r="Y470" s="34">
        <v>45306</v>
      </c>
      <c r="Z470" s="35">
        <v>0</v>
      </c>
      <c r="AA470" s="34">
        <v>45311</v>
      </c>
      <c r="AB470" s="35">
        <v>0</v>
      </c>
      <c r="AC470" s="34">
        <v>45312</v>
      </c>
      <c r="AD470" s="35">
        <v>0</v>
      </c>
      <c r="AE470" s="34">
        <v>45313</v>
      </c>
      <c r="AF470" s="35">
        <v>0</v>
      </c>
      <c r="AG470" s="34">
        <v>45314</v>
      </c>
      <c r="AH470" s="35">
        <v>0</v>
      </c>
      <c r="AI470" s="36" t="s">
        <v>318</v>
      </c>
      <c r="AK470" s="34">
        <v>45303</v>
      </c>
      <c r="AL470" s="35">
        <v>0</v>
      </c>
      <c r="AM470" s="34">
        <v>45317</v>
      </c>
      <c r="AN470" s="5">
        <v>0</v>
      </c>
      <c r="AP470" s="36" t="s">
        <v>318</v>
      </c>
      <c r="AS470" s="5" t="s">
        <v>721</v>
      </c>
      <c r="AT470" s="5" t="s">
        <v>12400</v>
      </c>
      <c r="AU470" s="5" t="s">
        <v>12400</v>
      </c>
      <c r="AV470" s="5" t="s">
        <v>12400</v>
      </c>
      <c r="AW470" s="5" t="s">
        <v>12400</v>
      </c>
      <c r="AX470" s="5">
        <v>100</v>
      </c>
      <c r="AZ470" s="49" t="s">
        <v>12415</v>
      </c>
      <c r="BA470" s="50" t="s">
        <v>12415</v>
      </c>
      <c r="BC470" s="51">
        <v>0</v>
      </c>
    </row>
    <row r="471" spans="1:55" ht="15" customHeight="1" x14ac:dyDescent="0.4">
      <c r="A471" s="27" t="s">
        <v>11374</v>
      </c>
      <c r="B471" s="44" t="s">
        <v>12327</v>
      </c>
      <c r="C471" s="45" t="s">
        <v>11881</v>
      </c>
      <c r="D471" s="46">
        <v>81.400000000000006</v>
      </c>
      <c r="E471" s="45" t="s">
        <v>12357</v>
      </c>
      <c r="F471" s="45"/>
      <c r="G471" s="9">
        <v>977.23158000000001</v>
      </c>
      <c r="H471" s="9">
        <v>2226.6921499999999</v>
      </c>
      <c r="I471" s="9">
        <v>12.9983</v>
      </c>
      <c r="J471" s="9">
        <v>18245.781340000001</v>
      </c>
      <c r="K471" s="9">
        <v>18245.781340000001</v>
      </c>
      <c r="L471" s="9">
        <v>2403.7611400000001</v>
      </c>
      <c r="M471" s="9">
        <v>3582.7667499999998</v>
      </c>
      <c r="N471" s="10" t="s">
        <v>12474</v>
      </c>
      <c r="P471" s="32">
        <v>45310</v>
      </c>
      <c r="R471" s="35">
        <v>9.3288899999999995</v>
      </c>
      <c r="S471" s="34">
        <v>45309</v>
      </c>
      <c r="T471" s="35">
        <v>9.3265700000000002</v>
      </c>
      <c r="U471" s="34">
        <v>45308</v>
      </c>
      <c r="V471" s="35">
        <v>9.1125299999999996</v>
      </c>
      <c r="W471" s="34">
        <v>45307</v>
      </c>
      <c r="X471" s="35">
        <v>9.1795899999999993</v>
      </c>
      <c r="Y471" s="34">
        <v>45306</v>
      </c>
      <c r="Z471" s="35">
        <v>9.2092100000000006</v>
      </c>
      <c r="AA471" s="34">
        <v>45311</v>
      </c>
      <c r="AB471" s="35">
        <v>9.3288899999999995</v>
      </c>
      <c r="AC471" s="34">
        <v>45312</v>
      </c>
      <c r="AD471" s="35">
        <v>9.3288899999999995</v>
      </c>
      <c r="AE471" s="34">
        <v>45313</v>
      </c>
      <c r="AF471" s="35">
        <v>9.9262499999999996</v>
      </c>
      <c r="AG471" s="34">
        <v>45314</v>
      </c>
      <c r="AH471" s="35">
        <v>9.7547999999999995</v>
      </c>
      <c r="AI471" s="36">
        <v>2.487516847029525E-4</v>
      </c>
      <c r="AK471" s="34">
        <v>45303</v>
      </c>
      <c r="AL471" s="35">
        <v>9.3128399999999996</v>
      </c>
      <c r="AM471" s="34">
        <v>45317</v>
      </c>
      <c r="AN471" s="5">
        <v>9.3875299999999999</v>
      </c>
      <c r="AP471" s="36">
        <v>8.0201098698142737E-3</v>
      </c>
      <c r="AS471" s="5" t="s">
        <v>12387</v>
      </c>
      <c r="AT471" s="5">
        <v>81.400000000000006</v>
      </c>
      <c r="AU471" s="5">
        <v>100</v>
      </c>
      <c r="AV471" s="5" t="s">
        <v>12400</v>
      </c>
      <c r="AW471" s="5" t="s">
        <v>12400</v>
      </c>
      <c r="AX471" s="5" t="s">
        <v>12400</v>
      </c>
      <c r="AZ471" s="49" t="s">
        <v>12423</v>
      </c>
      <c r="BA471" s="50" t="s">
        <v>12406</v>
      </c>
      <c r="BC471" s="51">
        <v>0.39806000000000002</v>
      </c>
    </row>
    <row r="472" spans="1:55" ht="15" customHeight="1" x14ac:dyDescent="0.4">
      <c r="A472" s="27" t="s">
        <v>11375</v>
      </c>
      <c r="B472" s="44" t="s">
        <v>12328</v>
      </c>
      <c r="C472" s="45" t="s">
        <v>11882</v>
      </c>
      <c r="D472" s="46">
        <v>1.2</v>
      </c>
      <c r="E472" s="45" t="s">
        <v>12357</v>
      </c>
      <c r="F472" s="45"/>
      <c r="G472" s="9">
        <v>4.9864699999999997</v>
      </c>
      <c r="H472" s="9">
        <v>18.37266</v>
      </c>
      <c r="I472" s="9">
        <v>48.430199999999999</v>
      </c>
      <c r="J472" s="9">
        <v>42.751980000000003</v>
      </c>
      <c r="K472" s="9">
        <v>42.751980000000003</v>
      </c>
      <c r="L472" s="9">
        <v>10.966760000000001</v>
      </c>
      <c r="M472" s="9">
        <v>-6.3838200000000001</v>
      </c>
      <c r="N472" s="10" t="s">
        <v>12468</v>
      </c>
      <c r="P472" s="32">
        <v>45310</v>
      </c>
      <c r="R472" s="35">
        <v>43.312660000000001</v>
      </c>
      <c r="S472" s="34">
        <v>45309</v>
      </c>
      <c r="T472" s="35">
        <v>46.99044</v>
      </c>
      <c r="U472" s="34">
        <v>45308</v>
      </c>
      <c r="V472" s="35">
        <v>47.226140000000001</v>
      </c>
      <c r="W472" s="34">
        <v>45307</v>
      </c>
      <c r="X472" s="35">
        <v>48.529409999999999</v>
      </c>
      <c r="Y472" s="34">
        <v>45306</v>
      </c>
      <c r="Z472" s="35">
        <v>48.943390000000001</v>
      </c>
      <c r="AA472" s="34">
        <v>45311</v>
      </c>
      <c r="AB472" s="35">
        <v>43.312660000000001</v>
      </c>
      <c r="AC472" s="34">
        <v>45312</v>
      </c>
      <c r="AD472" s="35">
        <v>43.312660000000001</v>
      </c>
      <c r="AE472" s="34">
        <v>45313</v>
      </c>
      <c r="AF472" s="35">
        <v>45.41</v>
      </c>
      <c r="AG472" s="34">
        <v>45314</v>
      </c>
      <c r="AH472" s="35">
        <v>44.100119999999997</v>
      </c>
      <c r="AI472" s="36">
        <v>-7.8266558048828649E-2</v>
      </c>
      <c r="AK472" s="34">
        <v>45303</v>
      </c>
      <c r="AL472" s="35">
        <v>49.681950000000001</v>
      </c>
      <c r="AM472" s="34">
        <v>45317</v>
      </c>
      <c r="AN472" s="5">
        <v>44.274230000000003</v>
      </c>
      <c r="AP472" s="36">
        <v>-0.10884677433152279</v>
      </c>
      <c r="AS472" s="5" t="s">
        <v>12387</v>
      </c>
      <c r="AT472" s="5" t="s">
        <v>12400</v>
      </c>
      <c r="AU472" s="5" t="s">
        <v>12400</v>
      </c>
      <c r="AV472" s="5" t="s">
        <v>12400</v>
      </c>
      <c r="AW472" s="5" t="s">
        <v>12400</v>
      </c>
      <c r="AX472" s="5" t="s">
        <v>12400</v>
      </c>
      <c r="AZ472" s="49" t="s">
        <v>12411</v>
      </c>
      <c r="BA472" s="50" t="s">
        <v>12411</v>
      </c>
      <c r="BC472" s="51">
        <v>0.62187999999999999</v>
      </c>
    </row>
    <row r="473" spans="1:55" ht="15" customHeight="1" x14ac:dyDescent="0.4">
      <c r="A473" s="27" t="s">
        <v>11376</v>
      </c>
      <c r="B473" s="44" t="s">
        <v>12329</v>
      </c>
      <c r="C473" s="45" t="s">
        <v>11883</v>
      </c>
      <c r="D473" s="46">
        <v>19.88</v>
      </c>
      <c r="E473" s="45" t="s">
        <v>12357</v>
      </c>
      <c r="F473" s="45"/>
      <c r="G473" s="9">
        <v>17.049969999999998</v>
      </c>
      <c r="H473" s="9">
        <v>0</v>
      </c>
      <c r="I473" s="9">
        <v>0</v>
      </c>
      <c r="J473" s="9">
        <v>2.03125</v>
      </c>
      <c r="K473" s="9">
        <v>2.03125</v>
      </c>
      <c r="L473" s="9">
        <v>6.0000000000000002E-5</v>
      </c>
      <c r="M473" s="9">
        <v>-6.0000000000000002E-5</v>
      </c>
      <c r="N473" s="10" t="s">
        <v>12466</v>
      </c>
      <c r="P473" s="32">
        <v>45309</v>
      </c>
      <c r="R473" s="35">
        <v>2.963E-2</v>
      </c>
      <c r="S473" s="34">
        <v>45308</v>
      </c>
      <c r="T473" s="35">
        <v>3.3279999999999997E-2</v>
      </c>
      <c r="U473" s="34">
        <v>45307</v>
      </c>
      <c r="V473" s="35">
        <v>3.3410000000000002E-2</v>
      </c>
      <c r="W473" s="34">
        <v>45306</v>
      </c>
      <c r="X473" s="35">
        <v>3.347E-2</v>
      </c>
      <c r="Y473" s="34">
        <v>45305</v>
      </c>
      <c r="Z473" s="35">
        <v>3.3640000000000003E-2</v>
      </c>
      <c r="AA473" s="34">
        <v>45310</v>
      </c>
      <c r="AB473" s="35">
        <v>2.971E-2</v>
      </c>
      <c r="AC473" s="34">
        <v>45311</v>
      </c>
      <c r="AD473" s="35">
        <v>2.971E-2</v>
      </c>
      <c r="AE473" s="34">
        <v>45312</v>
      </c>
      <c r="AF473" s="35">
        <v>2.971E-2</v>
      </c>
      <c r="AG473" s="34">
        <v>45313</v>
      </c>
      <c r="AH473" s="35">
        <v>3.3450000000000001E-2</v>
      </c>
      <c r="AI473" s="36">
        <v>-0.10727163461538458</v>
      </c>
      <c r="AK473" s="34">
        <v>45302</v>
      </c>
      <c r="AL473" s="35">
        <v>3.3480000000000003E-2</v>
      </c>
      <c r="AM473" s="34">
        <v>45316</v>
      </c>
      <c r="AN473" s="5">
        <v>3.3329999999999999E-2</v>
      </c>
      <c r="AP473" s="36">
        <v>-4.4802867383514355E-3</v>
      </c>
      <c r="AS473" s="5" t="s">
        <v>12387</v>
      </c>
      <c r="AT473" s="5">
        <v>15.65</v>
      </c>
      <c r="AU473" s="5">
        <v>100</v>
      </c>
      <c r="AV473" s="5" t="s">
        <v>12400</v>
      </c>
      <c r="AW473" s="5" t="s">
        <v>12400</v>
      </c>
      <c r="AX473" s="5" t="s">
        <v>12400</v>
      </c>
      <c r="AZ473" s="49" t="s">
        <v>12411</v>
      </c>
      <c r="BA473" s="50" t="s">
        <v>12411</v>
      </c>
      <c r="BC473" s="51">
        <v>2.2627899999999999</v>
      </c>
    </row>
    <row r="474" spans="1:55" ht="15" customHeight="1" x14ac:dyDescent="0.4">
      <c r="A474" s="27" t="s">
        <v>11377</v>
      </c>
      <c r="B474" s="44" t="s">
        <v>12330</v>
      </c>
      <c r="C474" s="45" t="s">
        <v>11884</v>
      </c>
      <c r="D474" s="46">
        <v>10</v>
      </c>
      <c r="E474" s="45" t="s">
        <v>12357</v>
      </c>
      <c r="F474" s="45"/>
      <c r="G474" s="9">
        <v>6.6882099999999998</v>
      </c>
      <c r="H474" s="9">
        <v>3.12921</v>
      </c>
      <c r="I474" s="9">
        <v>0.57320000000000004</v>
      </c>
      <c r="J474" s="9">
        <v>733.81010000000003</v>
      </c>
      <c r="K474" s="9">
        <v>733.81010000000003</v>
      </c>
      <c r="L474" s="9">
        <v>106.83984</v>
      </c>
      <c r="M474" s="9">
        <v>96.02852</v>
      </c>
      <c r="N474" s="10" t="s">
        <v>12473</v>
      </c>
      <c r="P474" s="32">
        <v>45309</v>
      </c>
      <c r="R474" s="35">
        <v>178.61798999999999</v>
      </c>
      <c r="S474" s="34">
        <v>45308</v>
      </c>
      <c r="T474" s="35">
        <v>175.87666999999999</v>
      </c>
      <c r="U474" s="34">
        <v>45307</v>
      </c>
      <c r="V474" s="35">
        <v>175.81699</v>
      </c>
      <c r="W474" s="34">
        <v>45306</v>
      </c>
      <c r="X474" s="35">
        <v>174.09395000000001</v>
      </c>
      <c r="Y474" s="34">
        <v>45305</v>
      </c>
      <c r="Z474" s="35">
        <v>178.98661999999999</v>
      </c>
      <c r="AA474" s="34">
        <v>45310</v>
      </c>
      <c r="AB474" s="35">
        <v>180.86842999999999</v>
      </c>
      <c r="AC474" s="34">
        <v>45311</v>
      </c>
      <c r="AD474" s="35">
        <v>180.86842999999999</v>
      </c>
      <c r="AE474" s="34">
        <v>45312</v>
      </c>
      <c r="AF474" s="35">
        <v>180.86842999999999</v>
      </c>
      <c r="AG474" s="34">
        <v>45313</v>
      </c>
      <c r="AH474" s="35">
        <v>193.50975</v>
      </c>
      <c r="AI474" s="36">
        <v>2.8382161204212109E-2</v>
      </c>
      <c r="AK474" s="34">
        <v>45302</v>
      </c>
      <c r="AL474" s="35">
        <v>173.41800000000001</v>
      </c>
      <c r="AM474" s="34">
        <v>45316</v>
      </c>
      <c r="AN474" s="5">
        <v>202.77447000000001</v>
      </c>
      <c r="AP474" s="36">
        <v>0.16928156246756387</v>
      </c>
      <c r="AS474" s="5" t="s">
        <v>12387</v>
      </c>
      <c r="AT474" s="5">
        <v>10</v>
      </c>
      <c r="AU474" s="5">
        <v>100</v>
      </c>
      <c r="AV474" s="5" t="s">
        <v>12400</v>
      </c>
      <c r="AW474" s="5" t="s">
        <v>12400</v>
      </c>
      <c r="AX474" s="5" t="s">
        <v>12400</v>
      </c>
      <c r="AZ474" s="49" t="s">
        <v>12406</v>
      </c>
      <c r="BA474" s="50" t="s">
        <v>12406</v>
      </c>
      <c r="BC474" s="51">
        <v>2.5259900000000002</v>
      </c>
    </row>
    <row r="475" spans="1:55" ht="15" customHeight="1" x14ac:dyDescent="0.4">
      <c r="A475" s="27" t="s">
        <v>11378</v>
      </c>
      <c r="B475" s="44" t="s">
        <v>12331</v>
      </c>
      <c r="C475" s="45" t="s">
        <v>11885</v>
      </c>
      <c r="D475" s="46">
        <v>296.10000000000002</v>
      </c>
      <c r="E475" s="45" t="s">
        <v>12359</v>
      </c>
      <c r="F475" s="45"/>
      <c r="G475" s="9">
        <v>7.6480699999999997</v>
      </c>
      <c r="H475" s="9">
        <v>0.11468</v>
      </c>
      <c r="I475" s="9">
        <v>2.1156000000000001</v>
      </c>
      <c r="J475" s="9">
        <v>1.1927099999999999</v>
      </c>
      <c r="K475" s="9">
        <v>1.1927099999999999</v>
      </c>
      <c r="L475" s="9">
        <v>0.19048999999999999</v>
      </c>
      <c r="M475" s="9">
        <v>-8.3919999999999995E-2</v>
      </c>
      <c r="N475" s="10" t="s">
        <v>12468</v>
      </c>
      <c r="P475" s="32">
        <v>45309</v>
      </c>
      <c r="R475" s="35">
        <v>2.1000000000000001E-2</v>
      </c>
      <c r="S475" s="34">
        <v>45308</v>
      </c>
      <c r="T475" s="35">
        <v>2.1000000000000001E-2</v>
      </c>
      <c r="U475" s="34">
        <v>45307</v>
      </c>
      <c r="V475" s="35">
        <v>2.1000000000000001E-2</v>
      </c>
      <c r="W475" s="34">
        <v>45306</v>
      </c>
      <c r="X475" s="35">
        <v>2.1000000000000001E-2</v>
      </c>
      <c r="Y475" s="34">
        <v>45305</v>
      </c>
      <c r="Z475" s="35">
        <v>2.1000000000000001E-2</v>
      </c>
      <c r="AA475" s="34">
        <v>45310</v>
      </c>
      <c r="AB475" s="35">
        <v>2.1000000000000001E-2</v>
      </c>
      <c r="AC475" s="34">
        <v>45311</v>
      </c>
      <c r="AD475" s="35">
        <v>2.1000000000000001E-2</v>
      </c>
      <c r="AE475" s="34">
        <v>45312</v>
      </c>
      <c r="AF475" s="35">
        <v>2.1000000000000001E-2</v>
      </c>
      <c r="AG475" s="34">
        <v>45313</v>
      </c>
      <c r="AH475" s="35">
        <v>2.1000000000000001E-2</v>
      </c>
      <c r="AI475" s="36">
        <v>0</v>
      </c>
      <c r="AK475" s="34">
        <v>45302</v>
      </c>
      <c r="AL475" s="35">
        <v>2.1000000000000001E-2</v>
      </c>
      <c r="AM475" s="34">
        <v>45316</v>
      </c>
      <c r="AN475" s="5">
        <v>2.1000000000000001E-2</v>
      </c>
      <c r="AP475" s="36">
        <v>0</v>
      </c>
      <c r="AS475" s="5" t="s">
        <v>12387</v>
      </c>
      <c r="AT475" s="5">
        <v>139.94999999999999</v>
      </c>
      <c r="AU475" s="5">
        <v>100</v>
      </c>
      <c r="AV475" s="5" t="s">
        <v>12400</v>
      </c>
      <c r="AW475" s="5" t="s">
        <v>12400</v>
      </c>
      <c r="AX475" s="5" t="s">
        <v>12400</v>
      </c>
      <c r="AZ475" s="49" t="s">
        <v>12404</v>
      </c>
      <c r="BA475" s="50" t="s">
        <v>12406</v>
      </c>
      <c r="BC475" s="51">
        <v>-1.32094</v>
      </c>
    </row>
    <row r="476" spans="1:55" ht="15" customHeight="1" x14ac:dyDescent="0.4">
      <c r="A476" s="27" t="s">
        <v>11379</v>
      </c>
      <c r="B476" s="44" t="s">
        <v>12332</v>
      </c>
      <c r="C476" s="45" t="s">
        <v>11886</v>
      </c>
      <c r="D476" s="46">
        <v>217.3</v>
      </c>
      <c r="E476" s="45" t="s">
        <v>12360</v>
      </c>
      <c r="F476" s="45"/>
      <c r="G476" s="9">
        <v>0</v>
      </c>
      <c r="H476" s="9" t="s">
        <v>11415</v>
      </c>
      <c r="I476" s="9" t="s">
        <v>11415</v>
      </c>
      <c r="J476" s="9">
        <v>2196.60943</v>
      </c>
      <c r="K476" s="9">
        <v>2196.60943</v>
      </c>
      <c r="L476" s="9">
        <v>155.94074000000001</v>
      </c>
      <c r="M476" s="9">
        <v>-4.9284600000000003</v>
      </c>
      <c r="N476" s="10" t="s">
        <v>12473</v>
      </c>
      <c r="P476" s="32">
        <v>45309</v>
      </c>
      <c r="R476" s="35">
        <v>0</v>
      </c>
      <c r="S476" s="34">
        <v>45308</v>
      </c>
      <c r="T476" s="35">
        <v>0</v>
      </c>
      <c r="U476" s="34">
        <v>45307</v>
      </c>
      <c r="V476" s="35">
        <v>0</v>
      </c>
      <c r="W476" s="34">
        <v>45306</v>
      </c>
      <c r="X476" s="35">
        <v>0</v>
      </c>
      <c r="Y476" s="34">
        <v>45305</v>
      </c>
      <c r="Z476" s="35">
        <v>0</v>
      </c>
      <c r="AA476" s="34">
        <v>45310</v>
      </c>
      <c r="AB476" s="35">
        <v>0</v>
      </c>
      <c r="AC476" s="34">
        <v>45311</v>
      </c>
      <c r="AD476" s="35">
        <v>0</v>
      </c>
      <c r="AE476" s="34">
        <v>45312</v>
      </c>
      <c r="AF476" s="35">
        <v>0</v>
      </c>
      <c r="AG476" s="34">
        <v>45313</v>
      </c>
      <c r="AH476" s="35">
        <v>0</v>
      </c>
      <c r="AI476" s="36" t="s">
        <v>318</v>
      </c>
      <c r="AK476" s="34">
        <v>45302</v>
      </c>
      <c r="AL476" s="35">
        <v>0</v>
      </c>
      <c r="AM476" s="34">
        <v>45316</v>
      </c>
      <c r="AN476" s="5">
        <v>0</v>
      </c>
      <c r="AP476" s="36" t="s">
        <v>318</v>
      </c>
      <c r="AS476" s="5" t="s">
        <v>12387</v>
      </c>
      <c r="AT476" s="5">
        <v>217.3</v>
      </c>
      <c r="AU476" s="5">
        <v>100</v>
      </c>
      <c r="AV476" s="5" t="s">
        <v>12400</v>
      </c>
      <c r="AW476" s="5" t="s">
        <v>12400</v>
      </c>
      <c r="AX476" s="5" t="s">
        <v>12400</v>
      </c>
      <c r="AZ476" s="49" t="s">
        <v>12406</v>
      </c>
      <c r="BA476" s="50" t="s">
        <v>12406</v>
      </c>
      <c r="BC476" s="51">
        <v>0</v>
      </c>
    </row>
    <row r="477" spans="1:55" ht="15" customHeight="1" x14ac:dyDescent="0.4">
      <c r="A477" s="27" t="s">
        <v>11380</v>
      </c>
      <c r="B477" s="44" t="s">
        <v>12333</v>
      </c>
      <c r="C477" s="45" t="s">
        <v>11887</v>
      </c>
      <c r="D477" s="46">
        <v>179.6</v>
      </c>
      <c r="E477" s="45" t="s">
        <v>12357</v>
      </c>
      <c r="F477" s="45"/>
      <c r="G477" s="9">
        <v>157.9</v>
      </c>
      <c r="H477" s="9">
        <v>212.9</v>
      </c>
      <c r="I477" s="9">
        <v>14.0648</v>
      </c>
      <c r="J477" s="9">
        <v>9010.9</v>
      </c>
      <c r="K477" s="9">
        <v>9010.9</v>
      </c>
      <c r="L477" s="9">
        <v>570.29999999999995</v>
      </c>
      <c r="M477" s="9">
        <v>673.3</v>
      </c>
      <c r="N477" s="10" t="s">
        <v>12467</v>
      </c>
      <c r="P477" s="32">
        <v>45309</v>
      </c>
      <c r="R477" s="35">
        <v>65.63</v>
      </c>
      <c r="S477" s="34">
        <v>45308</v>
      </c>
      <c r="T477" s="35">
        <v>64.959999999999994</v>
      </c>
      <c r="U477" s="34">
        <v>45307</v>
      </c>
      <c r="V477" s="35">
        <v>65.489999999999995</v>
      </c>
      <c r="W477" s="34">
        <v>45306</v>
      </c>
      <c r="X477" s="35">
        <v>65.31</v>
      </c>
      <c r="Y477" s="34">
        <v>45305</v>
      </c>
      <c r="Z477" s="35">
        <v>65.31</v>
      </c>
      <c r="AA477" s="34">
        <v>45310</v>
      </c>
      <c r="AB477" s="35">
        <v>66.260000000000005</v>
      </c>
      <c r="AC477" s="34">
        <v>45311</v>
      </c>
      <c r="AD477" s="35">
        <v>66.260000000000005</v>
      </c>
      <c r="AE477" s="34">
        <v>45312</v>
      </c>
      <c r="AF477" s="35">
        <v>66.260000000000005</v>
      </c>
      <c r="AG477" s="34">
        <v>45313</v>
      </c>
      <c r="AH477" s="35">
        <v>67.819999999999993</v>
      </c>
      <c r="AI477" s="36">
        <v>2.0012315270936165E-2</v>
      </c>
      <c r="AK477" s="34">
        <v>45302</v>
      </c>
      <c r="AL477" s="35">
        <v>64.88</v>
      </c>
      <c r="AM477" s="34">
        <v>45316</v>
      </c>
      <c r="AN477" s="5">
        <v>68.599999999999994</v>
      </c>
      <c r="AP477" s="36">
        <v>5.7336621454993741E-2</v>
      </c>
      <c r="AS477" s="5" t="s">
        <v>12387</v>
      </c>
      <c r="AT477" s="5">
        <v>179.6</v>
      </c>
      <c r="AU477" s="5">
        <v>100</v>
      </c>
      <c r="AV477" s="5" t="s">
        <v>12400</v>
      </c>
      <c r="AW477" s="5" t="s">
        <v>12400</v>
      </c>
      <c r="AX477" s="5" t="s">
        <v>12400</v>
      </c>
      <c r="AZ477" s="49" t="s">
        <v>12403</v>
      </c>
      <c r="BA477" s="50" t="s">
        <v>12414</v>
      </c>
      <c r="BC477" s="51">
        <v>1.1996500000000001</v>
      </c>
    </row>
    <row r="478" spans="1:55" ht="15" customHeight="1" x14ac:dyDescent="0.4">
      <c r="A478" s="27" t="e">
        <v>#VALUE!</v>
      </c>
      <c r="B478" s="44" t="s">
        <v>12334</v>
      </c>
      <c r="C478" s="45" t="s">
        <v>11888</v>
      </c>
      <c r="D478" s="46">
        <v>3.08</v>
      </c>
      <c r="E478" s="45" t="s">
        <v>12359</v>
      </c>
      <c r="F478" s="45"/>
      <c r="G478" s="9" t="s">
        <v>11416</v>
      </c>
      <c r="H478" s="9" t="s">
        <v>11416</v>
      </c>
      <c r="I478" s="9" t="s">
        <v>11416</v>
      </c>
      <c r="J478" s="9" t="s">
        <v>11416</v>
      </c>
      <c r="K478" s="9" t="s">
        <v>11416</v>
      </c>
      <c r="L478" s="9" t="s">
        <v>11416</v>
      </c>
      <c r="M478" s="9" t="s">
        <v>11416</v>
      </c>
      <c r="N478" s="10" t="s">
        <v>11416</v>
      </c>
      <c r="P478" s="32">
        <v>45309</v>
      </c>
      <c r="R478" s="35" t="s">
        <v>11416</v>
      </c>
      <c r="S478" s="34">
        <v>45308</v>
      </c>
      <c r="T478" s="35" t="s">
        <v>11416</v>
      </c>
      <c r="U478" s="34">
        <v>45307</v>
      </c>
      <c r="V478" s="35" t="s">
        <v>11416</v>
      </c>
      <c r="W478" s="34">
        <v>45306</v>
      </c>
      <c r="X478" s="35" t="s">
        <v>11416</v>
      </c>
      <c r="Y478" s="34">
        <v>45305</v>
      </c>
      <c r="Z478" s="35" t="s">
        <v>11416</v>
      </c>
      <c r="AA478" s="34">
        <v>45310</v>
      </c>
      <c r="AB478" s="35" t="s">
        <v>11416</v>
      </c>
      <c r="AC478" s="34">
        <v>45311</v>
      </c>
      <c r="AD478" s="35" t="s">
        <v>11416</v>
      </c>
      <c r="AE478" s="34">
        <v>45312</v>
      </c>
      <c r="AF478" s="35" t="s">
        <v>11416</v>
      </c>
      <c r="AG478" s="34">
        <v>45313</v>
      </c>
      <c r="AH478" s="35" t="s">
        <v>11416</v>
      </c>
      <c r="AI478" s="36" t="s">
        <v>318</v>
      </c>
      <c r="AK478" s="34">
        <v>45302</v>
      </c>
      <c r="AL478" s="35" t="s">
        <v>11416</v>
      </c>
      <c r="AM478" s="34">
        <v>45316</v>
      </c>
      <c r="AN478" s="5" t="s">
        <v>11416</v>
      </c>
      <c r="AP478" s="36" t="s">
        <v>318</v>
      </c>
      <c r="AS478" s="5" t="s">
        <v>12387</v>
      </c>
      <c r="AT478" s="5">
        <v>3.08</v>
      </c>
      <c r="AU478" s="5">
        <v>100</v>
      </c>
      <c r="AV478" s="5" t="s">
        <v>12400</v>
      </c>
      <c r="AW478" s="5" t="s">
        <v>12400</v>
      </c>
      <c r="AX478" s="5" t="s">
        <v>12400</v>
      </c>
      <c r="AZ478" s="49" t="s">
        <v>12433</v>
      </c>
      <c r="BA478" s="50" t="s">
        <v>12409</v>
      </c>
      <c r="BC478" s="51" t="s">
        <v>11416</v>
      </c>
    </row>
    <row r="479" spans="1:55" ht="15" customHeight="1" x14ac:dyDescent="0.4">
      <c r="A479" s="27" t="s">
        <v>11381</v>
      </c>
      <c r="B479" s="44" t="s">
        <v>12335</v>
      </c>
      <c r="C479" s="45" t="s">
        <v>11889</v>
      </c>
      <c r="D479" s="46">
        <v>37.46</v>
      </c>
      <c r="E479" s="45" t="s">
        <v>12358</v>
      </c>
      <c r="F479" s="45"/>
      <c r="G479" s="9">
        <v>2598.6541499999998</v>
      </c>
      <c r="H479" s="9">
        <v>38.957419999999999</v>
      </c>
      <c r="I479" s="9">
        <v>21.167200000000001</v>
      </c>
      <c r="J479" s="9">
        <v>248.08369999999999</v>
      </c>
      <c r="K479" s="9">
        <v>248.08369999999999</v>
      </c>
      <c r="L479" s="9">
        <v>13.28928</v>
      </c>
      <c r="M479" s="9">
        <v>64.023499999999999</v>
      </c>
      <c r="N479" s="10" t="s">
        <v>12470</v>
      </c>
      <c r="P479" s="32">
        <v>45309</v>
      </c>
      <c r="R479" s="35">
        <v>6.9470000000000004E-2</v>
      </c>
      <c r="S479" s="34">
        <v>45308</v>
      </c>
      <c r="T479" s="35">
        <v>6.9839999999999999E-2</v>
      </c>
      <c r="U479" s="34">
        <v>45307</v>
      </c>
      <c r="V479" s="35">
        <v>7.034E-2</v>
      </c>
      <c r="W479" s="34">
        <v>45306</v>
      </c>
      <c r="X479" s="35">
        <v>7.0919999999999997E-2</v>
      </c>
      <c r="Y479" s="34">
        <v>45305</v>
      </c>
      <c r="Z479" s="35">
        <v>7.1069999999999994E-2</v>
      </c>
      <c r="AA479" s="34">
        <v>45310</v>
      </c>
      <c r="AB479" s="35">
        <v>7.1290000000000006E-2</v>
      </c>
      <c r="AC479" s="34">
        <v>45311</v>
      </c>
      <c r="AD479" s="35">
        <v>7.1290000000000006E-2</v>
      </c>
      <c r="AE479" s="34">
        <v>45312</v>
      </c>
      <c r="AF479" s="35">
        <v>7.1290000000000006E-2</v>
      </c>
      <c r="AG479" s="34">
        <v>45313</v>
      </c>
      <c r="AH479" s="35">
        <v>7.3230000000000003E-2</v>
      </c>
      <c r="AI479" s="36">
        <v>2.0761741122566013E-2</v>
      </c>
      <c r="AK479" s="34">
        <v>45302</v>
      </c>
      <c r="AL479" s="35">
        <v>7.1730000000000002E-2</v>
      </c>
      <c r="AM479" s="34">
        <v>45316</v>
      </c>
      <c r="AN479" s="5">
        <v>7.9439999999999997E-2</v>
      </c>
      <c r="AP479" s="36">
        <v>0.10748640736093673</v>
      </c>
      <c r="AS479" s="5" t="s">
        <v>12387</v>
      </c>
      <c r="AT479" s="5" t="s">
        <v>12400</v>
      </c>
      <c r="AU479" s="5" t="s">
        <v>12400</v>
      </c>
      <c r="AV479" s="5" t="s">
        <v>12400</v>
      </c>
      <c r="AW479" s="5" t="s">
        <v>12400</v>
      </c>
      <c r="AX479" s="5" t="s">
        <v>12400</v>
      </c>
      <c r="AZ479" s="49" t="s">
        <v>12454</v>
      </c>
      <c r="BA479" s="50" t="s">
        <v>12454</v>
      </c>
      <c r="BC479" s="51">
        <v>-0.17044999999999999</v>
      </c>
    </row>
    <row r="480" spans="1:55" ht="15" customHeight="1" x14ac:dyDescent="0.4">
      <c r="A480" s="27" t="s">
        <v>11365</v>
      </c>
      <c r="B480" s="44" t="s">
        <v>12318</v>
      </c>
      <c r="C480" s="45" t="s">
        <v>11890</v>
      </c>
      <c r="D480" s="46">
        <v>9.4499999999999993</v>
      </c>
      <c r="E480" s="45" t="s">
        <v>12357</v>
      </c>
      <c r="F480" s="45"/>
      <c r="G480" s="9">
        <v>41.858739999999997</v>
      </c>
      <c r="H480" s="9">
        <v>37.100679999999997</v>
      </c>
      <c r="I480" s="9">
        <v>36.988</v>
      </c>
      <c r="J480" s="9">
        <v>98.810310000000001</v>
      </c>
      <c r="K480" s="9">
        <v>98.810310000000001</v>
      </c>
      <c r="L480" s="9">
        <v>25.43308</v>
      </c>
      <c r="M480" s="9">
        <v>-5.8210600000000001</v>
      </c>
      <c r="N480" s="10" t="s">
        <v>12467</v>
      </c>
      <c r="P480" s="32">
        <v>45308</v>
      </c>
      <c r="R480" s="35">
        <v>7.9162999999999997</v>
      </c>
      <c r="S480" s="34">
        <v>45307</v>
      </c>
      <c r="T480" s="35">
        <v>7.9181100000000004</v>
      </c>
      <c r="U480" s="34">
        <v>45306</v>
      </c>
      <c r="V480" s="35">
        <v>7.9606700000000004</v>
      </c>
      <c r="W480" s="34">
        <v>45305</v>
      </c>
      <c r="X480" s="35">
        <v>7.9759099999999998</v>
      </c>
      <c r="Y480" s="34">
        <v>45304</v>
      </c>
      <c r="Z480" s="35">
        <v>7.9759099999999998</v>
      </c>
      <c r="AA480" s="34">
        <v>45309</v>
      </c>
      <c r="AB480" s="35">
        <v>7.9301599999999999</v>
      </c>
      <c r="AC480" s="34">
        <v>45310</v>
      </c>
      <c r="AD480" s="35">
        <v>7.8872299999999997</v>
      </c>
      <c r="AE480" s="34">
        <v>45311</v>
      </c>
      <c r="AF480" s="35">
        <v>7.8872299999999997</v>
      </c>
      <c r="AG480" s="34">
        <v>45312</v>
      </c>
      <c r="AH480" s="35">
        <v>7.8872299999999997</v>
      </c>
      <c r="AI480" s="36">
        <v>1.5218278099191629E-3</v>
      </c>
      <c r="AK480" s="34">
        <v>45301</v>
      </c>
      <c r="AL480" s="35">
        <v>8.0160800000000005</v>
      </c>
      <c r="AM480" s="34">
        <v>45315</v>
      </c>
      <c r="AN480" s="5">
        <v>8.0302900000000008</v>
      </c>
      <c r="AP480" s="36">
        <v>1.7726868993324096E-3</v>
      </c>
      <c r="AS480" s="5" t="s">
        <v>12387</v>
      </c>
      <c r="AT480" s="5">
        <v>9.4499999999999993</v>
      </c>
      <c r="AU480" s="5">
        <v>100</v>
      </c>
      <c r="AV480" s="5" t="s">
        <v>12400</v>
      </c>
      <c r="AW480" s="5" t="s">
        <v>12400</v>
      </c>
      <c r="AX480" s="5" t="s">
        <v>12400</v>
      </c>
      <c r="AZ480" s="49" t="s">
        <v>12410</v>
      </c>
      <c r="BA480" s="50" t="s">
        <v>12410</v>
      </c>
      <c r="BC480" s="51">
        <v>0.23216999999999999</v>
      </c>
    </row>
    <row r="481" spans="1:55" ht="15" customHeight="1" x14ac:dyDescent="0.4">
      <c r="A481" s="27" t="s">
        <v>11382</v>
      </c>
      <c r="B481" s="44" t="s">
        <v>12336</v>
      </c>
      <c r="C481" s="45" t="s">
        <v>11891</v>
      </c>
      <c r="D481" s="46">
        <v>6.33</v>
      </c>
      <c r="E481" s="45" t="s">
        <v>12357</v>
      </c>
      <c r="F481" s="45"/>
      <c r="G481" s="9">
        <v>0</v>
      </c>
      <c r="H481" s="9">
        <v>12.962759999999999</v>
      </c>
      <c r="I481" s="9">
        <v>40.131500000000003</v>
      </c>
      <c r="J481" s="9">
        <v>20.012409999999999</v>
      </c>
      <c r="K481" s="9">
        <v>20.012409999999999</v>
      </c>
      <c r="L481" s="9">
        <v>11.40981</v>
      </c>
      <c r="M481" s="9">
        <v>-11.143269999999999</v>
      </c>
      <c r="N481" s="10" t="s">
        <v>12474</v>
      </c>
      <c r="P481" s="32">
        <v>45308</v>
      </c>
      <c r="R481" s="35">
        <v>0</v>
      </c>
      <c r="S481" s="34">
        <v>45307</v>
      </c>
      <c r="T481" s="35">
        <v>0</v>
      </c>
      <c r="U481" s="34">
        <v>45306</v>
      </c>
      <c r="V481" s="35">
        <v>0</v>
      </c>
      <c r="W481" s="34">
        <v>45305</v>
      </c>
      <c r="X481" s="35">
        <v>0</v>
      </c>
      <c r="Y481" s="34">
        <v>45304</v>
      </c>
      <c r="Z481" s="35">
        <v>0</v>
      </c>
      <c r="AA481" s="34">
        <v>45309</v>
      </c>
      <c r="AB481" s="35">
        <v>0</v>
      </c>
      <c r="AC481" s="34">
        <v>45310</v>
      </c>
      <c r="AD481" s="35">
        <v>0</v>
      </c>
      <c r="AE481" s="34">
        <v>45311</v>
      </c>
      <c r="AF481" s="35">
        <v>0</v>
      </c>
      <c r="AG481" s="34">
        <v>45312</v>
      </c>
      <c r="AH481" s="35">
        <v>0</v>
      </c>
      <c r="AI481" s="36" t="s">
        <v>318</v>
      </c>
      <c r="AK481" s="34">
        <v>45301</v>
      </c>
      <c r="AL481" s="35">
        <v>0</v>
      </c>
      <c r="AM481" s="34">
        <v>45315</v>
      </c>
      <c r="AN481" s="5">
        <v>0</v>
      </c>
      <c r="AP481" s="36" t="s">
        <v>318</v>
      </c>
      <c r="AS481" s="5" t="s">
        <v>12387</v>
      </c>
      <c r="AT481" s="5">
        <v>6.33</v>
      </c>
      <c r="AU481" s="5">
        <v>100</v>
      </c>
      <c r="AV481" s="5" t="s">
        <v>12400</v>
      </c>
      <c r="AW481" s="5" t="s">
        <v>12400</v>
      </c>
      <c r="AX481" s="5" t="s">
        <v>12400</v>
      </c>
      <c r="AZ481" s="49" t="s">
        <v>12455</v>
      </c>
      <c r="BA481" s="50" t="s">
        <v>12415</v>
      </c>
      <c r="BC481" s="51">
        <v>0</v>
      </c>
    </row>
    <row r="482" spans="1:55" ht="15" customHeight="1" x14ac:dyDescent="0.4">
      <c r="A482" s="27" t="s">
        <v>11383</v>
      </c>
      <c r="B482" s="44" t="s">
        <v>12337</v>
      </c>
      <c r="C482" s="45" t="s">
        <v>11892</v>
      </c>
      <c r="D482" s="46">
        <v>131</v>
      </c>
      <c r="E482" s="45" t="s">
        <v>12357</v>
      </c>
      <c r="F482" s="45"/>
      <c r="G482" s="9">
        <v>426.93448000000001</v>
      </c>
      <c r="H482" s="9">
        <v>108.288</v>
      </c>
      <c r="I482" s="9">
        <v>13.7826</v>
      </c>
      <c r="J482" s="9">
        <v>1385.682</v>
      </c>
      <c r="K482" s="9">
        <v>1385.682</v>
      </c>
      <c r="L482" s="9">
        <v>72.653000000000006</v>
      </c>
      <c r="M482" s="9">
        <v>395.08</v>
      </c>
      <c r="N482" s="10" t="s">
        <v>12465</v>
      </c>
      <c r="P482" s="32">
        <v>45307</v>
      </c>
      <c r="R482" s="35">
        <v>4.1608700000000001</v>
      </c>
      <c r="S482" s="34">
        <v>45306</v>
      </c>
      <c r="T482" s="35">
        <v>4.1706700000000003</v>
      </c>
      <c r="U482" s="34">
        <v>45305</v>
      </c>
      <c r="V482" s="35">
        <v>4.1715200000000001</v>
      </c>
      <c r="W482" s="34">
        <v>45304</v>
      </c>
      <c r="X482" s="35">
        <v>4.1715200000000001</v>
      </c>
      <c r="Y482" s="34">
        <v>45303</v>
      </c>
      <c r="Z482" s="35">
        <v>4.1715200000000001</v>
      </c>
      <c r="AA482" s="34">
        <v>45308</v>
      </c>
      <c r="AB482" s="35">
        <v>4.1616600000000004</v>
      </c>
      <c r="AC482" s="34">
        <v>45309</v>
      </c>
      <c r="AD482" s="35">
        <v>4.2052899999999998</v>
      </c>
      <c r="AE482" s="34">
        <v>45310</v>
      </c>
      <c r="AF482" s="35">
        <v>4.28423</v>
      </c>
      <c r="AG482" s="34">
        <v>45311</v>
      </c>
      <c r="AH482" s="35">
        <v>4.28423</v>
      </c>
      <c r="AI482" s="36">
        <v>-2.1603243603545152E-3</v>
      </c>
      <c r="AK482" s="34">
        <v>45300</v>
      </c>
      <c r="AL482" s="35">
        <v>4.23407</v>
      </c>
      <c r="AM482" s="34">
        <v>45314</v>
      </c>
      <c r="AN482" s="5">
        <v>4.3500399999999999</v>
      </c>
      <c r="AP482" s="36">
        <v>2.7389721946023515E-2</v>
      </c>
      <c r="AS482" s="5" t="s">
        <v>12388</v>
      </c>
      <c r="AT482" s="5">
        <v>65.36</v>
      </c>
      <c r="AU482" s="5">
        <v>70.37</v>
      </c>
      <c r="AV482" s="5" t="s">
        <v>12400</v>
      </c>
      <c r="AW482" s="5" t="s">
        <v>12400</v>
      </c>
      <c r="AX482" s="5">
        <v>29.63</v>
      </c>
      <c r="AZ482" s="49" t="s">
        <v>12454</v>
      </c>
      <c r="BA482" s="50" t="s">
        <v>12406</v>
      </c>
      <c r="BC482" s="51">
        <v>0.52637999999999996</v>
      </c>
    </row>
    <row r="483" spans="1:55" ht="15" customHeight="1" x14ac:dyDescent="0.4">
      <c r="A483" s="27" t="s">
        <v>11384</v>
      </c>
      <c r="B483" s="44" t="s">
        <v>12338</v>
      </c>
      <c r="C483" s="45" t="s">
        <v>11893</v>
      </c>
      <c r="D483" s="46">
        <v>2.72</v>
      </c>
      <c r="E483" s="45" t="s">
        <v>12357</v>
      </c>
      <c r="F483" s="45"/>
      <c r="G483" s="9">
        <v>5.23027</v>
      </c>
      <c r="H483" s="9">
        <v>30.900459999999999</v>
      </c>
      <c r="I483" s="9">
        <v>79.247699999999995</v>
      </c>
      <c r="J483" s="9">
        <v>185.16592</v>
      </c>
      <c r="K483" s="9">
        <v>185.16592</v>
      </c>
      <c r="L483" s="9">
        <v>44.375259999999997</v>
      </c>
      <c r="M483" s="9">
        <v>25.045549999999999</v>
      </c>
      <c r="N483" s="10" t="s">
        <v>12469</v>
      </c>
      <c r="P483" s="32">
        <v>45307</v>
      </c>
      <c r="R483" s="35">
        <v>56.10022</v>
      </c>
      <c r="S483" s="34">
        <v>45306</v>
      </c>
      <c r="T483" s="35">
        <v>57.812330000000003</v>
      </c>
      <c r="U483" s="34">
        <v>45305</v>
      </c>
      <c r="V483" s="35">
        <v>57.030050000000003</v>
      </c>
      <c r="W483" s="34">
        <v>45304</v>
      </c>
      <c r="X483" s="35">
        <v>57.030050000000003</v>
      </c>
      <c r="Y483" s="34">
        <v>45303</v>
      </c>
      <c r="Z483" s="35">
        <v>57.030050000000003</v>
      </c>
      <c r="AA483" s="34">
        <v>45308</v>
      </c>
      <c r="AB483" s="35">
        <v>53.794379999999997</v>
      </c>
      <c r="AC483" s="34">
        <v>45309</v>
      </c>
      <c r="AD483" s="35">
        <v>53.78096</v>
      </c>
      <c r="AE483" s="34">
        <v>45310</v>
      </c>
      <c r="AF483" s="35">
        <v>52.073129999999999</v>
      </c>
      <c r="AG483" s="34">
        <v>45311</v>
      </c>
      <c r="AH483" s="35">
        <v>52.073129999999999</v>
      </c>
      <c r="AI483" s="36">
        <v>-6.9499880042890649E-2</v>
      </c>
      <c r="AK483" s="34">
        <v>45300</v>
      </c>
      <c r="AL483" s="35">
        <v>54.742130000000003</v>
      </c>
      <c r="AM483" s="34">
        <v>45314</v>
      </c>
      <c r="AN483" s="5">
        <v>50.384659999999997</v>
      </c>
      <c r="AP483" s="36">
        <v>-7.9599935187030679E-2</v>
      </c>
      <c r="AS483" s="5" t="s">
        <v>12387</v>
      </c>
      <c r="AT483" s="5">
        <v>2.72</v>
      </c>
      <c r="AU483" s="5">
        <v>100</v>
      </c>
      <c r="AV483" s="5" t="s">
        <v>12400</v>
      </c>
      <c r="AW483" s="5" t="s">
        <v>12400</v>
      </c>
      <c r="AX483" s="5" t="s">
        <v>12400</v>
      </c>
      <c r="AZ483" s="49" t="s">
        <v>12410</v>
      </c>
      <c r="BA483" s="50" t="s">
        <v>12408</v>
      </c>
      <c r="BC483" s="51">
        <v>0.56479999999999997</v>
      </c>
    </row>
    <row r="484" spans="1:55" ht="15" customHeight="1" x14ac:dyDescent="0.4">
      <c r="A484" s="27" t="s">
        <v>11385</v>
      </c>
      <c r="B484" s="44" t="s">
        <v>12339</v>
      </c>
      <c r="C484" s="45" t="s">
        <v>11894</v>
      </c>
      <c r="D484" s="46">
        <v>18.079999999999998</v>
      </c>
      <c r="E484" s="45" t="s">
        <v>12357</v>
      </c>
      <c r="F484" s="45"/>
      <c r="G484" s="9">
        <v>160.52260000000001</v>
      </c>
      <c r="H484" s="9">
        <v>824.25112999999999</v>
      </c>
      <c r="I484" s="9">
        <v>34.198500000000003</v>
      </c>
      <c r="J484" s="9">
        <v>3453.7415700000001</v>
      </c>
      <c r="K484" s="9">
        <v>3453.7415700000001</v>
      </c>
      <c r="L484" s="9">
        <v>70.078479999999999</v>
      </c>
      <c r="M484" s="9">
        <v>1441.4723100000001</v>
      </c>
      <c r="N484" s="10" t="s">
        <v>12470</v>
      </c>
      <c r="P484" s="32">
        <v>45307</v>
      </c>
      <c r="R484" s="35">
        <v>47.788670000000003</v>
      </c>
      <c r="S484" s="34">
        <v>45306</v>
      </c>
      <c r="T484" s="35">
        <v>47.421439999999997</v>
      </c>
      <c r="U484" s="34">
        <v>45305</v>
      </c>
      <c r="V484" s="35">
        <v>47.323970000000003</v>
      </c>
      <c r="W484" s="34">
        <v>45304</v>
      </c>
      <c r="X484" s="35">
        <v>47.323970000000003</v>
      </c>
      <c r="Y484" s="34">
        <v>45303</v>
      </c>
      <c r="Z484" s="35">
        <v>47.323970000000003</v>
      </c>
      <c r="AA484" s="34">
        <v>45308</v>
      </c>
      <c r="AB484" s="35">
        <v>47.32385</v>
      </c>
      <c r="AC484" s="34">
        <v>45309</v>
      </c>
      <c r="AD484" s="35">
        <v>47.42503</v>
      </c>
      <c r="AE484" s="34">
        <v>45310</v>
      </c>
      <c r="AF484" s="35">
        <v>47.524209999999997</v>
      </c>
      <c r="AG484" s="34">
        <v>45311</v>
      </c>
      <c r="AH484" s="35">
        <v>47.524209999999997</v>
      </c>
      <c r="AI484" s="36">
        <v>-2.0579299152450048E-3</v>
      </c>
      <c r="AK484" s="34">
        <v>45300</v>
      </c>
      <c r="AL484" s="35">
        <v>46.514420000000001</v>
      </c>
      <c r="AM484" s="34">
        <v>45314</v>
      </c>
      <c r="AN484" s="5">
        <v>47.188209999999998</v>
      </c>
      <c r="AP484" s="36">
        <v>1.4485615428505794E-2</v>
      </c>
      <c r="AS484" s="5" t="s">
        <v>12387</v>
      </c>
      <c r="AT484" s="5">
        <v>16.989999999999998</v>
      </c>
      <c r="AU484" s="5">
        <v>100</v>
      </c>
      <c r="AV484" s="5" t="s">
        <v>12400</v>
      </c>
      <c r="AW484" s="5" t="s">
        <v>12400</v>
      </c>
      <c r="AX484" s="5" t="s">
        <v>12400</v>
      </c>
      <c r="AZ484" s="49" t="s">
        <v>12411</v>
      </c>
      <c r="BA484" s="50" t="s">
        <v>12411</v>
      </c>
      <c r="BC484" s="51">
        <v>0.38685999999999998</v>
      </c>
    </row>
    <row r="485" spans="1:55" ht="15" customHeight="1" x14ac:dyDescent="0.4">
      <c r="A485" s="27" t="s">
        <v>11386</v>
      </c>
      <c r="B485" s="44" t="s">
        <v>12340</v>
      </c>
      <c r="C485" s="45" t="s">
        <v>11895</v>
      </c>
      <c r="D485" s="46">
        <v>21.86</v>
      </c>
      <c r="E485" s="45" t="s">
        <v>12357</v>
      </c>
      <c r="F485" s="45"/>
      <c r="G485" s="9">
        <v>633.99028999999996</v>
      </c>
      <c r="H485" s="9">
        <v>545.93991000000005</v>
      </c>
      <c r="I485" s="9">
        <v>26.194700000000001</v>
      </c>
      <c r="J485" s="9">
        <v>4980.1238599999997</v>
      </c>
      <c r="K485" s="9">
        <v>4980.1238599999997</v>
      </c>
      <c r="L485" s="9">
        <v>627.89007000000004</v>
      </c>
      <c r="M485" s="9">
        <v>986.26175999999998</v>
      </c>
      <c r="N485" s="10" t="s">
        <v>12466</v>
      </c>
      <c r="P485" s="32">
        <v>45306</v>
      </c>
      <c r="R485" s="35">
        <v>2.2123300000000001</v>
      </c>
      <c r="S485" s="34">
        <v>45305</v>
      </c>
      <c r="T485" s="35">
        <v>2.2913700000000001</v>
      </c>
      <c r="U485" s="34">
        <v>45304</v>
      </c>
      <c r="V485" s="35">
        <v>2.2913700000000001</v>
      </c>
      <c r="W485" s="34">
        <v>45303</v>
      </c>
      <c r="X485" s="35">
        <v>2.2913700000000001</v>
      </c>
      <c r="Y485" s="34">
        <v>45302</v>
      </c>
      <c r="Z485" s="35">
        <v>2.2776200000000002</v>
      </c>
      <c r="AA485" s="34">
        <v>45307</v>
      </c>
      <c r="AB485" s="35">
        <v>2.21814</v>
      </c>
      <c r="AC485" s="34">
        <v>45308</v>
      </c>
      <c r="AD485" s="35">
        <v>2.07694</v>
      </c>
      <c r="AE485" s="34">
        <v>45309</v>
      </c>
      <c r="AF485" s="35">
        <v>2.0409199999999998</v>
      </c>
      <c r="AG485" s="34">
        <v>45310</v>
      </c>
      <c r="AH485" s="35">
        <v>2.0175399999999999</v>
      </c>
      <c r="AI485" s="36">
        <v>-3.1959046334725572E-2</v>
      </c>
      <c r="AK485" s="34">
        <v>45299</v>
      </c>
      <c r="AL485" s="35">
        <v>2.13645</v>
      </c>
      <c r="AM485" s="34">
        <v>45313</v>
      </c>
      <c r="AN485" s="5">
        <v>2.0638100000000001</v>
      </c>
      <c r="AP485" s="36">
        <v>-3.4000327646329098E-2</v>
      </c>
      <c r="AS485" s="5" t="s">
        <v>12387</v>
      </c>
      <c r="AT485" s="5">
        <v>21.86</v>
      </c>
      <c r="AU485" s="5">
        <v>100</v>
      </c>
      <c r="AV485" s="5" t="s">
        <v>12400</v>
      </c>
      <c r="AW485" s="5" t="s">
        <v>12400</v>
      </c>
      <c r="AX485" s="5" t="s">
        <v>12400</v>
      </c>
      <c r="AZ485" s="49" t="s">
        <v>12408</v>
      </c>
      <c r="BA485" s="50" t="s">
        <v>12408</v>
      </c>
      <c r="BC485" s="51">
        <v>1.0679399999999999</v>
      </c>
    </row>
    <row r="486" spans="1:55" ht="15" customHeight="1" x14ac:dyDescent="0.4">
      <c r="A486" s="27" t="s">
        <v>11387</v>
      </c>
      <c r="B486" s="44" t="s">
        <v>12341</v>
      </c>
      <c r="C486" s="45" t="s">
        <v>11896</v>
      </c>
      <c r="D486" s="46">
        <v>92.15</v>
      </c>
      <c r="E486" s="45" t="s">
        <v>12358</v>
      </c>
      <c r="F486" s="45"/>
      <c r="G486" s="9">
        <v>384.21211</v>
      </c>
      <c r="H486" s="9">
        <v>0</v>
      </c>
      <c r="I486" s="9">
        <v>0</v>
      </c>
      <c r="J486" s="9">
        <v>1683.6093100000001</v>
      </c>
      <c r="K486" s="9">
        <v>1683.6093100000001</v>
      </c>
      <c r="L486" s="9">
        <v>43.679630000000003</v>
      </c>
      <c r="M486" s="9">
        <v>-43.679630000000003</v>
      </c>
      <c r="N486" s="10" t="s">
        <v>12473</v>
      </c>
      <c r="P486" s="32">
        <v>45306</v>
      </c>
      <c r="R486" s="35">
        <v>3.8720699999999999</v>
      </c>
      <c r="S486" s="34">
        <v>45305</v>
      </c>
      <c r="T486" s="35">
        <v>3.8412000000000002</v>
      </c>
      <c r="U486" s="34">
        <v>45304</v>
      </c>
      <c r="V486" s="35">
        <v>3.8412000000000002</v>
      </c>
      <c r="W486" s="34">
        <v>45303</v>
      </c>
      <c r="X486" s="35">
        <v>3.8412000000000002</v>
      </c>
      <c r="Y486" s="34">
        <v>45302</v>
      </c>
      <c r="Z486" s="35">
        <v>3.77989</v>
      </c>
      <c r="AA486" s="34">
        <v>45307</v>
      </c>
      <c r="AB486" s="35">
        <v>3.88937</v>
      </c>
      <c r="AC486" s="34">
        <v>45308</v>
      </c>
      <c r="AD486" s="35">
        <v>3.8124899999999999</v>
      </c>
      <c r="AE486" s="34">
        <v>45309</v>
      </c>
      <c r="AF486" s="35">
        <v>3.9460500000000001</v>
      </c>
      <c r="AG486" s="34">
        <v>45310</v>
      </c>
      <c r="AH486" s="35">
        <v>3.9531200000000002</v>
      </c>
      <c r="AI486" s="36">
        <v>1.2540351973341579E-2</v>
      </c>
      <c r="AK486" s="34">
        <v>45299</v>
      </c>
      <c r="AL486" s="35">
        <v>3.7056900000000002</v>
      </c>
      <c r="AM486" s="34">
        <v>45313</v>
      </c>
      <c r="AN486" s="5">
        <v>4.0567200000000003</v>
      </c>
      <c r="AP486" s="36">
        <v>9.472729775021671E-2</v>
      </c>
      <c r="AS486" s="5" t="s">
        <v>12387</v>
      </c>
      <c r="AT486" s="5">
        <v>92.15</v>
      </c>
      <c r="AU486" s="5">
        <v>100</v>
      </c>
      <c r="AV486" s="5" t="s">
        <v>12400</v>
      </c>
      <c r="AW486" s="5" t="s">
        <v>12400</v>
      </c>
      <c r="AX486" s="5" t="s">
        <v>12400</v>
      </c>
      <c r="AZ486" s="49" t="s">
        <v>12409</v>
      </c>
      <c r="BA486" s="50" t="s">
        <v>12409</v>
      </c>
      <c r="BC486" s="51">
        <v>0.51297999999999999</v>
      </c>
    </row>
    <row r="487" spans="1:55" ht="15" customHeight="1" x14ac:dyDescent="0.4">
      <c r="A487" s="27" t="s">
        <v>11388</v>
      </c>
      <c r="B487" s="44" t="s">
        <v>12342</v>
      </c>
      <c r="C487" s="45" t="s">
        <v>11897</v>
      </c>
      <c r="D487" s="47">
        <v>0.109</v>
      </c>
      <c r="E487" s="45" t="s">
        <v>12358</v>
      </c>
      <c r="F487" s="45"/>
      <c r="G487" s="9">
        <v>711.12341000000004</v>
      </c>
      <c r="H487" s="9">
        <v>2925</v>
      </c>
      <c r="I487" s="9">
        <v>4.3720999999999997</v>
      </c>
      <c r="J487" s="9">
        <v>687584</v>
      </c>
      <c r="K487" s="9">
        <v>687584</v>
      </c>
      <c r="L487" s="9">
        <v>20639</v>
      </c>
      <c r="M487" s="9">
        <v>45765</v>
      </c>
      <c r="N487" s="10" t="s">
        <v>12473</v>
      </c>
      <c r="P487" s="32">
        <v>45306</v>
      </c>
      <c r="R487" s="35">
        <v>68.83</v>
      </c>
      <c r="S487" s="34">
        <v>45305</v>
      </c>
      <c r="T487" s="35">
        <v>68.83</v>
      </c>
      <c r="U487" s="34">
        <v>45304</v>
      </c>
      <c r="V487" s="35">
        <v>68.83</v>
      </c>
      <c r="W487" s="34">
        <v>45303</v>
      </c>
      <c r="X487" s="35">
        <v>68.83</v>
      </c>
      <c r="Y487" s="34">
        <v>45302</v>
      </c>
      <c r="Z487" s="35">
        <v>69.3</v>
      </c>
      <c r="AA487" s="34">
        <v>45307</v>
      </c>
      <c r="AB487" s="35">
        <v>68.22</v>
      </c>
      <c r="AC487" s="34">
        <v>45308</v>
      </c>
      <c r="AD487" s="35">
        <v>67.41</v>
      </c>
      <c r="AE487" s="34">
        <v>45309</v>
      </c>
      <c r="AF487" s="35">
        <v>67.72</v>
      </c>
      <c r="AG487" s="34">
        <v>45310</v>
      </c>
      <c r="AH487" s="35">
        <v>68.89</v>
      </c>
      <c r="AI487" s="36">
        <v>-8.8624146447769947E-3</v>
      </c>
      <c r="AK487" s="34">
        <v>45299</v>
      </c>
      <c r="AL487" s="35">
        <v>69.52</v>
      </c>
      <c r="AM487" s="34">
        <v>45313</v>
      </c>
      <c r="AN487" s="5">
        <v>69.5</v>
      </c>
      <c r="AP487" s="36">
        <v>-2.8768699654768692E-4</v>
      </c>
      <c r="AS487" s="5" t="s">
        <v>12387</v>
      </c>
      <c r="AT487" s="5">
        <v>0.109</v>
      </c>
      <c r="AU487" s="5">
        <v>100</v>
      </c>
      <c r="AV487" s="5" t="s">
        <v>12400</v>
      </c>
      <c r="AW487" s="5" t="s">
        <v>12400</v>
      </c>
      <c r="AX487" s="5" t="s">
        <v>12400</v>
      </c>
      <c r="AZ487" s="49" t="s">
        <v>12415</v>
      </c>
      <c r="BA487" s="50" t="s">
        <v>12438</v>
      </c>
      <c r="BC487" s="51">
        <v>0.75575999999999999</v>
      </c>
    </row>
    <row r="488" spans="1:55" ht="15" customHeight="1" x14ac:dyDescent="0.4">
      <c r="A488" s="27" t="s">
        <v>11389</v>
      </c>
      <c r="B488" s="44" t="s">
        <v>12343</v>
      </c>
      <c r="C488" s="45" t="s">
        <v>11898</v>
      </c>
      <c r="D488" s="46">
        <v>2.85</v>
      </c>
      <c r="E488" s="45" t="s">
        <v>12357</v>
      </c>
      <c r="F488" s="45"/>
      <c r="G488" s="9">
        <v>44.426879999999997</v>
      </c>
      <c r="H488" s="9">
        <v>17.636790000000001</v>
      </c>
      <c r="I488" s="9">
        <v>13.107900000000001</v>
      </c>
      <c r="J488" s="9">
        <v>194.18260000000001</v>
      </c>
      <c r="K488" s="9">
        <v>194.18260000000001</v>
      </c>
      <c r="L488" s="9">
        <v>11.33525</v>
      </c>
      <c r="M488" s="9">
        <v>83.121480000000005</v>
      </c>
      <c r="N488" s="10" t="s">
        <v>12467</v>
      </c>
      <c r="P488" s="32">
        <v>45302</v>
      </c>
      <c r="R488" s="35">
        <v>6.7768800000000002</v>
      </c>
      <c r="S488" s="34">
        <v>45301</v>
      </c>
      <c r="T488" s="35">
        <v>6.7960099999999999</v>
      </c>
      <c r="U488" s="34">
        <v>45300</v>
      </c>
      <c r="V488" s="35">
        <v>6.7854000000000001</v>
      </c>
      <c r="W488" s="34">
        <v>45299</v>
      </c>
      <c r="X488" s="35">
        <v>6.89201</v>
      </c>
      <c r="Y488" s="34">
        <v>45298</v>
      </c>
      <c r="Z488" s="35">
        <v>6.8538199999999998</v>
      </c>
      <c r="AA488" s="34">
        <v>45303</v>
      </c>
      <c r="AB488" s="35">
        <v>6.8545699999999998</v>
      </c>
      <c r="AC488" s="34">
        <v>45304</v>
      </c>
      <c r="AD488" s="35">
        <v>6.8545699999999998</v>
      </c>
      <c r="AE488" s="34">
        <v>45305</v>
      </c>
      <c r="AF488" s="35">
        <v>6.8545699999999998</v>
      </c>
      <c r="AG488" s="34">
        <v>45306</v>
      </c>
      <c r="AH488" s="35">
        <v>6.6243299999999996</v>
      </c>
      <c r="AI488" s="36">
        <v>8.6168207521766238E-3</v>
      </c>
      <c r="AK488" s="34">
        <v>45295</v>
      </c>
      <c r="AL488" s="35">
        <v>6.8054800000000002</v>
      </c>
      <c r="AM488" s="34">
        <v>45309</v>
      </c>
      <c r="AN488" s="5">
        <v>6.4971800000000002</v>
      </c>
      <c r="AP488" s="36">
        <v>-4.5301727431422911E-2</v>
      </c>
      <c r="AS488" s="5" t="s">
        <v>12387</v>
      </c>
      <c r="AT488" s="5">
        <v>2.85</v>
      </c>
      <c r="AU488" s="5">
        <v>100</v>
      </c>
      <c r="AV488" s="5" t="s">
        <v>12400</v>
      </c>
      <c r="AW488" s="5" t="s">
        <v>12400</v>
      </c>
      <c r="AX488" s="5" t="s">
        <v>12400</v>
      </c>
      <c r="AZ488" s="49" t="s">
        <v>12411</v>
      </c>
      <c r="BA488" s="50" t="s">
        <v>12413</v>
      </c>
      <c r="BC488" s="51">
        <v>1.1350899999999999</v>
      </c>
    </row>
    <row r="489" spans="1:55" ht="15" customHeight="1" x14ac:dyDescent="0.4">
      <c r="A489" s="27" t="s">
        <v>11390</v>
      </c>
      <c r="B489" s="44" t="s">
        <v>12344</v>
      </c>
      <c r="C489" s="45" t="s">
        <v>11899</v>
      </c>
      <c r="D489" s="46">
        <v>9.9600000000000009</v>
      </c>
      <c r="E489" s="45" t="s">
        <v>12357</v>
      </c>
      <c r="F489" s="45"/>
      <c r="G489" s="9">
        <v>20.98</v>
      </c>
      <c r="H489" s="9">
        <v>12.7378</v>
      </c>
      <c r="I489" s="9">
        <v>12.619400000000001</v>
      </c>
      <c r="J489" s="9">
        <v>78.077460000000002</v>
      </c>
      <c r="K489" s="9">
        <v>78.077460000000002</v>
      </c>
      <c r="L489" s="9">
        <v>17.510750000000002</v>
      </c>
      <c r="M489" s="9">
        <v>-8.0941200000000002</v>
      </c>
      <c r="N489" s="10" t="s">
        <v>12466</v>
      </c>
      <c r="P489" s="32">
        <v>45302</v>
      </c>
      <c r="R489" s="35">
        <v>3.8460200000000002</v>
      </c>
      <c r="S489" s="34">
        <v>45301</v>
      </c>
      <c r="T489" s="35">
        <v>3.7025000000000001</v>
      </c>
      <c r="U489" s="34">
        <v>45300</v>
      </c>
      <c r="V489" s="35">
        <v>3.7047099999999999</v>
      </c>
      <c r="W489" s="34">
        <v>45299</v>
      </c>
      <c r="X489" s="35">
        <v>3.6798999999999999</v>
      </c>
      <c r="Y489" s="34">
        <v>45298</v>
      </c>
      <c r="Z489" s="35">
        <v>3.5881099999999999</v>
      </c>
      <c r="AA489" s="34">
        <v>45303</v>
      </c>
      <c r="AB489" s="35">
        <v>4.0861499999999999</v>
      </c>
      <c r="AC489" s="34">
        <v>45304</v>
      </c>
      <c r="AD489" s="35">
        <v>4.0861499999999999</v>
      </c>
      <c r="AE489" s="34">
        <v>45305</v>
      </c>
      <c r="AF489" s="35">
        <v>4.0861499999999999</v>
      </c>
      <c r="AG489" s="34">
        <v>45306</v>
      </c>
      <c r="AH489" s="35">
        <v>3.9962800000000001</v>
      </c>
      <c r="AI489" s="36">
        <v>0.10361917623227535</v>
      </c>
      <c r="AK489" s="34">
        <v>45295</v>
      </c>
      <c r="AL489" s="35">
        <v>3.57612</v>
      </c>
      <c r="AM489" s="34">
        <v>45309</v>
      </c>
      <c r="AN489" s="5">
        <v>3.91343</v>
      </c>
      <c r="AP489" s="36">
        <v>9.432289744192035E-2</v>
      </c>
      <c r="AS489" s="5" t="s">
        <v>12387</v>
      </c>
      <c r="AT489" s="5">
        <v>9.9600000000000009</v>
      </c>
      <c r="AU489" s="5">
        <v>100</v>
      </c>
      <c r="AV489" s="5" t="s">
        <v>12400</v>
      </c>
      <c r="AW489" s="5" t="s">
        <v>12400</v>
      </c>
      <c r="AX489" s="5" t="s">
        <v>12400</v>
      </c>
      <c r="AZ489" s="49" t="s">
        <v>12409</v>
      </c>
      <c r="BA489" s="50" t="s">
        <v>12413</v>
      </c>
      <c r="BC489" s="51">
        <v>0.54205000000000003</v>
      </c>
    </row>
    <row r="490" spans="1:55" ht="15" customHeight="1" x14ac:dyDescent="0.4">
      <c r="A490" s="27" t="s">
        <v>11391</v>
      </c>
      <c r="B490" s="44" t="s">
        <v>12345</v>
      </c>
      <c r="C490" s="45" t="s">
        <v>11900</v>
      </c>
      <c r="D490" s="46">
        <v>298.01</v>
      </c>
      <c r="E490" s="45" t="s">
        <v>12357</v>
      </c>
      <c r="F490" s="45"/>
      <c r="G490" s="9">
        <v>563.30035999999996</v>
      </c>
      <c r="H490" s="9">
        <v>856.89509999999996</v>
      </c>
      <c r="I490" s="9">
        <v>18.011600000000001</v>
      </c>
      <c r="J490" s="9">
        <v>8523.5857199999991</v>
      </c>
      <c r="K490" s="9">
        <v>8523.5857199999991</v>
      </c>
      <c r="L490" s="9">
        <v>942.74455999999998</v>
      </c>
      <c r="M490" s="9">
        <v>1777.33061</v>
      </c>
      <c r="N490" s="10" t="s">
        <v>12471</v>
      </c>
      <c r="P490" s="32">
        <v>45302</v>
      </c>
      <c r="R490" s="35">
        <v>0</v>
      </c>
      <c r="S490" s="34">
        <v>45301</v>
      </c>
      <c r="T490" s="35">
        <v>0</v>
      </c>
      <c r="U490" s="34">
        <v>45300</v>
      </c>
      <c r="V490" s="35">
        <v>0</v>
      </c>
      <c r="W490" s="34">
        <v>45299</v>
      </c>
      <c r="X490" s="35">
        <v>0</v>
      </c>
      <c r="Y490" s="34">
        <v>45298</v>
      </c>
      <c r="Z490" s="35">
        <v>0</v>
      </c>
      <c r="AA490" s="34">
        <v>45303</v>
      </c>
      <c r="AB490" s="35">
        <v>0</v>
      </c>
      <c r="AC490" s="34">
        <v>45304</v>
      </c>
      <c r="AD490" s="35">
        <v>0</v>
      </c>
      <c r="AE490" s="34">
        <v>45305</v>
      </c>
      <c r="AF490" s="35">
        <v>0</v>
      </c>
      <c r="AG490" s="34">
        <v>45306</v>
      </c>
      <c r="AH490" s="35">
        <v>0</v>
      </c>
      <c r="AI490" s="36" t="s">
        <v>318</v>
      </c>
      <c r="AK490" s="34">
        <v>45295</v>
      </c>
      <c r="AL490" s="35">
        <v>0</v>
      </c>
      <c r="AM490" s="34">
        <v>45309</v>
      </c>
      <c r="AN490" s="5">
        <v>0</v>
      </c>
      <c r="AP490" s="36" t="s">
        <v>318</v>
      </c>
      <c r="AS490" s="5" t="s">
        <v>12387</v>
      </c>
      <c r="AT490" s="5">
        <v>298.01</v>
      </c>
      <c r="AU490" s="5">
        <v>100</v>
      </c>
      <c r="AV490" s="5" t="s">
        <v>12400</v>
      </c>
      <c r="AW490" s="5" t="s">
        <v>12400</v>
      </c>
      <c r="AX490" s="5" t="s">
        <v>12400</v>
      </c>
      <c r="AZ490" s="49" t="s">
        <v>12413</v>
      </c>
      <c r="BA490" s="50" t="s">
        <v>12406</v>
      </c>
      <c r="BC490" s="51">
        <v>0</v>
      </c>
    </row>
    <row r="491" spans="1:55" ht="15" customHeight="1" x14ac:dyDescent="0.4">
      <c r="A491" s="27" t="s">
        <v>11267</v>
      </c>
      <c r="B491" s="44" t="s">
        <v>12346</v>
      </c>
      <c r="C491" s="45" t="s">
        <v>11901</v>
      </c>
      <c r="D491" s="46">
        <v>18.059999999999999</v>
      </c>
      <c r="E491" s="45" t="s">
        <v>12358</v>
      </c>
      <c r="F491" s="45"/>
      <c r="G491" s="9">
        <v>91.470290000000006</v>
      </c>
      <c r="H491" s="9">
        <v>99.635270000000006</v>
      </c>
      <c r="I491" s="9">
        <v>11.173</v>
      </c>
      <c r="J491" s="9">
        <v>592.64090999999996</v>
      </c>
      <c r="K491" s="9">
        <v>592.64090999999996</v>
      </c>
      <c r="L491" s="9">
        <v>42.359900000000003</v>
      </c>
      <c r="M491" s="9">
        <v>28.93599</v>
      </c>
      <c r="N491" s="10" t="s">
        <v>12467</v>
      </c>
      <c r="P491" s="32">
        <v>45302</v>
      </c>
      <c r="R491" s="35">
        <v>9.7510100000000008</v>
      </c>
      <c r="S491" s="34">
        <v>45301</v>
      </c>
      <c r="T491" s="35">
        <v>9.6323600000000003</v>
      </c>
      <c r="U491" s="34">
        <v>45300</v>
      </c>
      <c r="V491" s="35">
        <v>9.6225100000000001</v>
      </c>
      <c r="W491" s="34">
        <v>45299</v>
      </c>
      <c r="X491" s="35">
        <v>9.5716599999999996</v>
      </c>
      <c r="Y491" s="34">
        <v>45298</v>
      </c>
      <c r="Z491" s="35">
        <v>9.3857999999999997</v>
      </c>
      <c r="AA491" s="34">
        <v>45303</v>
      </c>
      <c r="AB491" s="35">
        <v>10.22025</v>
      </c>
      <c r="AC491" s="34">
        <v>45304</v>
      </c>
      <c r="AD491" s="35">
        <v>10.22025</v>
      </c>
      <c r="AE491" s="34">
        <v>45305</v>
      </c>
      <c r="AF491" s="35">
        <v>10.22025</v>
      </c>
      <c r="AG491" s="34">
        <v>45306</v>
      </c>
      <c r="AH491" s="35">
        <v>9.5832999999999995</v>
      </c>
      <c r="AI491" s="36">
        <v>6.1032810235497781E-2</v>
      </c>
      <c r="AK491" s="34">
        <v>45295</v>
      </c>
      <c r="AL491" s="35">
        <v>9.5624400000000005</v>
      </c>
      <c r="AM491" s="34">
        <v>45309</v>
      </c>
      <c r="AN491" s="5">
        <v>9.8503799999999995</v>
      </c>
      <c r="AP491" s="36">
        <v>3.011156148430727E-2</v>
      </c>
      <c r="AS491" s="5" t="s">
        <v>12387</v>
      </c>
      <c r="AT491" s="5">
        <v>14.45</v>
      </c>
      <c r="AU491" s="5">
        <v>100</v>
      </c>
      <c r="AV491" s="5" t="s">
        <v>12400</v>
      </c>
      <c r="AW491" s="5" t="s">
        <v>12400</v>
      </c>
      <c r="AX491" s="5" t="s">
        <v>12400</v>
      </c>
      <c r="AZ491" s="49" t="s">
        <v>12430</v>
      </c>
      <c r="BA491" s="50" t="s">
        <v>12430</v>
      </c>
      <c r="BC491" s="51">
        <v>0.74734</v>
      </c>
    </row>
    <row r="492" spans="1:55" ht="15" customHeight="1" x14ac:dyDescent="0.4">
      <c r="A492" s="27" t="s">
        <v>11392</v>
      </c>
      <c r="B492" s="44" t="s">
        <v>12347</v>
      </c>
      <c r="C492" s="45" t="s">
        <v>11902</v>
      </c>
      <c r="D492" s="46">
        <v>113.24</v>
      </c>
      <c r="E492" s="45" t="s">
        <v>12357</v>
      </c>
      <c r="F492" s="45"/>
      <c r="G492" s="9">
        <v>285.87767000000002</v>
      </c>
      <c r="H492" s="9">
        <v>330.03005999999999</v>
      </c>
      <c r="I492" s="9">
        <v>30.0214</v>
      </c>
      <c r="J492" s="9">
        <v>7946.3239400000002</v>
      </c>
      <c r="K492" s="9">
        <v>7946.3239400000002</v>
      </c>
      <c r="L492" s="9">
        <v>170.68324000000001</v>
      </c>
      <c r="M492" s="9">
        <v>4956.0554300000003</v>
      </c>
      <c r="N492" s="10" t="s">
        <v>12472</v>
      </c>
      <c r="P492" s="32">
        <v>45301</v>
      </c>
      <c r="R492" s="35">
        <v>9.5684000000000005</v>
      </c>
      <c r="S492" s="34">
        <v>45300</v>
      </c>
      <c r="T492" s="35">
        <v>9.5243500000000001</v>
      </c>
      <c r="U492" s="34">
        <v>45299</v>
      </c>
      <c r="V492" s="35">
        <v>9.4268599999999996</v>
      </c>
      <c r="W492" s="34">
        <v>45298</v>
      </c>
      <c r="X492" s="35">
        <v>9.4834700000000005</v>
      </c>
      <c r="Y492" s="34">
        <v>45297</v>
      </c>
      <c r="Z492" s="35">
        <v>9.4834700000000005</v>
      </c>
      <c r="AA492" s="34">
        <v>45302</v>
      </c>
      <c r="AB492" s="35">
        <v>9.2496100000000006</v>
      </c>
      <c r="AC492" s="34">
        <v>45303</v>
      </c>
      <c r="AD492" s="35">
        <v>9.5008999999999997</v>
      </c>
      <c r="AE492" s="34">
        <v>45304</v>
      </c>
      <c r="AF492" s="35">
        <v>9.5008999999999997</v>
      </c>
      <c r="AG492" s="34">
        <v>45305</v>
      </c>
      <c r="AH492" s="35">
        <v>9.5008999999999997</v>
      </c>
      <c r="AI492" s="36">
        <v>-2.8846062985925514E-2</v>
      </c>
      <c r="AK492" s="34">
        <v>45294</v>
      </c>
      <c r="AL492" s="35">
        <v>9.3572600000000001</v>
      </c>
      <c r="AM492" s="34">
        <v>45308</v>
      </c>
      <c r="AN492" s="5">
        <v>8.8852600000000006</v>
      </c>
      <c r="AP492" s="36">
        <v>-5.0442116602509635E-2</v>
      </c>
      <c r="AS492" s="5" t="s">
        <v>12387</v>
      </c>
      <c r="AT492" s="5">
        <v>113.24</v>
      </c>
      <c r="AU492" s="5">
        <v>100</v>
      </c>
      <c r="AV492" s="5" t="s">
        <v>12400</v>
      </c>
      <c r="AW492" s="5" t="s">
        <v>12400</v>
      </c>
      <c r="AX492" s="5" t="s">
        <v>12400</v>
      </c>
      <c r="AZ492" s="49" t="s">
        <v>12415</v>
      </c>
      <c r="BA492" s="50" t="s">
        <v>12415</v>
      </c>
      <c r="BC492" s="51">
        <v>0.48057</v>
      </c>
    </row>
    <row r="493" spans="1:55" ht="15" customHeight="1" x14ac:dyDescent="0.4">
      <c r="A493" s="27" t="s">
        <v>11082</v>
      </c>
      <c r="B493" s="44" t="s">
        <v>12027</v>
      </c>
      <c r="C493" s="45" t="s">
        <v>11903</v>
      </c>
      <c r="D493" s="46">
        <v>132.54</v>
      </c>
      <c r="E493" s="45" t="s">
        <v>12357</v>
      </c>
      <c r="F493" s="45"/>
      <c r="G493" s="9">
        <v>62.328510000000001</v>
      </c>
      <c r="H493" s="9">
        <v>13.8712</v>
      </c>
      <c r="I493" s="9">
        <v>39.922199999999997</v>
      </c>
      <c r="J493" s="9">
        <v>73.468950000000007</v>
      </c>
      <c r="K493" s="9">
        <v>73.468950000000007</v>
      </c>
      <c r="L493" s="9">
        <v>9.7340400000000002</v>
      </c>
      <c r="M493" s="9">
        <v>-3.9486400000000001</v>
      </c>
      <c r="N493" s="10" t="s">
        <v>12475</v>
      </c>
      <c r="P493" s="32">
        <v>45301</v>
      </c>
      <c r="R493" s="35">
        <v>4.1989000000000001</v>
      </c>
      <c r="S493" s="34">
        <v>45300</v>
      </c>
      <c r="T493" s="35">
        <v>4.3714199999999996</v>
      </c>
      <c r="U493" s="34">
        <v>45299</v>
      </c>
      <c r="V493" s="35">
        <v>4.4646800000000004</v>
      </c>
      <c r="W493" s="34">
        <v>45298</v>
      </c>
      <c r="X493" s="35">
        <v>4.3946199999999997</v>
      </c>
      <c r="Y493" s="34">
        <v>45297</v>
      </c>
      <c r="Z493" s="35">
        <v>4.3946199999999997</v>
      </c>
      <c r="AA493" s="34">
        <v>45302</v>
      </c>
      <c r="AB493" s="35">
        <v>3.9387099999999999</v>
      </c>
      <c r="AC493" s="34">
        <v>45303</v>
      </c>
      <c r="AD493" s="35">
        <v>3.92415</v>
      </c>
      <c r="AE493" s="34">
        <v>45304</v>
      </c>
      <c r="AF493" s="35">
        <v>3.92415</v>
      </c>
      <c r="AG493" s="34">
        <v>45305</v>
      </c>
      <c r="AH493" s="35">
        <v>3.92415</v>
      </c>
      <c r="AI493" s="36">
        <v>-9.8986141802892336E-2</v>
      </c>
      <c r="AK493" s="34">
        <v>45294</v>
      </c>
      <c r="AL493" s="35">
        <v>4.3625100000000003</v>
      </c>
      <c r="AM493" s="34">
        <v>45308</v>
      </c>
      <c r="AN493" s="5">
        <v>3.9898199999999999</v>
      </c>
      <c r="AP493" s="36">
        <v>-8.5430176664351598E-2</v>
      </c>
      <c r="AS493" s="5" t="s">
        <v>721</v>
      </c>
      <c r="AT493" s="5" t="s">
        <v>12400</v>
      </c>
      <c r="AU493" s="5" t="s">
        <v>12400</v>
      </c>
      <c r="AV493" s="5" t="s">
        <v>12400</v>
      </c>
      <c r="AW493" s="5" t="s">
        <v>12400</v>
      </c>
      <c r="AX493" s="5">
        <v>100</v>
      </c>
      <c r="AZ493" s="49" t="s">
        <v>12415</v>
      </c>
      <c r="BA493" s="50" t="s">
        <v>12415</v>
      </c>
      <c r="BC493" s="51">
        <v>0.27206999999999998</v>
      </c>
    </row>
    <row r="494" spans="1:55" ht="15" customHeight="1" x14ac:dyDescent="0.4">
      <c r="A494" s="27" t="s">
        <v>11057</v>
      </c>
      <c r="B494" s="44" t="s">
        <v>12002</v>
      </c>
      <c r="C494" s="45" t="s">
        <v>11904</v>
      </c>
      <c r="D494" s="46">
        <v>20.5</v>
      </c>
      <c r="E494" s="45" t="s">
        <v>12357</v>
      </c>
      <c r="F494" s="45"/>
      <c r="G494" s="9">
        <v>57.919260000000001</v>
      </c>
      <c r="H494" s="9">
        <v>99.671369999999996</v>
      </c>
      <c r="I494" s="9">
        <v>16.931699999999999</v>
      </c>
      <c r="J494" s="9">
        <v>772.27799000000005</v>
      </c>
      <c r="K494" s="9">
        <v>772.27799000000005</v>
      </c>
      <c r="L494" s="9">
        <v>124.57329</v>
      </c>
      <c r="M494" s="9">
        <v>-64.197280000000006</v>
      </c>
      <c r="N494" s="10" t="s">
        <v>12468</v>
      </c>
      <c r="P494" s="32">
        <v>45301</v>
      </c>
      <c r="R494" s="35">
        <v>28.374390000000002</v>
      </c>
      <c r="S494" s="34">
        <v>45300</v>
      </c>
      <c r="T494" s="35">
        <v>28.90981</v>
      </c>
      <c r="U494" s="34">
        <v>45299</v>
      </c>
      <c r="V494" s="35">
        <v>28.318850000000001</v>
      </c>
      <c r="W494" s="34">
        <v>45298</v>
      </c>
      <c r="X494" s="35">
        <v>28.023689999999998</v>
      </c>
      <c r="Y494" s="34">
        <v>45297</v>
      </c>
      <c r="Z494" s="35">
        <v>28.023689999999998</v>
      </c>
      <c r="AA494" s="34">
        <v>45302</v>
      </c>
      <c r="AB494" s="35">
        <v>27.443909999999999</v>
      </c>
      <c r="AC494" s="34">
        <v>45303</v>
      </c>
      <c r="AD494" s="35">
        <v>27.756150000000002</v>
      </c>
      <c r="AE494" s="34">
        <v>45304</v>
      </c>
      <c r="AF494" s="35">
        <v>27.756150000000002</v>
      </c>
      <c r="AG494" s="34">
        <v>45305</v>
      </c>
      <c r="AH494" s="35">
        <v>27.756150000000002</v>
      </c>
      <c r="AI494" s="36">
        <v>-5.0705971433226305E-2</v>
      </c>
      <c r="AK494" s="34">
        <v>45294</v>
      </c>
      <c r="AL494" s="35">
        <v>27.692419999999998</v>
      </c>
      <c r="AM494" s="34">
        <v>45308</v>
      </c>
      <c r="AN494" s="5">
        <v>27.29541</v>
      </c>
      <c r="AP494" s="36">
        <v>-1.4336414080098336E-2</v>
      </c>
      <c r="AS494" s="5" t="s">
        <v>12387</v>
      </c>
      <c r="AT494" s="5">
        <v>17.21</v>
      </c>
      <c r="AU494" s="5">
        <v>100</v>
      </c>
      <c r="AV494" s="5" t="s">
        <v>12400</v>
      </c>
      <c r="AW494" s="5" t="s">
        <v>12400</v>
      </c>
      <c r="AX494" s="5" t="s">
        <v>12400</v>
      </c>
      <c r="AZ494" s="49" t="s">
        <v>12415</v>
      </c>
      <c r="BA494" s="50" t="s">
        <v>12410</v>
      </c>
      <c r="BC494" s="51">
        <v>0.93425999999999998</v>
      </c>
    </row>
    <row r="495" spans="1:55" ht="15" customHeight="1" x14ac:dyDescent="0.4">
      <c r="A495" s="27" t="s">
        <v>11314</v>
      </c>
      <c r="B495" s="44" t="s">
        <v>12266</v>
      </c>
      <c r="C495" s="45" t="s">
        <v>11905</v>
      </c>
      <c r="D495" s="46">
        <v>10.1</v>
      </c>
      <c r="E495" s="45" t="s">
        <v>12357</v>
      </c>
      <c r="F495" s="45"/>
      <c r="G495" s="9">
        <v>142.67524</v>
      </c>
      <c r="H495" s="9">
        <v>1250.0999999999999</v>
      </c>
      <c r="I495" s="9">
        <v>46.621099999999998</v>
      </c>
      <c r="J495" s="9">
        <v>4366.1000000000004</v>
      </c>
      <c r="K495" s="9">
        <v>4366.1000000000004</v>
      </c>
      <c r="L495" s="9">
        <v>302.7</v>
      </c>
      <c r="M495" s="9">
        <v>2791.5</v>
      </c>
      <c r="N495" s="10" t="s">
        <v>12467</v>
      </c>
      <c r="P495" s="32">
        <v>45301</v>
      </c>
      <c r="R495" s="35">
        <v>233.96</v>
      </c>
      <c r="S495" s="34">
        <v>45300</v>
      </c>
      <c r="T495" s="35">
        <v>234.72</v>
      </c>
      <c r="U495" s="34">
        <v>45299</v>
      </c>
      <c r="V495" s="35">
        <v>232.71</v>
      </c>
      <c r="W495" s="34">
        <v>45298</v>
      </c>
      <c r="X495" s="35">
        <v>233.7</v>
      </c>
      <c r="Y495" s="34">
        <v>45297</v>
      </c>
      <c r="Z495" s="35">
        <v>233.7</v>
      </c>
      <c r="AA495" s="34">
        <v>45302</v>
      </c>
      <c r="AB495" s="35">
        <v>234.21</v>
      </c>
      <c r="AC495" s="34">
        <v>45303</v>
      </c>
      <c r="AD495" s="35">
        <v>236.77</v>
      </c>
      <c r="AE495" s="34">
        <v>45304</v>
      </c>
      <c r="AF495" s="35">
        <v>236.77</v>
      </c>
      <c r="AG495" s="34">
        <v>45305</v>
      </c>
      <c r="AH495" s="35">
        <v>236.77</v>
      </c>
      <c r="AI495" s="36">
        <v>-2.1728016359917612E-3</v>
      </c>
      <c r="AK495" s="34">
        <v>45294</v>
      </c>
      <c r="AL495" s="35">
        <v>236.7</v>
      </c>
      <c r="AM495" s="34">
        <v>45308</v>
      </c>
      <c r="AN495" s="5">
        <v>236.67</v>
      </c>
      <c r="AP495" s="36">
        <v>-1.2674271229407008E-4</v>
      </c>
      <c r="AS495" s="5" t="s">
        <v>12387</v>
      </c>
      <c r="AT495" s="5">
        <v>7.9</v>
      </c>
      <c r="AU495" s="5">
        <v>100</v>
      </c>
      <c r="AV495" s="5" t="s">
        <v>12400</v>
      </c>
      <c r="AW495" s="5" t="s">
        <v>12400</v>
      </c>
      <c r="AX495" s="5" t="s">
        <v>12400</v>
      </c>
      <c r="AZ495" s="49" t="s">
        <v>12403</v>
      </c>
      <c r="BA495" s="50" t="s">
        <v>12406</v>
      </c>
      <c r="BC495" s="51">
        <v>0.81364999999999998</v>
      </c>
    </row>
    <row r="496" spans="1:55" ht="15" customHeight="1" x14ac:dyDescent="0.4">
      <c r="A496" s="27" t="s">
        <v>11393</v>
      </c>
      <c r="B496" s="44" t="s">
        <v>12348</v>
      </c>
      <c r="C496" s="45" t="s">
        <v>11906</v>
      </c>
      <c r="D496" s="46">
        <v>38.69</v>
      </c>
      <c r="E496" s="45" t="s">
        <v>12357</v>
      </c>
      <c r="F496" s="45"/>
      <c r="G496" s="9">
        <v>235.50416000000001</v>
      </c>
      <c r="H496" s="9">
        <v>1458.16293</v>
      </c>
      <c r="I496" s="9">
        <v>30.612100000000002</v>
      </c>
      <c r="J496" s="9">
        <v>10287.2886</v>
      </c>
      <c r="K496" s="9">
        <v>10287.2886</v>
      </c>
      <c r="L496" s="9">
        <v>735.38189</v>
      </c>
      <c r="M496" s="9">
        <v>3939.0958300000002</v>
      </c>
      <c r="N496" s="10" t="s">
        <v>12467</v>
      </c>
      <c r="P496" s="32">
        <v>45301</v>
      </c>
      <c r="R496" s="35">
        <v>20.453800000000001</v>
      </c>
      <c r="S496" s="34">
        <v>45300</v>
      </c>
      <c r="T496" s="35">
        <v>20.3125</v>
      </c>
      <c r="U496" s="34">
        <v>45299</v>
      </c>
      <c r="V496" s="35">
        <v>20.577259999999999</v>
      </c>
      <c r="W496" s="34">
        <v>45298</v>
      </c>
      <c r="X496" s="35">
        <v>20.364080000000001</v>
      </c>
      <c r="Y496" s="34">
        <v>45297</v>
      </c>
      <c r="Z496" s="35">
        <v>20.364080000000001</v>
      </c>
      <c r="AA496" s="34">
        <v>45302</v>
      </c>
      <c r="AB496" s="35">
        <v>20.713819999999998</v>
      </c>
      <c r="AC496" s="34">
        <v>45303</v>
      </c>
      <c r="AD496" s="35">
        <v>21.39724</v>
      </c>
      <c r="AE496" s="34">
        <v>45304</v>
      </c>
      <c r="AF496" s="35">
        <v>21.39724</v>
      </c>
      <c r="AG496" s="34">
        <v>45305</v>
      </c>
      <c r="AH496" s="35">
        <v>21.39724</v>
      </c>
      <c r="AI496" s="36">
        <v>1.9757292307692298E-2</v>
      </c>
      <c r="AK496" s="34">
        <v>45294</v>
      </c>
      <c r="AL496" s="35">
        <v>19.897400000000001</v>
      </c>
      <c r="AM496" s="34">
        <v>45308</v>
      </c>
      <c r="AN496" s="5">
        <v>21.04006</v>
      </c>
      <c r="AP496" s="36">
        <v>5.7427603606501343E-2</v>
      </c>
      <c r="AS496" s="5" t="s">
        <v>12387</v>
      </c>
      <c r="AT496" s="5">
        <v>38.69</v>
      </c>
      <c r="AU496" s="5">
        <v>100</v>
      </c>
      <c r="AV496" s="5" t="s">
        <v>12400</v>
      </c>
      <c r="AW496" s="5" t="s">
        <v>12400</v>
      </c>
      <c r="AX496" s="5" t="s">
        <v>12400</v>
      </c>
      <c r="AZ496" s="49" t="s">
        <v>12410</v>
      </c>
      <c r="BA496" s="50" t="s">
        <v>12419</v>
      </c>
      <c r="BC496" s="51">
        <v>1.24044</v>
      </c>
    </row>
    <row r="497" spans="1:56" ht="15" customHeight="1" x14ac:dyDescent="0.4">
      <c r="A497" s="27" t="s">
        <v>11394</v>
      </c>
      <c r="B497" s="44" t="s">
        <v>12349</v>
      </c>
      <c r="C497" s="45" t="s">
        <v>11907</v>
      </c>
      <c r="D497" s="46">
        <v>52.62</v>
      </c>
      <c r="E497" s="45" t="s">
        <v>12358</v>
      </c>
      <c r="F497" s="45"/>
      <c r="G497" s="9">
        <v>837.71866</v>
      </c>
      <c r="H497" s="9">
        <v>2843.9414900000002</v>
      </c>
      <c r="I497" s="9">
        <v>35.101999999999997</v>
      </c>
      <c r="J497" s="9">
        <v>10981.84604</v>
      </c>
      <c r="K497" s="9">
        <v>10981.84604</v>
      </c>
      <c r="L497" s="9">
        <v>4155.6544899999999</v>
      </c>
      <c r="M497" s="9">
        <v>-1961.3121100000001</v>
      </c>
      <c r="N497" s="10" t="s">
        <v>12466</v>
      </c>
      <c r="P497" s="32">
        <v>45301</v>
      </c>
      <c r="R497" s="35">
        <v>9.1965599999999998</v>
      </c>
      <c r="S497" s="34">
        <v>45300</v>
      </c>
      <c r="T497" s="35">
        <v>9.1829900000000002</v>
      </c>
      <c r="U497" s="34">
        <v>45299</v>
      </c>
      <c r="V497" s="35">
        <v>9.0360600000000009</v>
      </c>
      <c r="W497" s="34">
        <v>45298</v>
      </c>
      <c r="X497" s="35">
        <v>9.0335000000000001</v>
      </c>
      <c r="Y497" s="34">
        <v>45297</v>
      </c>
      <c r="Z497" s="35">
        <v>9.0335000000000001</v>
      </c>
      <c r="AA497" s="34">
        <v>45302</v>
      </c>
      <c r="AB497" s="35">
        <v>9.2656500000000008</v>
      </c>
      <c r="AC497" s="34">
        <v>45303</v>
      </c>
      <c r="AD497" s="35">
        <v>9.2906499999999994</v>
      </c>
      <c r="AE497" s="34">
        <v>45304</v>
      </c>
      <c r="AF497" s="35">
        <v>9.2906499999999994</v>
      </c>
      <c r="AG497" s="34">
        <v>45305</v>
      </c>
      <c r="AH497" s="35">
        <v>9.2906499999999994</v>
      </c>
      <c r="AI497" s="36">
        <v>9.0014254616417322E-3</v>
      </c>
      <c r="AK497" s="34">
        <v>45294</v>
      </c>
      <c r="AL497" s="35">
        <v>8.9712200000000006</v>
      </c>
      <c r="AM497" s="34">
        <v>45308</v>
      </c>
      <c r="AN497" s="5">
        <v>9.2682699999999993</v>
      </c>
      <c r="AP497" s="36">
        <v>3.311143857803045E-2</v>
      </c>
      <c r="AS497" s="5" t="s">
        <v>12387</v>
      </c>
      <c r="AT497" s="5">
        <v>52.62</v>
      </c>
      <c r="AU497" s="5">
        <v>100</v>
      </c>
      <c r="AV497" s="5" t="s">
        <v>12400</v>
      </c>
      <c r="AW497" s="5" t="s">
        <v>12400</v>
      </c>
      <c r="AX497" s="5" t="s">
        <v>12400</v>
      </c>
      <c r="AZ497" s="49" t="s">
        <v>12443</v>
      </c>
      <c r="BA497" s="50" t="s">
        <v>12443</v>
      </c>
      <c r="BC497" s="51">
        <v>0.25146000000000002</v>
      </c>
    </row>
    <row r="498" spans="1:56" ht="15" customHeight="1" x14ac:dyDescent="0.4">
      <c r="A498" s="27" t="s">
        <v>11395</v>
      </c>
      <c r="B498" s="44" t="s">
        <v>12350</v>
      </c>
      <c r="C498" s="45" t="s">
        <v>11908</v>
      </c>
      <c r="D498" s="47">
        <v>0.17799999999999999</v>
      </c>
      <c r="E498" s="45" t="s">
        <v>12358</v>
      </c>
      <c r="F498" s="45"/>
      <c r="G498" s="9">
        <v>115.94596</v>
      </c>
      <c r="H498" s="9">
        <v>7.0667999999999997</v>
      </c>
      <c r="I498" s="9">
        <v>7.7359999999999998</v>
      </c>
      <c r="J498" s="9">
        <v>167.08998</v>
      </c>
      <c r="K498" s="9">
        <v>167.08998</v>
      </c>
      <c r="L498" s="9">
        <v>21.399090000000001</v>
      </c>
      <c r="M498" s="9">
        <v>-19.420950000000001</v>
      </c>
      <c r="N498" s="10" t="s">
        <v>12468</v>
      </c>
      <c r="P498" s="32">
        <v>45300</v>
      </c>
      <c r="R498" s="35">
        <v>1.30253</v>
      </c>
      <c r="S498" s="34">
        <v>45299</v>
      </c>
      <c r="T498" s="35">
        <v>1.31389</v>
      </c>
      <c r="U498" s="34">
        <v>45298</v>
      </c>
      <c r="V498" s="35">
        <v>1.30565</v>
      </c>
      <c r="W498" s="34">
        <v>45297</v>
      </c>
      <c r="X498" s="35">
        <v>1.30565</v>
      </c>
      <c r="Y498" s="34">
        <v>45296</v>
      </c>
      <c r="Z498" s="35">
        <v>1.30565</v>
      </c>
      <c r="AA498" s="34">
        <v>45301</v>
      </c>
      <c r="AB498" s="35">
        <v>1.3042</v>
      </c>
      <c r="AC498" s="34">
        <v>45302</v>
      </c>
      <c r="AD498" s="35">
        <v>1.3023100000000001</v>
      </c>
      <c r="AE498" s="34">
        <v>45303</v>
      </c>
      <c r="AF498" s="35">
        <v>1.3080499999999999</v>
      </c>
      <c r="AG498" s="34">
        <v>45304</v>
      </c>
      <c r="AH498" s="35">
        <v>1.3080499999999999</v>
      </c>
      <c r="AI498" s="36">
        <v>-7.37504661729671E-3</v>
      </c>
      <c r="AK498" s="34">
        <v>45293</v>
      </c>
      <c r="AL498" s="35">
        <v>1.3508100000000001</v>
      </c>
      <c r="AM498" s="34">
        <v>45307</v>
      </c>
      <c r="AN498" s="5">
        <v>1.29857</v>
      </c>
      <c r="AP498" s="36">
        <v>-3.8673092440831836E-2</v>
      </c>
      <c r="AS498" s="5" t="s">
        <v>12387</v>
      </c>
      <c r="AT498" s="5">
        <v>0.17799999999999999</v>
      </c>
      <c r="AU498" s="5">
        <v>100</v>
      </c>
      <c r="AV498" s="5" t="s">
        <v>12400</v>
      </c>
      <c r="AW498" s="5" t="s">
        <v>12400</v>
      </c>
      <c r="AX498" s="5" t="s">
        <v>12400</v>
      </c>
      <c r="AZ498" s="49" t="s">
        <v>12415</v>
      </c>
      <c r="BA498" s="50" t="s">
        <v>12415</v>
      </c>
      <c r="BC498" s="51">
        <v>0.1847</v>
      </c>
    </row>
    <row r="499" spans="1:56" ht="15" customHeight="1" x14ac:dyDescent="0.4">
      <c r="A499" s="27" t="s">
        <v>11396</v>
      </c>
      <c r="B499" s="44" t="s">
        <v>12351</v>
      </c>
      <c r="C499" s="45" t="s">
        <v>11909</v>
      </c>
      <c r="D499" s="46">
        <v>4.58</v>
      </c>
      <c r="E499" s="45" t="s">
        <v>12357</v>
      </c>
      <c r="F499" s="45"/>
      <c r="G499" s="9">
        <v>8.3314599999999999</v>
      </c>
      <c r="H499" s="9">
        <v>63.304940000000002</v>
      </c>
      <c r="I499" s="9">
        <v>11.6915</v>
      </c>
      <c r="J499" s="9">
        <v>545.39820999999995</v>
      </c>
      <c r="K499" s="9">
        <v>545.39820999999995</v>
      </c>
      <c r="L499" s="9">
        <v>42.001820000000002</v>
      </c>
      <c r="M499" s="9">
        <v>158.25635</v>
      </c>
      <c r="N499" s="10" t="s">
        <v>12468</v>
      </c>
      <c r="P499" s="32">
        <v>45300</v>
      </c>
      <c r="R499" s="35">
        <v>58.784970000000001</v>
      </c>
      <c r="S499" s="34">
        <v>45299</v>
      </c>
      <c r="T499" s="35">
        <v>59.262509999999999</v>
      </c>
      <c r="U499" s="34">
        <v>45298</v>
      </c>
      <c r="V499" s="35">
        <v>58.778370000000002</v>
      </c>
      <c r="W499" s="34">
        <v>45297</v>
      </c>
      <c r="X499" s="35">
        <v>58.778370000000002</v>
      </c>
      <c r="Y499" s="34">
        <v>45296</v>
      </c>
      <c r="Z499" s="35">
        <v>58.778370000000002</v>
      </c>
      <c r="AA499" s="34">
        <v>45301</v>
      </c>
      <c r="AB499" s="35">
        <v>59.848730000000003</v>
      </c>
      <c r="AC499" s="34">
        <v>45302</v>
      </c>
      <c r="AD499" s="35">
        <v>59.119770000000003</v>
      </c>
      <c r="AE499" s="34">
        <v>45303</v>
      </c>
      <c r="AF499" s="35">
        <v>59.552529999999997</v>
      </c>
      <c r="AG499" s="34">
        <v>45304</v>
      </c>
      <c r="AH499" s="35">
        <v>59.552529999999997</v>
      </c>
      <c r="AI499" s="36">
        <v>9.8919198663709462E-3</v>
      </c>
      <c r="AK499" s="34">
        <v>45293</v>
      </c>
      <c r="AL499" s="35">
        <v>60.609380000000002</v>
      </c>
      <c r="AM499" s="34">
        <v>45307</v>
      </c>
      <c r="AN499" s="5">
        <v>57.407409999999999</v>
      </c>
      <c r="AP499" s="36">
        <v>-5.2829611522177022E-2</v>
      </c>
      <c r="AS499" s="5" t="s">
        <v>12387</v>
      </c>
      <c r="AT499" s="5">
        <v>4.58</v>
      </c>
      <c r="AU499" s="5">
        <v>100</v>
      </c>
      <c r="AV499" s="5" t="s">
        <v>12400</v>
      </c>
      <c r="AW499" s="5" t="s">
        <v>12400</v>
      </c>
      <c r="AX499" s="5" t="s">
        <v>12400</v>
      </c>
      <c r="AZ499" s="49" t="s">
        <v>12406</v>
      </c>
      <c r="BA499" s="50" t="s">
        <v>12406</v>
      </c>
      <c r="BC499" s="51">
        <v>1.3040400000000001</v>
      </c>
    </row>
    <row r="500" spans="1:56" ht="15" customHeight="1" x14ac:dyDescent="0.4">
      <c r="A500" s="27" t="s">
        <v>11397</v>
      </c>
      <c r="B500" s="44" t="s">
        <v>12352</v>
      </c>
      <c r="C500" s="45" t="s">
        <v>11910</v>
      </c>
      <c r="D500" s="46">
        <v>17.12</v>
      </c>
      <c r="E500" s="45" t="s">
        <v>12357</v>
      </c>
      <c r="F500" s="45"/>
      <c r="G500" s="9">
        <v>25.249870000000001</v>
      </c>
      <c r="H500" s="9">
        <v>38.150770000000001</v>
      </c>
      <c r="I500" s="9">
        <v>9.5888000000000009</v>
      </c>
      <c r="J500" s="9">
        <v>314.596</v>
      </c>
      <c r="K500" s="9">
        <v>314.596</v>
      </c>
      <c r="L500" s="9">
        <v>25.911349999999999</v>
      </c>
      <c r="M500" s="9">
        <v>69.791089999999997</v>
      </c>
      <c r="N500" s="10" t="s">
        <v>12467</v>
      </c>
      <c r="P500" s="32">
        <v>45299</v>
      </c>
      <c r="R500" s="35">
        <v>15.19974</v>
      </c>
      <c r="S500" s="34">
        <v>45298</v>
      </c>
      <c r="T500" s="35">
        <v>14.913919999999999</v>
      </c>
      <c r="U500" s="34">
        <v>45297</v>
      </c>
      <c r="V500" s="35">
        <v>14.913919999999999</v>
      </c>
      <c r="W500" s="34">
        <v>45296</v>
      </c>
      <c r="X500" s="35">
        <v>14.913919999999999</v>
      </c>
      <c r="Y500" s="34">
        <v>45295</v>
      </c>
      <c r="Z500" s="35">
        <v>14.849320000000001</v>
      </c>
      <c r="AA500" s="34">
        <v>45300</v>
      </c>
      <c r="AB500" s="35">
        <v>15.187939999999999</v>
      </c>
      <c r="AC500" s="34">
        <v>45301</v>
      </c>
      <c r="AD500" s="35">
        <v>14.90738</v>
      </c>
      <c r="AE500" s="34">
        <v>45302</v>
      </c>
      <c r="AF500" s="35">
        <v>14.99891</v>
      </c>
      <c r="AG500" s="34">
        <v>45303</v>
      </c>
      <c r="AH500" s="35">
        <v>15.29941</v>
      </c>
      <c r="AI500" s="36">
        <v>1.837343904218347E-2</v>
      </c>
      <c r="AK500" s="34">
        <v>45292</v>
      </c>
      <c r="AL500" s="35">
        <v>15.248620000000001</v>
      </c>
      <c r="AM500" s="34">
        <v>45306</v>
      </c>
      <c r="AN500" s="5">
        <v>15.274279999999999</v>
      </c>
      <c r="AP500" s="36">
        <v>1.6827752281844965E-3</v>
      </c>
      <c r="AS500" s="5" t="s">
        <v>12389</v>
      </c>
      <c r="AT500" s="5">
        <v>14.81</v>
      </c>
      <c r="AU500" s="5">
        <v>86.5</v>
      </c>
      <c r="AV500" s="5" t="s">
        <v>12400</v>
      </c>
      <c r="AW500" s="5" t="s">
        <v>12400</v>
      </c>
      <c r="AX500" s="5">
        <v>13.5</v>
      </c>
      <c r="AZ500" s="49" t="s">
        <v>12411</v>
      </c>
      <c r="BA500" s="50" t="s">
        <v>12414</v>
      </c>
      <c r="BC500" s="51">
        <v>0.77722999999999998</v>
      </c>
    </row>
    <row r="501" spans="1:56" ht="15" customHeight="1" x14ac:dyDescent="0.4">
      <c r="A501" s="27" t="s">
        <v>11335</v>
      </c>
      <c r="B501" s="44" t="s">
        <v>12288</v>
      </c>
      <c r="C501" s="45" t="s">
        <v>11911</v>
      </c>
      <c r="D501" s="46">
        <v>29.47</v>
      </c>
      <c r="E501" s="45" t="s">
        <v>12357</v>
      </c>
      <c r="F501" s="45"/>
      <c r="G501" s="9">
        <v>96.884680000000003</v>
      </c>
      <c r="H501" s="9">
        <v>129.79569000000001</v>
      </c>
      <c r="I501" s="9">
        <v>19.5322</v>
      </c>
      <c r="J501" s="9">
        <v>604.77913000000001</v>
      </c>
      <c r="K501" s="9">
        <v>604.77913000000001</v>
      </c>
      <c r="L501" s="9">
        <v>173.86762999999999</v>
      </c>
      <c r="M501" s="9">
        <v>-158.96468999999999</v>
      </c>
      <c r="N501" s="10" t="s">
        <v>12470</v>
      </c>
      <c r="P501" s="32">
        <v>45299</v>
      </c>
      <c r="R501" s="35">
        <v>13.87879</v>
      </c>
      <c r="S501" s="34">
        <v>45298</v>
      </c>
      <c r="T501" s="35">
        <v>13.75709</v>
      </c>
      <c r="U501" s="34">
        <v>45297</v>
      </c>
      <c r="V501" s="35">
        <v>13.75709</v>
      </c>
      <c r="W501" s="34">
        <v>45296</v>
      </c>
      <c r="X501" s="35">
        <v>13.75709</v>
      </c>
      <c r="Y501" s="34">
        <v>45295</v>
      </c>
      <c r="Z501" s="35">
        <v>13.96754</v>
      </c>
      <c r="AA501" s="34">
        <v>45300</v>
      </c>
      <c r="AB501" s="35">
        <v>13.97837</v>
      </c>
      <c r="AC501" s="34">
        <v>45301</v>
      </c>
      <c r="AD501" s="35">
        <v>13.818199999999999</v>
      </c>
      <c r="AE501" s="34">
        <v>45302</v>
      </c>
      <c r="AF501" s="35">
        <v>13.79819</v>
      </c>
      <c r="AG501" s="34">
        <v>45303</v>
      </c>
      <c r="AH501" s="35">
        <v>14.11416</v>
      </c>
      <c r="AI501" s="36">
        <v>1.6084797002854589E-2</v>
      </c>
      <c r="AK501" s="34">
        <v>45292</v>
      </c>
      <c r="AL501" s="35">
        <v>14.335179999999999</v>
      </c>
      <c r="AM501" s="34">
        <v>45306</v>
      </c>
      <c r="AN501" s="5">
        <v>14.11267</v>
      </c>
      <c r="AP501" s="36">
        <v>-1.5521953683176659E-2</v>
      </c>
      <c r="AS501" s="5" t="s">
        <v>12387</v>
      </c>
      <c r="AT501" s="5">
        <v>15.05</v>
      </c>
      <c r="AU501" s="5">
        <v>100</v>
      </c>
      <c r="AV501" s="5" t="s">
        <v>12400</v>
      </c>
      <c r="AW501" s="5" t="s">
        <v>12400</v>
      </c>
      <c r="AX501" s="5" t="s">
        <v>12400</v>
      </c>
      <c r="AZ501" s="49" t="s">
        <v>12415</v>
      </c>
      <c r="BA501" s="50" t="s">
        <v>12415</v>
      </c>
      <c r="BC501" s="51">
        <v>0.69301000000000001</v>
      </c>
    </row>
    <row r="502" spans="1:56" ht="15" customHeight="1" x14ac:dyDescent="0.4">
      <c r="A502" s="27" t="s">
        <v>11398</v>
      </c>
      <c r="B502" s="44" t="s">
        <v>12353</v>
      </c>
      <c r="C502" s="45" t="s">
        <v>11912</v>
      </c>
      <c r="D502" s="47">
        <v>0.435</v>
      </c>
      <c r="E502" s="45" t="s">
        <v>12357</v>
      </c>
      <c r="F502" s="45"/>
      <c r="G502" s="9">
        <v>11.086119999999999</v>
      </c>
      <c r="H502" s="9">
        <v>0.77803</v>
      </c>
      <c r="I502" s="9">
        <v>2.3180000000000001</v>
      </c>
      <c r="J502" s="9">
        <v>28.037050000000001</v>
      </c>
      <c r="K502" s="9">
        <v>28.037050000000001</v>
      </c>
      <c r="L502" s="9">
        <v>1.5422400000000001</v>
      </c>
      <c r="M502" s="9">
        <v>10.65292</v>
      </c>
      <c r="N502" s="10" t="s">
        <v>12467</v>
      </c>
      <c r="P502" s="32">
        <v>45299</v>
      </c>
      <c r="R502" s="35">
        <v>2.3814700000000002</v>
      </c>
      <c r="S502" s="34">
        <v>45298</v>
      </c>
      <c r="T502" s="35">
        <v>2.35771</v>
      </c>
      <c r="U502" s="34">
        <v>45297</v>
      </c>
      <c r="V502" s="35">
        <v>2.35771</v>
      </c>
      <c r="W502" s="34">
        <v>45296</v>
      </c>
      <c r="X502" s="35">
        <v>2.35771</v>
      </c>
      <c r="Y502" s="34">
        <v>45295</v>
      </c>
      <c r="Z502" s="35">
        <v>2.35616</v>
      </c>
      <c r="AA502" s="34">
        <v>45300</v>
      </c>
      <c r="AB502" s="35">
        <v>2.3819900000000001</v>
      </c>
      <c r="AC502" s="34">
        <v>45301</v>
      </c>
      <c r="AD502" s="35">
        <v>2.4114900000000001</v>
      </c>
      <c r="AE502" s="34">
        <v>45302</v>
      </c>
      <c r="AF502" s="35">
        <v>2.3538399999999999</v>
      </c>
      <c r="AG502" s="34">
        <v>45303</v>
      </c>
      <c r="AH502" s="35">
        <v>2.3799100000000002</v>
      </c>
      <c r="AI502" s="36">
        <v>1.0298128268531714E-2</v>
      </c>
      <c r="AK502" s="34">
        <v>45292</v>
      </c>
      <c r="AL502" s="35">
        <v>2.28729</v>
      </c>
      <c r="AM502" s="34">
        <v>45306</v>
      </c>
      <c r="AN502" s="5">
        <v>2.3102999999999998</v>
      </c>
      <c r="AP502" s="36">
        <v>1.005993992891141E-2</v>
      </c>
      <c r="AS502" s="5" t="s">
        <v>721</v>
      </c>
      <c r="AT502" s="5" t="s">
        <v>12400</v>
      </c>
      <c r="AU502" s="5" t="s">
        <v>12400</v>
      </c>
      <c r="AV502" s="5" t="s">
        <v>12400</v>
      </c>
      <c r="AW502" s="5" t="s">
        <v>12400</v>
      </c>
      <c r="AX502" s="5">
        <v>100</v>
      </c>
      <c r="AZ502" s="49" t="s">
        <v>12411</v>
      </c>
      <c r="BA502" s="50" t="s">
        <v>12411</v>
      </c>
      <c r="BC502" s="51">
        <v>0.54918</v>
      </c>
    </row>
    <row r="503" spans="1:56" ht="15" customHeight="1" x14ac:dyDescent="0.4">
      <c r="A503" s="27" t="s">
        <v>11399</v>
      </c>
      <c r="B503" s="44" t="s">
        <v>12354</v>
      </c>
      <c r="C503" s="45" t="s">
        <v>11913</v>
      </c>
      <c r="D503" s="46">
        <v>1.1499999999999999</v>
      </c>
      <c r="E503" s="45" t="s">
        <v>12357</v>
      </c>
      <c r="F503" s="45"/>
      <c r="G503" s="9">
        <v>6.5834900000000003</v>
      </c>
      <c r="H503" s="9">
        <v>-0.45005000000000001</v>
      </c>
      <c r="I503" s="9">
        <v>-19.378599999999999</v>
      </c>
      <c r="J503" s="9">
        <v>0</v>
      </c>
      <c r="K503" s="9">
        <v>0</v>
      </c>
      <c r="L503" s="9">
        <v>0</v>
      </c>
      <c r="M503" s="9">
        <v>-4.7986899999999997</v>
      </c>
      <c r="N503" s="10" t="s">
        <v>12467</v>
      </c>
      <c r="P503" s="32">
        <v>45299</v>
      </c>
      <c r="R503" s="35">
        <v>1.9881599999999999</v>
      </c>
      <c r="S503" s="34">
        <v>45298</v>
      </c>
      <c r="T503" s="35">
        <v>2.0266799999999998</v>
      </c>
      <c r="U503" s="34">
        <v>45297</v>
      </c>
      <c r="V503" s="35">
        <v>2.0266799999999998</v>
      </c>
      <c r="W503" s="34">
        <v>45296</v>
      </c>
      <c r="X503" s="35">
        <v>2.0266799999999998</v>
      </c>
      <c r="Y503" s="34">
        <v>45295</v>
      </c>
      <c r="Z503" s="35">
        <v>2.0358000000000001</v>
      </c>
      <c r="AA503" s="34">
        <v>45300</v>
      </c>
      <c r="AB503" s="35">
        <v>2.1431100000000001</v>
      </c>
      <c r="AC503" s="34">
        <v>45301</v>
      </c>
      <c r="AD503" s="35">
        <v>2.2121200000000001</v>
      </c>
      <c r="AE503" s="34">
        <v>45302</v>
      </c>
      <c r="AF503" s="35">
        <v>2.2519499999999999</v>
      </c>
      <c r="AG503" s="34">
        <v>45303</v>
      </c>
      <c r="AH503" s="35">
        <v>2.2595800000000001</v>
      </c>
      <c r="AI503" s="36">
        <v>5.7448635206347465E-2</v>
      </c>
      <c r="AK503" s="34">
        <v>45292</v>
      </c>
      <c r="AL503" s="35">
        <v>1.96248</v>
      </c>
      <c r="AM503" s="34">
        <v>45306</v>
      </c>
      <c r="AN503" s="5">
        <v>2.2126999999999999</v>
      </c>
      <c r="AP503" s="36">
        <v>0.12750193632546569</v>
      </c>
      <c r="AS503" s="5" t="s">
        <v>12387</v>
      </c>
      <c r="AT503" s="5">
        <v>1.1499999999999999</v>
      </c>
      <c r="AU503" s="5">
        <v>100</v>
      </c>
      <c r="AV503" s="5" t="s">
        <v>12400</v>
      </c>
      <c r="AW503" s="5" t="s">
        <v>12400</v>
      </c>
      <c r="AX503" s="5" t="s">
        <v>12400</v>
      </c>
      <c r="AZ503" s="49" t="s">
        <v>12435</v>
      </c>
      <c r="BA503" s="50" t="s">
        <v>12415</v>
      </c>
      <c r="BC503" s="51">
        <v>-0.15085000000000001</v>
      </c>
    </row>
    <row r="504" spans="1:56" ht="15" customHeight="1" x14ac:dyDescent="0.4">
      <c r="A504" s="27" t="s">
        <v>11400</v>
      </c>
      <c r="B504" s="44" t="s">
        <v>12355</v>
      </c>
      <c r="C504" s="45" t="s">
        <v>11914</v>
      </c>
      <c r="D504" s="46">
        <v>12.5</v>
      </c>
      <c r="E504" s="45" t="s">
        <v>12357</v>
      </c>
      <c r="F504" s="45"/>
      <c r="G504" s="9">
        <v>229.15801999999999</v>
      </c>
      <c r="H504" s="9">
        <v>429.6</v>
      </c>
      <c r="I504" s="9">
        <v>4.5251000000000001</v>
      </c>
      <c r="J504" s="9">
        <v>7774</v>
      </c>
      <c r="K504" s="9">
        <v>7774</v>
      </c>
      <c r="L504" s="9">
        <v>767.7</v>
      </c>
      <c r="M504" s="9">
        <v>2916.5</v>
      </c>
      <c r="N504" s="10" t="s">
        <v>12475</v>
      </c>
      <c r="O504" s="30"/>
      <c r="P504" s="32">
        <v>45299</v>
      </c>
      <c r="Q504" s="30"/>
      <c r="R504" s="35">
        <v>10.14</v>
      </c>
      <c r="S504" s="34">
        <v>45298</v>
      </c>
      <c r="T504" s="35">
        <v>9.91</v>
      </c>
      <c r="U504" s="34">
        <v>45297</v>
      </c>
      <c r="V504" s="35">
        <v>9.91</v>
      </c>
      <c r="W504" s="34">
        <v>45296</v>
      </c>
      <c r="X504" s="35">
        <v>9.91</v>
      </c>
      <c r="Y504" s="34">
        <v>45295</v>
      </c>
      <c r="Z504" s="35">
        <v>10.09</v>
      </c>
      <c r="AA504" s="34">
        <v>45300</v>
      </c>
      <c r="AB504" s="35">
        <v>9.91</v>
      </c>
      <c r="AC504" s="34">
        <v>45301</v>
      </c>
      <c r="AD504" s="35">
        <v>10.07</v>
      </c>
      <c r="AE504" s="34">
        <v>45302</v>
      </c>
      <c r="AF504" s="35">
        <v>9.99</v>
      </c>
      <c r="AG504" s="34">
        <v>45303</v>
      </c>
      <c r="AH504" s="35">
        <v>9.93</v>
      </c>
      <c r="AI504" s="36">
        <v>0</v>
      </c>
      <c r="AJ504" s="30"/>
      <c r="AK504" s="34">
        <v>45292</v>
      </c>
      <c r="AL504" s="35">
        <v>10.8</v>
      </c>
      <c r="AM504" s="34">
        <v>45306</v>
      </c>
      <c r="AN504" s="5">
        <v>9.93</v>
      </c>
      <c r="AO504" s="30" t="s">
        <v>11401</v>
      </c>
      <c r="AP504" s="36">
        <v>-8.0555555555555602E-2</v>
      </c>
      <c r="AQ504" s="30"/>
      <c r="AR504" s="30"/>
      <c r="AS504" s="5" t="s">
        <v>12387</v>
      </c>
      <c r="AT504" s="5">
        <v>11.99</v>
      </c>
      <c r="AU504" s="5">
        <v>100</v>
      </c>
      <c r="AV504" s="5" t="s">
        <v>12400</v>
      </c>
      <c r="AW504" s="5" t="s">
        <v>12400</v>
      </c>
      <c r="AX504" s="5" t="s">
        <v>12400</v>
      </c>
      <c r="AZ504" s="49" t="s">
        <v>12415</v>
      </c>
      <c r="BA504" s="50" t="s">
        <v>12415</v>
      </c>
      <c r="BB504" s="30"/>
      <c r="BC504" s="51">
        <v>1.4617</v>
      </c>
      <c r="BD504" s="30"/>
    </row>
    <row r="505" spans="1:56" ht="15" customHeight="1" x14ac:dyDescent="0.4">
      <c r="N505" s="10"/>
    </row>
    <row r="506" spans="1:56" ht="15" customHeight="1" x14ac:dyDescent="0.4">
      <c r="N506" s="10"/>
    </row>
    <row r="507" spans="1:56" ht="15" customHeight="1" x14ac:dyDescent="0.4">
      <c r="N507" s="10"/>
    </row>
    <row r="508" spans="1:56" ht="15" customHeight="1" x14ac:dyDescent="0.4">
      <c r="N508" s="10"/>
    </row>
  </sheetData>
  <phoneticPr fontId="0" type="noConversion"/>
  <printOptions gridLinesSet="0"/>
  <pageMargins left="0.2" right="0.2" top="0.5" bottom="0.5" header="0.5" footer="0.5"/>
  <pageSetup scale="89" fitToWidth="0" fitToHeight="0" orientation="landscape" horizontalDpi="300" verticalDpi="300" r:id="rId1"/>
  <headerFooter alignWithMargins="0"/>
  <rowBreaks count="2" manualBreakCount="2">
    <brk id="34" max="8" man="1"/>
    <brk id="69"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15</xdr:col>
                    <xdr:colOff>0</xdr:colOff>
                    <xdr:row>0</xdr:row>
                    <xdr:rowOff>0</xdr:rowOff>
                  </from>
                  <to>
                    <xdr:col>16</xdr:col>
                    <xdr:colOff>361950</xdr:colOff>
                    <xdr:row>1</xdr:row>
                    <xdr:rowOff>0</xdr:rowOff>
                  </to>
                </anchor>
              </controlPr>
            </control>
          </mc:Choice>
        </mc:AlternateContent>
        <mc:AlternateContent xmlns:mc="http://schemas.openxmlformats.org/markup-compatibility/2006">
          <mc:Choice Requires="x14">
            <control shapeId="1029" r:id="rId5" name="Drop Down 5">
              <controlPr defaultSize="0" autoLine="0" autoPict="0">
                <anchor moveWithCells="1">
                  <from>
                    <xdr:col>12</xdr:col>
                    <xdr:colOff>0</xdr:colOff>
                    <xdr:row>0</xdr:row>
                    <xdr:rowOff>0</xdr:rowOff>
                  </from>
                  <to>
                    <xdr:col>13</xdr:col>
                    <xdr:colOff>9525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5:L1029"/>
  <sheetViews>
    <sheetView workbookViewId="0">
      <pane xSplit="2" ySplit="7" topLeftCell="C8" activePane="bottomRight" state="frozen"/>
      <selection pane="topRight" activeCell="C1" sqref="C1"/>
      <selection pane="bottomLeft" activeCell="A8" sqref="A8"/>
      <selection pane="bottomRight"/>
    </sheetView>
  </sheetViews>
  <sheetFormatPr defaultRowHeight="12.75" x14ac:dyDescent="0.35"/>
  <cols>
    <col min="1" max="12" width="40.73046875" customWidth="1"/>
  </cols>
  <sheetData>
    <row r="5" spans="1:12" x14ac:dyDescent="0.35">
      <c r="A5">
        <v>1</v>
      </c>
    </row>
    <row r="6" spans="1:12" x14ac:dyDescent="0.35">
      <c r="A6">
        <f>COUNTA(B7:CW7)</f>
        <v>11</v>
      </c>
    </row>
    <row r="7" spans="1:12" ht="13.9" x14ac:dyDescent="0.4">
      <c r="B7" s="20" t="s">
        <v>973</v>
      </c>
      <c r="C7" s="20" t="s">
        <v>974</v>
      </c>
      <c r="D7" s="20" t="s">
        <v>975</v>
      </c>
      <c r="E7" s="20" t="s">
        <v>976</v>
      </c>
      <c r="F7" s="20" t="s">
        <v>977</v>
      </c>
      <c r="G7" s="20" t="s">
        <v>978</v>
      </c>
      <c r="H7" s="20" t="s">
        <v>979</v>
      </c>
      <c r="I7" s="20" t="s">
        <v>980</v>
      </c>
      <c r="J7" s="20" t="s">
        <v>981</v>
      </c>
      <c r="K7" s="20" t="s">
        <v>982</v>
      </c>
      <c r="L7" s="23" t="s">
        <v>8103</v>
      </c>
    </row>
    <row r="8" spans="1:12" x14ac:dyDescent="0.35">
      <c r="A8" t="str">
        <f t="shared" ref="A8:A63" si="0">INDEX($B8:$CW8,,$A$5)</f>
        <v>Currency</v>
      </c>
      <c r="B8" t="s">
        <v>170</v>
      </c>
      <c r="C8" t="s">
        <v>1026</v>
      </c>
      <c r="D8" t="s">
        <v>1027</v>
      </c>
      <c r="E8" t="s">
        <v>1028</v>
      </c>
      <c r="F8" t="s">
        <v>1029</v>
      </c>
      <c r="G8" t="s">
        <v>1030</v>
      </c>
      <c r="H8" t="s">
        <v>1031</v>
      </c>
      <c r="I8" t="s">
        <v>1032</v>
      </c>
      <c r="J8" t="s">
        <v>1033</v>
      </c>
      <c r="K8" t="s">
        <v>1034</v>
      </c>
      <c r="L8" t="s">
        <v>8104</v>
      </c>
    </row>
    <row r="9" spans="1:12" x14ac:dyDescent="0.35">
      <c r="A9" t="str">
        <f t="shared" si="0"/>
        <v>Date</v>
      </c>
      <c r="B9" t="s">
        <v>169</v>
      </c>
      <c r="C9" t="s">
        <v>1035</v>
      </c>
      <c r="D9" t="s">
        <v>1035</v>
      </c>
      <c r="E9" t="s">
        <v>169</v>
      </c>
      <c r="F9" t="s">
        <v>1036</v>
      </c>
      <c r="G9" t="s">
        <v>1037</v>
      </c>
      <c r="H9" t="s">
        <v>1038</v>
      </c>
      <c r="I9" t="s">
        <v>1039</v>
      </c>
      <c r="J9" t="s">
        <v>1040</v>
      </c>
      <c r="K9" t="s">
        <v>1041</v>
      </c>
      <c r="L9" t="s">
        <v>1037</v>
      </c>
    </row>
    <row r="10" spans="1:12" x14ac:dyDescent="0.35">
      <c r="A10" t="str">
        <f t="shared" si="0"/>
        <v>Conversion</v>
      </c>
      <c r="B10" t="s">
        <v>7862</v>
      </c>
      <c r="C10" t="s">
        <v>7863</v>
      </c>
      <c r="D10" t="s">
        <v>7864</v>
      </c>
      <c r="E10" t="s">
        <v>7862</v>
      </c>
      <c r="F10" t="s">
        <v>7865</v>
      </c>
      <c r="G10" t="s">
        <v>7866</v>
      </c>
      <c r="H10" t="s">
        <v>7867</v>
      </c>
      <c r="I10" t="s">
        <v>7868</v>
      </c>
      <c r="J10" t="s">
        <v>7869</v>
      </c>
      <c r="K10" t="s">
        <v>7870</v>
      </c>
      <c r="L10" t="s">
        <v>8105</v>
      </c>
    </row>
    <row r="11" spans="1:12" x14ac:dyDescent="0.35">
      <c r="A11" t="str">
        <f t="shared" si="0"/>
        <v>Key Financials</v>
      </c>
      <c r="B11" t="s">
        <v>8049</v>
      </c>
      <c r="C11" t="s">
        <v>8775</v>
      </c>
      <c r="D11" t="s">
        <v>8776</v>
      </c>
      <c r="E11" t="s">
        <v>8777</v>
      </c>
      <c r="F11" t="s">
        <v>8778</v>
      </c>
      <c r="G11" t="s">
        <v>8779</v>
      </c>
      <c r="H11" t="s">
        <v>8780</v>
      </c>
      <c r="I11" t="s">
        <v>8781</v>
      </c>
      <c r="J11" t="s">
        <v>8782</v>
      </c>
      <c r="K11" t="s">
        <v>8783</v>
      </c>
      <c r="L11" t="s">
        <v>8784</v>
      </c>
    </row>
    <row r="12" spans="1:12" x14ac:dyDescent="0.35">
      <c r="A12" t="str">
        <f t="shared" si="0"/>
        <v>Total Revenue</v>
      </c>
      <c r="B12" t="s">
        <v>839</v>
      </c>
      <c r="C12" t="s">
        <v>1042</v>
      </c>
      <c r="D12" t="s">
        <v>1043</v>
      </c>
      <c r="E12" t="s">
        <v>1044</v>
      </c>
      <c r="F12" t="s">
        <v>1045</v>
      </c>
      <c r="G12" t="s">
        <v>1046</v>
      </c>
      <c r="H12" t="s">
        <v>1047</v>
      </c>
      <c r="I12" t="s">
        <v>1048</v>
      </c>
      <c r="J12" t="s">
        <v>1049</v>
      </c>
      <c r="K12" t="s">
        <v>1050</v>
      </c>
      <c r="L12" t="s">
        <v>8106</v>
      </c>
    </row>
    <row r="13" spans="1:12" x14ac:dyDescent="0.35">
      <c r="A13" t="str">
        <f t="shared" si="0"/>
        <v>Gross Profit</v>
      </c>
      <c r="B13" t="s">
        <v>840</v>
      </c>
      <c r="C13" t="s">
        <v>1051</v>
      </c>
      <c r="D13" t="s">
        <v>1051</v>
      </c>
      <c r="E13" t="s">
        <v>1052</v>
      </c>
      <c r="F13" t="s">
        <v>1053</v>
      </c>
      <c r="G13" t="s">
        <v>1054</v>
      </c>
      <c r="H13" t="s">
        <v>1055</v>
      </c>
      <c r="I13" t="s">
        <v>1056</v>
      </c>
      <c r="J13" t="s">
        <v>1057</v>
      </c>
      <c r="K13" t="s">
        <v>1058</v>
      </c>
      <c r="L13" t="s">
        <v>8107</v>
      </c>
    </row>
    <row r="14" spans="1:12" x14ac:dyDescent="0.35">
      <c r="A14" t="str">
        <f t="shared" si="0"/>
        <v>Margin %</v>
      </c>
      <c r="B14" s="19" t="s">
        <v>988</v>
      </c>
      <c r="C14" t="s">
        <v>7854</v>
      </c>
      <c r="D14" t="s">
        <v>7855</v>
      </c>
      <c r="E14" t="s">
        <v>7856</v>
      </c>
      <c r="F14" t="s">
        <v>7856</v>
      </c>
      <c r="G14" t="s">
        <v>7857</v>
      </c>
      <c r="H14" t="s">
        <v>7858</v>
      </c>
      <c r="I14" t="s">
        <v>7859</v>
      </c>
      <c r="J14" t="s">
        <v>7860</v>
      </c>
      <c r="K14" t="s">
        <v>7861</v>
      </c>
      <c r="L14" t="s">
        <v>10800</v>
      </c>
    </row>
    <row r="15" spans="1:12" x14ac:dyDescent="0.35">
      <c r="A15" t="str">
        <f t="shared" si="0"/>
        <v>EBITDA</v>
      </c>
      <c r="B15" t="s">
        <v>841</v>
      </c>
      <c r="C15" t="s">
        <v>1059</v>
      </c>
      <c r="D15" t="s">
        <v>1060</v>
      </c>
      <c r="E15" t="s">
        <v>841</v>
      </c>
      <c r="F15" t="s">
        <v>841</v>
      </c>
      <c r="G15" t="s">
        <v>841</v>
      </c>
      <c r="H15" t="s">
        <v>841</v>
      </c>
      <c r="I15" t="s">
        <v>841</v>
      </c>
      <c r="J15" t="s">
        <v>841</v>
      </c>
      <c r="K15" t="s">
        <v>841</v>
      </c>
      <c r="L15" t="s">
        <v>841</v>
      </c>
    </row>
    <row r="16" spans="1:12" x14ac:dyDescent="0.35">
      <c r="A16" t="str">
        <f t="shared" si="0"/>
        <v>EBIT</v>
      </c>
      <c r="B16" t="s">
        <v>842</v>
      </c>
      <c r="C16" t="s">
        <v>1061</v>
      </c>
      <c r="D16" t="s">
        <v>1061</v>
      </c>
      <c r="E16" t="s">
        <v>842</v>
      </c>
      <c r="F16" t="s">
        <v>842</v>
      </c>
      <c r="G16" t="s">
        <v>842</v>
      </c>
      <c r="H16" t="s">
        <v>842</v>
      </c>
      <c r="I16" t="s">
        <v>842</v>
      </c>
      <c r="J16" t="s">
        <v>842</v>
      </c>
      <c r="K16" t="s">
        <v>842</v>
      </c>
      <c r="L16" t="s">
        <v>842</v>
      </c>
    </row>
    <row r="17" spans="1:12" x14ac:dyDescent="0.35">
      <c r="A17" t="str">
        <f t="shared" si="0"/>
        <v>Earnings from Cont. Ops.</v>
      </c>
      <c r="B17" t="s">
        <v>843</v>
      </c>
      <c r="C17" t="s">
        <v>1062</v>
      </c>
      <c r="D17" t="s">
        <v>1063</v>
      </c>
      <c r="E17" t="s">
        <v>1064</v>
      </c>
      <c r="F17" t="s">
        <v>1065</v>
      </c>
      <c r="G17" t="s">
        <v>1066</v>
      </c>
      <c r="H17" t="s">
        <v>1067</v>
      </c>
      <c r="I17" t="s">
        <v>1068</v>
      </c>
      <c r="J17" t="s">
        <v>1069</v>
      </c>
      <c r="K17" t="s">
        <v>1070</v>
      </c>
      <c r="L17" t="s">
        <v>8108</v>
      </c>
    </row>
    <row r="18" spans="1:12" x14ac:dyDescent="0.35">
      <c r="A18" t="str">
        <f t="shared" si="0"/>
        <v>Net Income</v>
      </c>
      <c r="B18" t="s">
        <v>844</v>
      </c>
      <c r="C18" t="s">
        <v>1071</v>
      </c>
      <c r="D18" t="s">
        <v>1072</v>
      </c>
      <c r="E18" t="s">
        <v>1073</v>
      </c>
      <c r="F18" t="s">
        <v>1074</v>
      </c>
      <c r="G18" t="s">
        <v>1075</v>
      </c>
      <c r="H18" t="s">
        <v>1076</v>
      </c>
      <c r="I18" t="s">
        <v>1077</v>
      </c>
      <c r="J18" t="s">
        <v>1078</v>
      </c>
      <c r="K18" t="s">
        <v>1079</v>
      </c>
      <c r="L18" s="19" t="s">
        <v>8109</v>
      </c>
    </row>
    <row r="19" spans="1:12" x14ac:dyDescent="0.35">
      <c r="A19" t="str">
        <f t="shared" si="0"/>
        <v>Diluted EPS Excl. Extra Items</v>
      </c>
      <c r="B19" t="s">
        <v>850</v>
      </c>
      <c r="C19" t="s">
        <v>5815</v>
      </c>
      <c r="D19" t="s">
        <v>7846</v>
      </c>
      <c r="E19" t="s">
        <v>7847</v>
      </c>
      <c r="F19" t="s">
        <v>7848</v>
      </c>
      <c r="G19" t="s">
        <v>7849</v>
      </c>
      <c r="H19" t="s">
        <v>7850</v>
      </c>
      <c r="I19" t="s">
        <v>7851</v>
      </c>
      <c r="J19" t="s">
        <v>7852</v>
      </c>
      <c r="K19" t="s">
        <v>7853</v>
      </c>
      <c r="L19" t="s">
        <v>10874</v>
      </c>
    </row>
    <row r="20" spans="1:12" x14ac:dyDescent="0.35">
      <c r="A20" t="str">
        <f t="shared" si="0"/>
        <v>All results taken from the most recently filed statement for each period as of the valuation date. When there has been more than one, earlier filings can be viewed on the individual statement pages.</v>
      </c>
      <c r="B20" t="s">
        <v>1023</v>
      </c>
      <c r="C20" t="s">
        <v>8785</v>
      </c>
      <c r="D20" t="s">
        <v>8786</v>
      </c>
      <c r="E20" t="s">
        <v>8787</v>
      </c>
      <c r="F20" t="s">
        <v>8788</v>
      </c>
      <c r="G20" t="s">
        <v>8789</v>
      </c>
      <c r="H20" t="s">
        <v>8790</v>
      </c>
      <c r="I20" t="s">
        <v>8791</v>
      </c>
      <c r="J20" t="s">
        <v>8792</v>
      </c>
      <c r="K20" t="s">
        <v>8793</v>
      </c>
      <c r="L20" t="s">
        <v>8794</v>
      </c>
    </row>
    <row r="21" spans="1:12" x14ac:dyDescent="0.35">
      <c r="A21" t="str">
        <f t="shared" si="0"/>
        <v>Growth rates for the LTM period are calculated against the LTM period ending 12 months before.</v>
      </c>
      <c r="B21" s="19" t="s">
        <v>1024</v>
      </c>
      <c r="C21" t="s">
        <v>8795</v>
      </c>
      <c r="D21" t="s">
        <v>8796</v>
      </c>
      <c r="E21" t="s">
        <v>8797</v>
      </c>
      <c r="F21" t="s">
        <v>8798</v>
      </c>
      <c r="G21" t="s">
        <v>8799</v>
      </c>
      <c r="H21" t="s">
        <v>8800</v>
      </c>
      <c r="I21" t="s">
        <v>8801</v>
      </c>
      <c r="J21" t="s">
        <v>8802</v>
      </c>
      <c r="K21" t="s">
        <v>8803</v>
      </c>
      <c r="L21" t="s">
        <v>8804</v>
      </c>
    </row>
    <row r="22" spans="1:12" x14ac:dyDescent="0.35">
      <c r="A22" t="str">
        <f t="shared" si="0"/>
        <v>EPS figures for forward periods are Reuters mean estimates.</v>
      </c>
      <c r="B22" t="s">
        <v>1025</v>
      </c>
      <c r="C22" t="s">
        <v>8805</v>
      </c>
      <c r="D22" t="s">
        <v>8806</v>
      </c>
      <c r="E22" t="s">
        <v>8807</v>
      </c>
      <c r="F22" t="s">
        <v>8808</v>
      </c>
      <c r="G22" t="s">
        <v>8809</v>
      </c>
      <c r="H22" s="24" t="s">
        <v>10971</v>
      </c>
      <c r="I22" t="s">
        <v>8810</v>
      </c>
      <c r="J22" t="s">
        <v>8811</v>
      </c>
      <c r="K22" t="s">
        <v>8812</v>
      </c>
      <c r="L22" t="s">
        <v>8813</v>
      </c>
    </row>
    <row r="23" spans="1:12" x14ac:dyDescent="0.35">
      <c r="A23" t="str">
        <f t="shared" si="0"/>
        <v>Capitalization</v>
      </c>
      <c r="B23" t="s">
        <v>361</v>
      </c>
      <c r="C23" t="s">
        <v>1080</v>
      </c>
      <c r="D23" t="s">
        <v>1081</v>
      </c>
      <c r="E23" t="s">
        <v>1082</v>
      </c>
      <c r="F23" t="s">
        <v>1083</v>
      </c>
      <c r="G23" t="s">
        <v>1084</v>
      </c>
      <c r="H23" t="s">
        <v>1085</v>
      </c>
      <c r="I23" t="s">
        <v>1086</v>
      </c>
      <c r="J23" t="s">
        <v>1087</v>
      </c>
      <c r="K23" t="s">
        <v>1088</v>
      </c>
      <c r="L23" t="s">
        <v>10801</v>
      </c>
    </row>
    <row r="24" spans="1:12" x14ac:dyDescent="0.35">
      <c r="A24" t="str">
        <f t="shared" si="0"/>
        <v>Shares Out.</v>
      </c>
      <c r="B24" s="19" t="s">
        <v>987</v>
      </c>
      <c r="C24" t="s">
        <v>4977</v>
      </c>
      <c r="D24" t="s">
        <v>4978</v>
      </c>
      <c r="E24" t="s">
        <v>4979</v>
      </c>
      <c r="F24" t="s">
        <v>4980</v>
      </c>
      <c r="G24" t="s">
        <v>4981</v>
      </c>
      <c r="H24" t="s">
        <v>4982</v>
      </c>
      <c r="I24" t="s">
        <v>4983</v>
      </c>
      <c r="J24" t="s">
        <v>4984</v>
      </c>
      <c r="K24" t="s">
        <v>4985</v>
      </c>
      <c r="L24" t="s">
        <v>10875</v>
      </c>
    </row>
    <row r="25" spans="1:12" x14ac:dyDescent="0.35">
      <c r="A25" t="str">
        <f t="shared" si="0"/>
        <v>GRAPH DATA</v>
      </c>
      <c r="B25" t="s">
        <v>720</v>
      </c>
      <c r="C25" t="s">
        <v>8814</v>
      </c>
      <c r="D25" t="s">
        <v>8815</v>
      </c>
      <c r="E25" t="s">
        <v>8816</v>
      </c>
      <c r="F25" t="s">
        <v>8817</v>
      </c>
      <c r="G25" t="s">
        <v>8818</v>
      </c>
      <c r="H25" t="s">
        <v>8819</v>
      </c>
      <c r="I25" t="s">
        <v>8820</v>
      </c>
      <c r="J25" t="s">
        <v>8821</v>
      </c>
      <c r="K25" t="s">
        <v>8822</v>
      </c>
      <c r="L25" t="s">
        <v>8823</v>
      </c>
    </row>
    <row r="26" spans="1:12" x14ac:dyDescent="0.35">
      <c r="A26" t="str">
        <f t="shared" si="0"/>
        <v>Pref. Equity</v>
      </c>
      <c r="B26" s="19" t="s">
        <v>989</v>
      </c>
      <c r="C26" t="s">
        <v>8824</v>
      </c>
      <c r="D26" t="s">
        <v>8825</v>
      </c>
      <c r="E26" t="s">
        <v>8826</v>
      </c>
      <c r="F26" t="s">
        <v>8827</v>
      </c>
      <c r="G26" t="s">
        <v>8828</v>
      </c>
      <c r="H26" t="s">
        <v>8829</v>
      </c>
      <c r="I26" t="s">
        <v>8830</v>
      </c>
      <c r="J26" t="s">
        <v>8831</v>
      </c>
      <c r="K26" t="s">
        <v>8832</v>
      </c>
      <c r="L26" t="s">
        <v>8833</v>
      </c>
    </row>
    <row r="27" spans="1:12" x14ac:dyDescent="0.35">
      <c r="A27" t="str">
        <f t="shared" si="0"/>
        <v>Total Minority Interest</v>
      </c>
      <c r="B27" s="19" t="s">
        <v>990</v>
      </c>
      <c r="C27" t="s">
        <v>1089</v>
      </c>
      <c r="D27" t="s">
        <v>1090</v>
      </c>
      <c r="E27" t="s">
        <v>1091</v>
      </c>
      <c r="F27" t="s">
        <v>1092</v>
      </c>
      <c r="G27" t="s">
        <v>1093</v>
      </c>
      <c r="H27" t="s">
        <v>1094</v>
      </c>
      <c r="I27" t="s">
        <v>1095</v>
      </c>
      <c r="J27" t="s">
        <v>1096</v>
      </c>
      <c r="K27" t="s">
        <v>1097</v>
      </c>
      <c r="L27" t="s">
        <v>10802</v>
      </c>
    </row>
    <row r="28" spans="1:12" x14ac:dyDescent="0.35">
      <c r="A28" t="str">
        <f t="shared" si="0"/>
        <v>Market Capitalization</v>
      </c>
      <c r="B28" t="s">
        <v>467</v>
      </c>
      <c r="C28" t="s">
        <v>1098</v>
      </c>
      <c r="D28" t="s">
        <v>1098</v>
      </c>
      <c r="E28" t="s">
        <v>1099</v>
      </c>
      <c r="F28" t="s">
        <v>1100</v>
      </c>
      <c r="G28" t="s">
        <v>1101</v>
      </c>
      <c r="H28" t="s">
        <v>1102</v>
      </c>
      <c r="I28" t="s">
        <v>1103</v>
      </c>
      <c r="J28" t="s">
        <v>1104</v>
      </c>
      <c r="K28" t="s">
        <v>1105</v>
      </c>
      <c r="L28" t="s">
        <v>10917</v>
      </c>
    </row>
    <row r="29" spans="1:12" x14ac:dyDescent="0.35">
      <c r="A29" t="str">
        <f t="shared" si="0"/>
        <v>Net Liability</v>
      </c>
      <c r="B29" t="s">
        <v>723</v>
      </c>
      <c r="C29" t="s">
        <v>8834</v>
      </c>
      <c r="D29" t="s">
        <v>8835</v>
      </c>
      <c r="E29" t="s">
        <v>8836</v>
      </c>
      <c r="F29" t="s">
        <v>8837</v>
      </c>
      <c r="G29" t="s">
        <v>8838</v>
      </c>
      <c r="H29" t="s">
        <v>8839</v>
      </c>
      <c r="I29" t="s">
        <v>8840</v>
      </c>
      <c r="J29" t="s">
        <v>8841</v>
      </c>
      <c r="K29" t="s">
        <v>8842</v>
      </c>
      <c r="L29" t="s">
        <v>8843</v>
      </c>
    </row>
    <row r="30" spans="1:12" x14ac:dyDescent="0.35">
      <c r="A30" t="str">
        <f t="shared" si="0"/>
        <v>Total Liability</v>
      </c>
      <c r="B30" t="s">
        <v>722</v>
      </c>
      <c r="C30" t="s">
        <v>8844</v>
      </c>
      <c r="D30" t="s">
        <v>8845</v>
      </c>
      <c r="E30" t="s">
        <v>8846</v>
      </c>
      <c r="F30" t="s">
        <v>8847</v>
      </c>
      <c r="G30" t="s">
        <v>3047</v>
      </c>
      <c r="H30" t="s">
        <v>3048</v>
      </c>
      <c r="I30" t="s">
        <v>8848</v>
      </c>
      <c r="J30" t="s">
        <v>8849</v>
      </c>
      <c r="K30" t="s">
        <v>3471</v>
      </c>
      <c r="L30" t="s">
        <v>8850</v>
      </c>
    </row>
    <row r="31" spans="1:12" x14ac:dyDescent="0.35">
      <c r="A31" t="str">
        <f t="shared" si="0"/>
        <v>Common Equity</v>
      </c>
      <c r="B31" t="s">
        <v>721</v>
      </c>
      <c r="C31" t="s">
        <v>1106</v>
      </c>
      <c r="D31" t="s">
        <v>1107</v>
      </c>
      <c r="E31" t="s">
        <v>1108</v>
      </c>
      <c r="F31" t="s">
        <v>1109</v>
      </c>
      <c r="G31" t="s">
        <v>1110</v>
      </c>
      <c r="H31" t="s">
        <v>1111</v>
      </c>
      <c r="I31" t="s">
        <v>1112</v>
      </c>
      <c r="J31" t="s">
        <v>1113</v>
      </c>
      <c r="K31" t="s">
        <v>1114</v>
      </c>
      <c r="L31" t="s">
        <v>10876</v>
      </c>
    </row>
    <row r="32" spans="1:12" x14ac:dyDescent="0.35">
      <c r="A32" t="str">
        <f t="shared" si="0"/>
        <v>Total Enterprise Value (TEV)</v>
      </c>
      <c r="B32" s="19" t="s">
        <v>991</v>
      </c>
      <c r="C32" t="s">
        <v>8042</v>
      </c>
      <c r="D32" t="s">
        <v>8043</v>
      </c>
      <c r="E32" t="s">
        <v>8044</v>
      </c>
      <c r="F32" t="s">
        <v>1120</v>
      </c>
      <c r="G32" t="s">
        <v>1121</v>
      </c>
      <c r="H32" t="s">
        <v>8045</v>
      </c>
      <c r="I32" t="s">
        <v>1123</v>
      </c>
      <c r="J32" t="s">
        <v>8046</v>
      </c>
      <c r="K32" t="s">
        <v>8047</v>
      </c>
      <c r="L32" t="s">
        <v>10938</v>
      </c>
    </row>
    <row r="33" spans="1:12" x14ac:dyDescent="0.35">
      <c r="A33" t="str">
        <f t="shared" si="0"/>
        <v>MarketCap</v>
      </c>
      <c r="B33" t="s">
        <v>724</v>
      </c>
      <c r="C33" t="s">
        <v>1098</v>
      </c>
      <c r="D33" t="s">
        <v>1098</v>
      </c>
      <c r="E33" t="s">
        <v>1115</v>
      </c>
      <c r="F33" t="s">
        <v>1100</v>
      </c>
      <c r="G33" t="s">
        <v>1101</v>
      </c>
      <c r="H33" t="s">
        <v>1102</v>
      </c>
      <c r="I33" t="s">
        <v>1103</v>
      </c>
      <c r="J33" t="s">
        <v>1116</v>
      </c>
      <c r="K33" t="s">
        <v>1105</v>
      </c>
      <c r="L33" t="s">
        <v>10917</v>
      </c>
    </row>
    <row r="34" spans="1:12" x14ac:dyDescent="0.35">
      <c r="A34" t="str">
        <f t="shared" si="0"/>
        <v>TEV</v>
      </c>
      <c r="B34" t="s">
        <v>725</v>
      </c>
      <c r="C34" t="s">
        <v>1117</v>
      </c>
      <c r="D34" t="s">
        <v>1118</v>
      </c>
      <c r="E34" t="s">
        <v>1119</v>
      </c>
      <c r="F34" t="s">
        <v>1120</v>
      </c>
      <c r="G34" t="s">
        <v>1121</v>
      </c>
      <c r="H34" t="s">
        <v>1122</v>
      </c>
      <c r="I34" t="s">
        <v>1123</v>
      </c>
      <c r="J34" t="s">
        <v>1124</v>
      </c>
      <c r="K34" t="s">
        <v>1125</v>
      </c>
      <c r="L34" t="s">
        <v>10938</v>
      </c>
    </row>
    <row r="35" spans="1:12" x14ac:dyDescent="0.35">
      <c r="A35" t="str">
        <f t="shared" si="0"/>
        <v>Book Value of Common Equity</v>
      </c>
      <c r="B35" t="s">
        <v>726</v>
      </c>
      <c r="C35" t="s">
        <v>8851</v>
      </c>
      <c r="D35" t="s">
        <v>8852</v>
      </c>
      <c r="E35" t="s">
        <v>8853</v>
      </c>
      <c r="F35" t="s">
        <v>8854</v>
      </c>
      <c r="G35" t="s">
        <v>8855</v>
      </c>
      <c r="H35" t="s">
        <v>8856</v>
      </c>
      <c r="I35" t="s">
        <v>8857</v>
      </c>
      <c r="J35" t="s">
        <v>8858</v>
      </c>
      <c r="K35" t="s">
        <v>8859</v>
      </c>
      <c r="L35" t="s">
        <v>8860</v>
      </c>
    </row>
    <row r="36" spans="1:12" x14ac:dyDescent="0.35">
      <c r="A36" t="str">
        <f t="shared" si="0"/>
        <v>Total Capital</v>
      </c>
      <c r="B36" s="19" t="s">
        <v>481</v>
      </c>
      <c r="C36" t="s">
        <v>1126</v>
      </c>
      <c r="D36" t="s">
        <v>1127</v>
      </c>
      <c r="E36" t="s">
        <v>1128</v>
      </c>
      <c r="F36" t="s">
        <v>1129</v>
      </c>
      <c r="G36" t="s">
        <v>1130</v>
      </c>
      <c r="H36" t="s">
        <v>1131</v>
      </c>
      <c r="I36" t="s">
        <v>1132</v>
      </c>
      <c r="J36" t="s">
        <v>1133</v>
      </c>
      <c r="K36" t="s">
        <v>1134</v>
      </c>
      <c r="L36" t="s">
        <v>10803</v>
      </c>
    </row>
    <row r="37" spans="1:12" x14ac:dyDescent="0.35">
      <c r="A37" t="str">
        <f t="shared" si="0"/>
        <v>Total Liability includes Total Debt, Minority Interest and Pref. Equity.</v>
      </c>
      <c r="B37" t="s">
        <v>727</v>
      </c>
      <c r="C37" t="s">
        <v>8861</v>
      </c>
      <c r="D37" t="s">
        <v>8862</v>
      </c>
      <c r="E37" t="s">
        <v>8863</v>
      </c>
      <c r="F37" t="s">
        <v>8864</v>
      </c>
      <c r="G37" t="s">
        <v>8865</v>
      </c>
      <c r="H37" t="s">
        <v>8866</v>
      </c>
      <c r="I37" t="s">
        <v>8867</v>
      </c>
      <c r="J37" t="s">
        <v>8868</v>
      </c>
      <c r="K37" t="s">
        <v>8869</v>
      </c>
      <c r="L37" t="s">
        <v>8870</v>
      </c>
    </row>
    <row r="38" spans="1:12" x14ac:dyDescent="0.35">
      <c r="A38" t="str">
        <f t="shared" si="0"/>
        <v>Net Liability includes Total Liability, net of Cash and Equivalents.</v>
      </c>
      <c r="B38" t="s">
        <v>728</v>
      </c>
      <c r="C38" t="s">
        <v>8871</v>
      </c>
      <c r="D38" t="s">
        <v>8872</v>
      </c>
      <c r="E38" t="s">
        <v>8873</v>
      </c>
      <c r="F38" t="s">
        <v>8874</v>
      </c>
      <c r="G38" t="s">
        <v>8875</v>
      </c>
      <c r="H38" t="s">
        <v>8876</v>
      </c>
      <c r="I38" t="s">
        <v>8877</v>
      </c>
      <c r="J38" t="s">
        <v>8878</v>
      </c>
      <c r="K38" t="s">
        <v>8879</v>
      </c>
      <c r="L38" t="s">
        <v>8880</v>
      </c>
    </row>
    <row r="39" spans="1:12" x14ac:dyDescent="0.35">
      <c r="A39" t="str">
        <f t="shared" si="0"/>
        <v>TEV includes Market Cap and Net Liability.</v>
      </c>
      <c r="B39" t="s">
        <v>729</v>
      </c>
      <c r="C39" t="s">
        <v>8881</v>
      </c>
      <c r="D39" t="s">
        <v>8882</v>
      </c>
      <c r="E39" t="s">
        <v>8883</v>
      </c>
      <c r="F39" t="s">
        <v>8884</v>
      </c>
      <c r="G39" t="s">
        <v>8885</v>
      </c>
      <c r="H39" t="s">
        <v>8886</v>
      </c>
      <c r="I39" t="s">
        <v>8887</v>
      </c>
      <c r="J39" t="s">
        <v>8888</v>
      </c>
      <c r="K39" t="s">
        <v>8889</v>
      </c>
      <c r="L39" t="s">
        <v>8890</v>
      </c>
    </row>
    <row r="40" spans="1:12" x14ac:dyDescent="0.35">
      <c r="A40" t="str">
        <f t="shared" si="0"/>
        <v>Total Capital includes Common Equity and Total Liability.</v>
      </c>
      <c r="B40" t="s">
        <v>730</v>
      </c>
      <c r="C40" t="s">
        <v>8891</v>
      </c>
      <c r="D40" t="s">
        <v>8892</v>
      </c>
      <c r="E40" t="s">
        <v>8893</v>
      </c>
      <c r="F40" t="s">
        <v>8894</v>
      </c>
      <c r="G40" t="s">
        <v>8895</v>
      </c>
      <c r="H40" t="s">
        <v>8896</v>
      </c>
      <c r="I40" t="s">
        <v>8897</v>
      </c>
      <c r="J40" t="s">
        <v>8898</v>
      </c>
      <c r="K40" t="s">
        <v>8899</v>
      </c>
      <c r="L40" t="s">
        <v>8900</v>
      </c>
    </row>
    <row r="41" spans="1:12" x14ac:dyDescent="0.35">
      <c r="A41" t="str">
        <f t="shared" si="0"/>
        <v>Valuation Multiples</v>
      </c>
      <c r="B41" t="s">
        <v>360</v>
      </c>
      <c r="C41" t="s">
        <v>1135</v>
      </c>
      <c r="D41" t="s">
        <v>1136</v>
      </c>
      <c r="E41" t="s">
        <v>1137</v>
      </c>
      <c r="F41" t="s">
        <v>1138</v>
      </c>
      <c r="G41" t="s">
        <v>1139</v>
      </c>
      <c r="H41" t="s">
        <v>1140</v>
      </c>
      <c r="I41" t="s">
        <v>1141</v>
      </c>
      <c r="J41" t="s">
        <v>1142</v>
      </c>
      <c r="K41" t="s">
        <v>1143</v>
      </c>
      <c r="L41" t="s">
        <v>10804</v>
      </c>
    </row>
    <row r="42" spans="1:12" x14ac:dyDescent="0.35">
      <c r="A42" t="str">
        <f t="shared" si="0"/>
        <v>TEV/Total Revenue</v>
      </c>
      <c r="B42" t="s">
        <v>845</v>
      </c>
      <c r="C42" t="s">
        <v>1144</v>
      </c>
      <c r="D42" t="s">
        <v>1145</v>
      </c>
      <c r="E42" t="s">
        <v>1146</v>
      </c>
      <c r="F42" t="s">
        <v>1147</v>
      </c>
      <c r="G42" t="s">
        <v>1148</v>
      </c>
      <c r="H42" t="s">
        <v>1149</v>
      </c>
      <c r="I42" t="s">
        <v>1150</v>
      </c>
      <c r="J42" t="s">
        <v>1151</v>
      </c>
      <c r="K42" t="s">
        <v>1152</v>
      </c>
      <c r="L42" t="s">
        <v>8110</v>
      </c>
    </row>
    <row r="43" spans="1:12" x14ac:dyDescent="0.35">
      <c r="A43" t="str">
        <f t="shared" si="0"/>
        <v>TEV/EBITDA</v>
      </c>
      <c r="B43" t="s">
        <v>846</v>
      </c>
      <c r="C43" t="s">
        <v>1153</v>
      </c>
      <c r="D43" t="s">
        <v>1154</v>
      </c>
      <c r="E43" t="s">
        <v>1155</v>
      </c>
      <c r="F43" t="s">
        <v>1156</v>
      </c>
      <c r="G43" t="s">
        <v>1157</v>
      </c>
      <c r="H43" t="s">
        <v>1158</v>
      </c>
      <c r="I43" t="s">
        <v>1159</v>
      </c>
      <c r="J43" t="s">
        <v>1160</v>
      </c>
      <c r="K43" t="s">
        <v>1161</v>
      </c>
      <c r="L43" t="s">
        <v>8111</v>
      </c>
    </row>
    <row r="44" spans="1:12" x14ac:dyDescent="0.35">
      <c r="A44" t="str">
        <f t="shared" si="0"/>
        <v>TEV/EBIT</v>
      </c>
      <c r="B44" t="s">
        <v>847</v>
      </c>
      <c r="C44" t="s">
        <v>1162</v>
      </c>
      <c r="D44" t="s">
        <v>1163</v>
      </c>
      <c r="E44" t="s">
        <v>1164</v>
      </c>
      <c r="F44" t="s">
        <v>1165</v>
      </c>
      <c r="G44" t="s">
        <v>1166</v>
      </c>
      <c r="H44" t="s">
        <v>1167</v>
      </c>
      <c r="I44" t="s">
        <v>1168</v>
      </c>
      <c r="J44" t="s">
        <v>1169</v>
      </c>
      <c r="K44" t="s">
        <v>1170</v>
      </c>
      <c r="L44" t="s">
        <v>10918</v>
      </c>
    </row>
    <row r="45" spans="1:12" x14ac:dyDescent="0.35">
      <c r="A45" t="str">
        <f t="shared" si="0"/>
        <v>P/Diluted EPS Before Extra</v>
      </c>
      <c r="B45" t="s">
        <v>731</v>
      </c>
      <c r="C45" t="s">
        <v>1171</v>
      </c>
      <c r="D45" t="s">
        <v>1172</v>
      </c>
      <c r="E45" t="s">
        <v>1173</v>
      </c>
      <c r="F45" t="s">
        <v>1174</v>
      </c>
      <c r="G45" t="s">
        <v>1175</v>
      </c>
      <c r="H45" t="s">
        <v>1176</v>
      </c>
      <c r="I45" t="s">
        <v>1177</v>
      </c>
      <c r="J45" t="s">
        <v>1178</v>
      </c>
      <c r="K45" t="s">
        <v>1179</v>
      </c>
      <c r="L45" t="s">
        <v>10877</v>
      </c>
    </row>
    <row r="46" spans="1:12" x14ac:dyDescent="0.35">
      <c r="A46" t="str">
        <f t="shared" si="0"/>
        <v>P/BV</v>
      </c>
      <c r="B46" t="s">
        <v>848</v>
      </c>
      <c r="C46" t="s">
        <v>1180</v>
      </c>
      <c r="D46" t="s">
        <v>1181</v>
      </c>
      <c r="E46" t="s">
        <v>1182</v>
      </c>
      <c r="F46" t="s">
        <v>1183</v>
      </c>
      <c r="G46" t="s">
        <v>1184</v>
      </c>
      <c r="H46" t="s">
        <v>1185</v>
      </c>
      <c r="I46" t="s">
        <v>1186</v>
      </c>
      <c r="J46" t="s">
        <v>1187</v>
      </c>
      <c r="K46" t="s">
        <v>1188</v>
      </c>
      <c r="L46" t="s">
        <v>848</v>
      </c>
    </row>
    <row r="47" spans="1:12" x14ac:dyDescent="0.35">
      <c r="A47" t="str">
        <f t="shared" si="0"/>
        <v>Price/Tang BV</v>
      </c>
      <c r="B47" t="s">
        <v>849</v>
      </c>
      <c r="C47" t="s">
        <v>7871</v>
      </c>
      <c r="D47" t="s">
        <v>7872</v>
      </c>
      <c r="E47" t="s">
        <v>7873</v>
      </c>
      <c r="F47" t="s">
        <v>7874</v>
      </c>
      <c r="G47" t="s">
        <v>7875</v>
      </c>
      <c r="H47" t="s">
        <v>7876</v>
      </c>
      <c r="I47" t="s">
        <v>7877</v>
      </c>
      <c r="J47" t="s">
        <v>7878</v>
      </c>
      <c r="K47" t="s">
        <v>7879</v>
      </c>
      <c r="L47" t="s">
        <v>10879</v>
      </c>
    </row>
    <row r="48" spans="1:12" x14ac:dyDescent="0.35">
      <c r="A48" t="str">
        <f t="shared" si="0"/>
        <v>Copyright © 2025 S&amp;P Global Market Intelligence LLC (and its affiliates as applicable) – All rights reserved.  This model and/or any data in it are provided subject to the written agreement of S&amp;P Global Market Intelligence LLC governing the subscription service to which this model is applied.</v>
      </c>
      <c r="B48" t="str" cm="1">
        <f t="array" ref="B48">"Copyright © "&amp;YEAR(_xll.ciqfunctions.udf.CIQGETDATE(IQ_TODAY))&amp;" S&amp;P Global Market Intelligence LLC (and its affiliates as applicable) – All rights reserved."&amp;"  This model and/or any data in it are provided subject to the written agreement of S&amp;P Global Market Intelligence LLC governing the subscription service to which this model is applied."</f>
        <v>Copyright © 2025 S&amp;P Global Market Intelligence LLC (and its affiliates as applicable) – All rights reserved.  This model and/or any data in it are provided subject to the written agreement of S&amp;P Global Market Intelligence LLC governing the subscription service to which this model is applied.</v>
      </c>
      <c r="C48" t="str" cm="1">
        <f t="array" ref="C48">"版权所有 © "&amp;YEAR(_xll.ciqfunctions.udf.CIQGETDATE(IQ_TODAY))&amp;" S&amp;P Global Market Intelligence LLC（及其附属公司，如适用） - 保留所有权利。"&amp;"本模型和/或其中的任何数据均是依据 S&amp;P Global Market Intelligence LLC 就本模型应用的订阅服务签订的书面协议而提供。"</f>
        <v>版权所有 © 2025 S&amp;P Global Market Intelligence LLC（及其附属公司，如适用） - 保留所有权利。本模型和/或其中的任何数据均是依据 S&amp;P Global Market Intelligence LLC 就本模型应用的订阅服务签订的书面协议而提供。</v>
      </c>
      <c r="D48" t="str" cm="1">
        <f t="array" ref="D48">"著作權 © "&amp;YEAR(_xll.ciqfunctions.udf.CIQGETDATE(IQ_TODAY))&amp;" S&amp;P Global Market Intelligence LLC（當可適用時，包括其關係企業） – 保留所有權利。"&amp;"  此模型及 / 或其內所含任何資料之提供，係依據 S&amp;P Global Market Intelligence LLC 針對此模型所應用訂閱服務而簽訂之書面協議為之。"</f>
        <v>著作權 © 2025 S&amp;P Global Market Intelligence LLC（當可適用時，包括其關係企業） – 保留所有權利。  此模型及 / 或其內所含任何資料之提供，係依據 S&amp;P Global Market Intelligence LLC 針對此模型所應用訂閱服務而簽訂之書面協議為之。</v>
      </c>
      <c r="E48" t="str" cm="1">
        <f t="array" ref="E48">"Droit d'auteur © "&amp;YEAR(_xll.ciqfunctions.udf.CIQGETDATE(IQ_TODAY))&amp;" S&amp;P Global Market Intelligence LLC (et ses filiales, le cas échéant) - Tous droits réservés."&amp;"  Ce modèle et / ou toutes les données qu'il contient sont fournis sous réserve de l'accord écrit de S&amp;P Global Market Intelligence LLC régissant le service d'abonnement auquel ce modèle est appliqué."</f>
        <v>Droit d'auteur © 2025 S&amp;P Global Market Intelligence LLC (et ses filiales, le cas échéant) - Tous droits réservés.  Ce modèle et / ou toutes les données qu'il contient sont fournis sous réserve de l'accord écrit de S&amp;P Global Market Intelligence LLC régissant le service d'abonnement auquel ce modèle est appliqué.</v>
      </c>
      <c r="F48" t="str" cm="1">
        <f t="array" ref="F48">"Urheberrecht © "&amp;YEAR(_xll.ciqfunctions.udf.CIQGETDATE(IQ_TODAY))&amp;" S&amp;P Global Market Intelligence LLC (und seine verbundenen Unternehmen, falls zutreffend) - Alle Rechte vorbehalten."&amp;" Dieses Modell und/oder alle darin enthaltenen Daten werden vorbehaltlich der schriftlichen Vereinbarung von S&amp;P Global Market Intelligence LLC über den Abonnementdienst, auf den dieses Modell angewendet wird, bereitgestellt."</f>
        <v>Urheberrecht © 2025 S&amp;P Global Market Intelligence LLC (und seine verbundenen Unternehmen, falls zutreffend) - Alle Rechte vorbehalten. Dieses Modell und/oder alle darin enthaltenen Daten werden vorbehaltlich der schriftlichen Vereinbarung von S&amp;P Global Market Intelligence LLC über den Abonnementdienst, auf den dieses Modell angewendet wird, bereitgestellt.</v>
      </c>
      <c r="G48" t="str" cm="1">
        <f t="array" ref="G48">"Diritto d’autore © "&amp;YEAR(_xll.ciqfunctions.udf.CIQGETDATE(IQ_TODAY))&amp;" S&amp;P Global Market Intelligence LLC (e le sue affiliate a seconda dei casi) - Tutti i diritti riservati."&amp;"  Questo modello e/o qualsiasi dato in esso contenuto sono forniti previo accordo scritto di S&amp;P Global Market Intelligence LLC che disciplina il servizio di abbonamento a cui questo modello è applicato."</f>
        <v>Diritto d’autore © 2025 S&amp;P Global Market Intelligence LLC (e le sue affiliate a seconda dei casi) - Tutti i diritti riservati.  Questo modello e/o qualsiasi dato in esso contenuto sono forniti previo accordo scritto di S&amp;P Global Market Intelligence LLC che disciplina il servizio di abbonamento a cui questo modello è applicato.</v>
      </c>
      <c r="H48" t="str" cm="1">
        <f t="array" ref="H48">"著作権 © "&amp;YEAR(_xll.ciqfunctions.udf.CIQGETDATE(IQ_TODAY))&amp;" S&amp;P Global Market Intelligence LLC (および該当する場合はその関連会社) – 無断複写・転載を禁じます。"&amp;"   このモデルおよび/またはそのデータは、このモデルが適用されるサブスクリプションサービスを管理するS&amp;P Global Market Intelligence LLCの書面による合意に従って提供されます。"</f>
        <v>著作権 © 2025 S&amp;P Global Market Intelligence LLC (および該当する場合はその関連会社) – 無断複写・転載を禁じます。   このモデルおよび/またはそのデータは、このモデルが適用されるサブスクリプションサービスを管理するS&amp;P Global Market Intelligence LLCの書面による合意に従って提供されます。</v>
      </c>
      <c r="I48" t="str" cm="1">
        <f t="array" ref="I48">"Авторские права © "&amp;YEAR(_xll.ciqfunctions.udf.CIQGETDATE(IQ_TODAY))&amp;" S&amp;P Global Market Intelligence LLC (и его ассоциированные общества, если применимо) - Все права защищены."&amp;" Эта модель и/или любые данные в ней предоставляются с письменного соглашения S&amp;P Global Market Intelligence LLC, управляющего службой подписки, к которой прилагается эта модель."</f>
        <v>Авторские права © 2025 S&amp;P Global Market Intelligence LLC (и его ассоциированные общества, если применимо) - Все права защищены. Эта модель и/или любые данные в ней предоставляются с письменного соглашения S&amp;P Global Market Intelligence LLC, управляющего службой подписки, к которой прилагается эта модель.</v>
      </c>
      <c r="J48" t="str" cm="1">
        <f t="array" ref="J48">"Derechos de autor © "&amp;YEAR(_xll.ciqfunctions.udf.CIQGETDATE(IQ_TODAY))&amp;" S&amp;P Global Market Intelligence LLC (y sus afiliados, según corresponda): todos los derechos reservados."&amp;"  Este modelo y/o cualquier dato que contenga están sujetos al acuerdo por escrito de S&amp;P Global Market Intelligence LLC que rige el servicio de suscripción al que se aplica este modelo."</f>
        <v>Derechos de autor © 2025 S&amp;P Global Market Intelligence LLC (y sus afiliados, según corresponda): todos los derechos reservados.  Este modelo y/o cualquier dato que contenga están sujetos al acuerdo por escrito de S&amp;P Global Market Intelligence LLC que rige el servicio de suscripción al que se aplica este modelo.</v>
      </c>
      <c r="K48" t="str" cm="1">
        <f t="array" ref="K48">"해당 데이터의 모든 저작권은  "&amp;YEAR(_xll.ciqfunctions.udf.CIQGETDATE(IQ_TODAY))&amp;" S&amp;P Global Market Intelligence LLC (및 계열사) 가 소유하고 있습니다."&amp;" 해당 모형 및 모형에 사용된 데이터는  S&amp;P Global Market Intelligence LLC와 맺은 서면 계약에 따라 제공됩니다."</f>
        <v>해당 데이터의 모든 저작권은  2025 S&amp;P Global Market Intelligence LLC (및 계열사) 가 소유하고 있습니다. 해당 모형 및 모형에 사용된 데이터는  S&amp;P Global Market Intelligence LLC와 맺은 서면 계약에 따라 제공됩니다.</v>
      </c>
      <c r="L48" t="str" cm="1">
        <f t="array" ref="L48">"Copyright © "&amp;YEAR(_xll.ciqfunctions.udf.CIQGETDATE(IQ_TODAY))&amp;" S&amp;P Global Market Intelligence Llc (E Suas Afiliadas, Conforme Aplicável) - Todos Os Direitos Reservados."&amp;" Este Modelo E / Ou Quaisquer Dados Nele Contidos São Fornecidos de Acordo com O Contrato Por Escrito da S&amp;P Global Market Intelligence LLC Que Rege O Serviço de Assinatura Ao Qual Este Modelo É Aplicado."</f>
        <v>Copyright © 2025 S&amp;P Global Market Intelligence Llc (E Suas Afiliadas, Conforme Aplicável) - Todos Os Direitos Reservados. Este Modelo E / Ou Quaisquer Dados Nele Contidos São Fornecidos de Acordo com O Contrato Por Escrito da S&amp;P Global Market Intelligence LLC Que Rege O Serviço de Assinatura Ao Qual Este Modelo É Aplicado.</v>
      </c>
    </row>
    <row r="49" spans="1:12" x14ac:dyDescent="0.35">
      <c r="A49" t="str">
        <f t="shared" si="0"/>
        <v>Ticker</v>
      </c>
      <c r="B49" t="s">
        <v>476</v>
      </c>
      <c r="C49" t="s">
        <v>1189</v>
      </c>
      <c r="D49" t="s">
        <v>1190</v>
      </c>
      <c r="E49" t="s">
        <v>1191</v>
      </c>
      <c r="F49" t="s">
        <v>476</v>
      </c>
      <c r="G49" t="s">
        <v>476</v>
      </c>
      <c r="H49" t="s">
        <v>1192</v>
      </c>
      <c r="I49" t="s">
        <v>1193</v>
      </c>
      <c r="J49" t="s">
        <v>1194</v>
      </c>
      <c r="K49" t="s">
        <v>1195</v>
      </c>
      <c r="L49" t="s">
        <v>476</v>
      </c>
    </row>
    <row r="50" spans="1:12" x14ac:dyDescent="0.35">
      <c r="A50" t="str">
        <f t="shared" si="0"/>
        <v>In Currency</v>
      </c>
      <c r="B50" t="s">
        <v>8048</v>
      </c>
      <c r="C50" t="s">
        <v>1026</v>
      </c>
      <c r="D50" t="s">
        <v>1027</v>
      </c>
      <c r="E50" t="s">
        <v>10718</v>
      </c>
      <c r="F50" t="s">
        <v>10719</v>
      </c>
      <c r="G50" t="s">
        <v>10720</v>
      </c>
      <c r="H50" t="s">
        <v>1031</v>
      </c>
      <c r="I50" t="s">
        <v>10721</v>
      </c>
      <c r="J50" t="s">
        <v>10722</v>
      </c>
      <c r="K50" t="s">
        <v>10723</v>
      </c>
      <c r="L50" t="s">
        <v>10724</v>
      </c>
    </row>
    <row r="51" spans="1:12" x14ac:dyDescent="0.35">
      <c r="A51" t="str">
        <f t="shared" si="0"/>
        <v>Revenues</v>
      </c>
      <c r="B51" t="s">
        <v>740</v>
      </c>
      <c r="C51" t="s">
        <v>1196</v>
      </c>
      <c r="D51" t="s">
        <v>1196</v>
      </c>
      <c r="E51" t="s">
        <v>1197</v>
      </c>
      <c r="F51" t="s">
        <v>1198</v>
      </c>
      <c r="G51" t="s">
        <v>1199</v>
      </c>
      <c r="H51" t="s">
        <v>1047</v>
      </c>
      <c r="I51" t="s">
        <v>1200</v>
      </c>
      <c r="J51" t="s">
        <v>1201</v>
      </c>
      <c r="K51" t="s">
        <v>1202</v>
      </c>
      <c r="L51" t="s">
        <v>8112</v>
      </c>
    </row>
    <row r="52" spans="1:12" x14ac:dyDescent="0.35">
      <c r="A52" t="str">
        <f t="shared" si="0"/>
        <v>Finance Div. Revenues</v>
      </c>
      <c r="B52" t="s">
        <v>741</v>
      </c>
      <c r="C52" t="s">
        <v>1203</v>
      </c>
      <c r="D52" t="s">
        <v>1204</v>
      </c>
      <c r="E52" t="s">
        <v>1205</v>
      </c>
      <c r="F52" t="s">
        <v>1206</v>
      </c>
      <c r="G52" t="s">
        <v>1207</v>
      </c>
      <c r="H52" t="s">
        <v>1208</v>
      </c>
      <c r="I52" t="s">
        <v>1209</v>
      </c>
      <c r="J52" t="s">
        <v>1210</v>
      </c>
      <c r="K52" t="s">
        <v>1211</v>
      </c>
      <c r="L52" t="s">
        <v>8113</v>
      </c>
    </row>
    <row r="53" spans="1:12" x14ac:dyDescent="0.35">
      <c r="A53" t="str">
        <f t="shared" si="0"/>
        <v>Insurance Div. Revenues</v>
      </c>
      <c r="B53" t="s">
        <v>742</v>
      </c>
      <c r="C53" t="s">
        <v>1212</v>
      </c>
      <c r="D53" t="s">
        <v>1213</v>
      </c>
      <c r="E53" t="s">
        <v>1214</v>
      </c>
      <c r="F53" t="s">
        <v>1215</v>
      </c>
      <c r="G53" t="s">
        <v>1216</v>
      </c>
      <c r="H53" t="s">
        <v>1217</v>
      </c>
      <c r="I53" t="s">
        <v>1218</v>
      </c>
      <c r="J53" t="s">
        <v>1219</v>
      </c>
      <c r="K53" t="s">
        <v>1220</v>
      </c>
      <c r="L53" t="s">
        <v>8114</v>
      </c>
    </row>
    <row r="54" spans="1:12" x14ac:dyDescent="0.35">
      <c r="A54" t="str">
        <f t="shared" si="0"/>
        <v>Gain/(Loss) on Sale Of Assets (Rev)</v>
      </c>
      <c r="B54" t="s">
        <v>743</v>
      </c>
      <c r="C54" t="s">
        <v>1221</v>
      </c>
      <c r="D54" t="s">
        <v>1222</v>
      </c>
      <c r="E54" t="s">
        <v>1223</v>
      </c>
      <c r="F54" t="s">
        <v>1224</v>
      </c>
      <c r="G54" t="s">
        <v>1225</v>
      </c>
      <c r="H54" t="s">
        <v>1226</v>
      </c>
      <c r="I54" t="s">
        <v>1227</v>
      </c>
      <c r="J54" t="s">
        <v>1228</v>
      </c>
      <c r="K54" t="s">
        <v>1229</v>
      </c>
      <c r="L54" t="s">
        <v>8115</v>
      </c>
    </row>
    <row r="55" spans="1:12" x14ac:dyDescent="0.35">
      <c r="A55" t="str">
        <f t="shared" si="0"/>
        <v>Gain/(Loss) on Sale Of Invest.(Rev)</v>
      </c>
      <c r="B55" t="s">
        <v>747</v>
      </c>
      <c r="C55" t="s">
        <v>1230</v>
      </c>
      <c r="D55" t="s">
        <v>1231</v>
      </c>
      <c r="E55" t="s">
        <v>1232</v>
      </c>
      <c r="F55" t="s">
        <v>1233</v>
      </c>
      <c r="G55" t="s">
        <v>1234</v>
      </c>
      <c r="H55" t="s">
        <v>1235</v>
      </c>
      <c r="I55" t="s">
        <v>1236</v>
      </c>
      <c r="J55" t="s">
        <v>1237</v>
      </c>
      <c r="K55" t="s">
        <v>1238</v>
      </c>
      <c r="L55" t="s">
        <v>8116</v>
      </c>
    </row>
    <row r="56" spans="1:12" x14ac:dyDescent="0.35">
      <c r="A56" t="str">
        <f t="shared" si="0"/>
        <v>Interest And Invest. Income (Rev)</v>
      </c>
      <c r="B56" t="s">
        <v>748</v>
      </c>
      <c r="C56" t="s">
        <v>1239</v>
      </c>
      <c r="D56" t="s">
        <v>1240</v>
      </c>
      <c r="E56" t="s">
        <v>1241</v>
      </c>
      <c r="F56" t="s">
        <v>1242</v>
      </c>
      <c r="G56" t="s">
        <v>1243</v>
      </c>
      <c r="H56" t="s">
        <v>1244</v>
      </c>
      <c r="I56" t="s">
        <v>1245</v>
      </c>
      <c r="J56" t="s">
        <v>1246</v>
      </c>
      <c r="K56" t="s">
        <v>1247</v>
      </c>
      <c r="L56" t="s">
        <v>8117</v>
      </c>
    </row>
    <row r="57" spans="1:12" x14ac:dyDescent="0.35">
      <c r="A57" t="str">
        <f t="shared" si="0"/>
        <v>Other Revenues</v>
      </c>
      <c r="B57" t="s">
        <v>749</v>
      </c>
      <c r="C57" t="s">
        <v>1248</v>
      </c>
      <c r="D57" t="s">
        <v>1248</v>
      </c>
      <c r="E57" t="s">
        <v>1249</v>
      </c>
      <c r="F57" t="s">
        <v>1250</v>
      </c>
      <c r="G57" t="s">
        <v>1251</v>
      </c>
      <c r="H57" t="s">
        <v>1252</v>
      </c>
      <c r="I57" t="s">
        <v>1253</v>
      </c>
      <c r="J57" t="s">
        <v>1254</v>
      </c>
      <c r="K57" t="s">
        <v>1255</v>
      </c>
      <c r="L57" t="s">
        <v>8118</v>
      </c>
    </row>
    <row r="58" spans="1:12" x14ac:dyDescent="0.35">
      <c r="A58" t="str">
        <f t="shared" si="0"/>
        <v>Total Revenues</v>
      </c>
      <c r="B58" t="s">
        <v>750</v>
      </c>
      <c r="C58" t="s">
        <v>1042</v>
      </c>
      <c r="D58" t="s">
        <v>1043</v>
      </c>
      <c r="E58" t="s">
        <v>1256</v>
      </c>
      <c r="F58" t="s">
        <v>1257</v>
      </c>
      <c r="G58" t="s">
        <v>1046</v>
      </c>
      <c r="H58" t="s">
        <v>1258</v>
      </c>
      <c r="I58" t="s">
        <v>1259</v>
      </c>
      <c r="J58" t="s">
        <v>1260</v>
      </c>
      <c r="K58" t="s">
        <v>1261</v>
      </c>
      <c r="L58" t="s">
        <v>8106</v>
      </c>
    </row>
    <row r="59" spans="1:12" x14ac:dyDescent="0.35">
      <c r="A59" t="str">
        <f t="shared" si="0"/>
        <v>Cost Of Goods Sold</v>
      </c>
      <c r="B59" t="s">
        <v>852</v>
      </c>
      <c r="C59" t="s">
        <v>1262</v>
      </c>
      <c r="D59" t="s">
        <v>1263</v>
      </c>
      <c r="E59" t="s">
        <v>1264</v>
      </c>
      <c r="F59" t="s">
        <v>1265</v>
      </c>
      <c r="G59" t="s">
        <v>1266</v>
      </c>
      <c r="H59" t="s">
        <v>1267</v>
      </c>
      <c r="I59" t="s">
        <v>1268</v>
      </c>
      <c r="J59" t="s">
        <v>1269</v>
      </c>
      <c r="K59" t="s">
        <v>1270</v>
      </c>
      <c r="L59" t="s">
        <v>8119</v>
      </c>
    </row>
    <row r="60" spans="1:12" x14ac:dyDescent="0.35">
      <c r="A60" t="str">
        <f t="shared" si="0"/>
        <v>Finance Div. Operating Exp.</v>
      </c>
      <c r="B60" t="s">
        <v>751</v>
      </c>
      <c r="C60" t="s">
        <v>1271</v>
      </c>
      <c r="D60" t="s">
        <v>1272</v>
      </c>
      <c r="E60" t="s">
        <v>1273</v>
      </c>
      <c r="F60" t="s">
        <v>1274</v>
      </c>
      <c r="G60" t="s">
        <v>1275</v>
      </c>
      <c r="H60" t="s">
        <v>1276</v>
      </c>
      <c r="I60" t="s">
        <v>1277</v>
      </c>
      <c r="J60" t="s">
        <v>1278</v>
      </c>
      <c r="K60" t="s">
        <v>1279</v>
      </c>
      <c r="L60" t="s">
        <v>8120</v>
      </c>
    </row>
    <row r="61" spans="1:12" x14ac:dyDescent="0.35">
      <c r="A61" t="str">
        <f t="shared" si="0"/>
        <v>Insurance Div. Operating Exp.</v>
      </c>
      <c r="B61" t="s">
        <v>752</v>
      </c>
      <c r="C61" t="s">
        <v>1280</v>
      </c>
      <c r="D61" t="s">
        <v>1281</v>
      </c>
      <c r="E61" t="s">
        <v>1282</v>
      </c>
      <c r="F61" t="s">
        <v>1283</v>
      </c>
      <c r="G61" t="s">
        <v>1284</v>
      </c>
      <c r="H61" t="s">
        <v>1285</v>
      </c>
      <c r="I61" t="s">
        <v>1286</v>
      </c>
      <c r="J61" t="s">
        <v>1287</v>
      </c>
      <c r="K61" t="s">
        <v>1288</v>
      </c>
      <c r="L61" t="s">
        <v>8121</v>
      </c>
    </row>
    <row r="62" spans="1:12" x14ac:dyDescent="0.35">
      <c r="A62" t="str">
        <f t="shared" si="0"/>
        <v>Interest Expense - Finance Division</v>
      </c>
      <c r="B62" t="s">
        <v>753</v>
      </c>
      <c r="C62" t="s">
        <v>1289</v>
      </c>
      <c r="D62" t="s">
        <v>1290</v>
      </c>
      <c r="E62" t="s">
        <v>1291</v>
      </c>
      <c r="F62" t="s">
        <v>1292</v>
      </c>
      <c r="G62" t="s">
        <v>1293</v>
      </c>
      <c r="H62" t="s">
        <v>1294</v>
      </c>
      <c r="I62" t="s">
        <v>1295</v>
      </c>
      <c r="J62" t="s">
        <v>1296</v>
      </c>
      <c r="K62" t="s">
        <v>1297</v>
      </c>
      <c r="L62" t="s">
        <v>8122</v>
      </c>
    </row>
    <row r="63" spans="1:12" x14ac:dyDescent="0.35">
      <c r="A63" t="str">
        <f t="shared" si="0"/>
        <v>Selling General &amp; Admin Exp.</v>
      </c>
      <c r="B63" t="s">
        <v>22</v>
      </c>
      <c r="C63" t="s">
        <v>1298</v>
      </c>
      <c r="D63" t="s">
        <v>1299</v>
      </c>
      <c r="E63" t="s">
        <v>1300</v>
      </c>
      <c r="F63" t="s">
        <v>1301</v>
      </c>
      <c r="G63" t="s">
        <v>1302</v>
      </c>
      <c r="H63" s="19" t="s">
        <v>1303</v>
      </c>
      <c r="I63" t="s">
        <v>1304</v>
      </c>
      <c r="J63" t="s">
        <v>1305</v>
      </c>
      <c r="K63" t="s">
        <v>1306</v>
      </c>
      <c r="L63" t="s">
        <v>8123</v>
      </c>
    </row>
    <row r="64" spans="1:12" x14ac:dyDescent="0.35">
      <c r="A64" t="str">
        <f t="shared" ref="A64:A126" si="1">INDEX($B64:$CW64,,$A$5)</f>
        <v>Exploration/Drilling Costs</v>
      </c>
      <c r="B64" t="s">
        <v>88</v>
      </c>
      <c r="C64" t="s">
        <v>1307</v>
      </c>
      <c r="D64" t="s">
        <v>1308</v>
      </c>
      <c r="E64" t="s">
        <v>1309</v>
      </c>
      <c r="F64" t="s">
        <v>1310</v>
      </c>
      <c r="G64" t="s">
        <v>1311</v>
      </c>
      <c r="H64" t="s">
        <v>1312</v>
      </c>
      <c r="I64" t="s">
        <v>1313</v>
      </c>
      <c r="J64" t="s">
        <v>1314</v>
      </c>
      <c r="K64" t="s">
        <v>1315</v>
      </c>
      <c r="L64" t="s">
        <v>8124</v>
      </c>
    </row>
    <row r="65" spans="1:12" x14ac:dyDescent="0.35">
      <c r="A65" t="str">
        <f t="shared" si="1"/>
        <v>Provision for Bad Debts</v>
      </c>
      <c r="B65" t="s">
        <v>89</v>
      </c>
      <c r="C65" t="s">
        <v>1316</v>
      </c>
      <c r="D65" t="s">
        <v>1317</v>
      </c>
      <c r="E65" t="s">
        <v>1318</v>
      </c>
      <c r="F65" t="s">
        <v>1319</v>
      </c>
      <c r="G65" t="s">
        <v>1320</v>
      </c>
      <c r="H65" t="s">
        <v>1321</v>
      </c>
      <c r="I65" t="s">
        <v>1322</v>
      </c>
      <c r="J65" t="s">
        <v>1323</v>
      </c>
      <c r="K65" t="s">
        <v>1324</v>
      </c>
      <c r="L65" t="s">
        <v>8125</v>
      </c>
    </row>
    <row r="66" spans="1:12" x14ac:dyDescent="0.35">
      <c r="A66" t="str">
        <f t="shared" si="1"/>
        <v>Stock-Based Compensation</v>
      </c>
      <c r="B66" t="s">
        <v>381</v>
      </c>
      <c r="C66" t="s">
        <v>1325</v>
      </c>
      <c r="D66" t="s">
        <v>1326</v>
      </c>
      <c r="E66" t="s">
        <v>1327</v>
      </c>
      <c r="F66" t="s">
        <v>1328</v>
      </c>
      <c r="G66" t="s">
        <v>1329</v>
      </c>
      <c r="H66" t="s">
        <v>1330</v>
      </c>
      <c r="I66" t="s">
        <v>1331</v>
      </c>
      <c r="J66" t="s">
        <v>1332</v>
      </c>
      <c r="K66" t="s">
        <v>1333</v>
      </c>
      <c r="L66" t="s">
        <v>8126</v>
      </c>
    </row>
    <row r="67" spans="1:12" x14ac:dyDescent="0.35">
      <c r="A67" t="str">
        <f t="shared" si="1"/>
        <v>Pre-Opening Costs</v>
      </c>
      <c r="B67" t="s">
        <v>90</v>
      </c>
      <c r="C67" t="s">
        <v>1334</v>
      </c>
      <c r="D67" t="s">
        <v>1335</v>
      </c>
      <c r="E67" t="s">
        <v>1336</v>
      </c>
      <c r="F67" t="s">
        <v>1337</v>
      </c>
      <c r="G67" t="s">
        <v>1338</v>
      </c>
      <c r="H67" t="s">
        <v>1339</v>
      </c>
      <c r="I67" t="s">
        <v>1340</v>
      </c>
      <c r="J67" t="s">
        <v>1341</v>
      </c>
      <c r="K67" t="s">
        <v>1342</v>
      </c>
      <c r="L67" t="s">
        <v>8127</v>
      </c>
    </row>
    <row r="68" spans="1:12" x14ac:dyDescent="0.35">
      <c r="A68" t="str">
        <f t="shared" si="1"/>
        <v>R &amp; D Exp.</v>
      </c>
      <c r="B68" t="s">
        <v>23</v>
      </c>
      <c r="C68" t="s">
        <v>1343</v>
      </c>
      <c r="D68" t="s">
        <v>1344</v>
      </c>
      <c r="E68" t="s">
        <v>1345</v>
      </c>
      <c r="F68" t="s">
        <v>1346</v>
      </c>
      <c r="G68" t="s">
        <v>1347</v>
      </c>
      <c r="H68" t="s">
        <v>1348</v>
      </c>
      <c r="I68" t="s">
        <v>1349</v>
      </c>
      <c r="J68" t="s">
        <v>1350</v>
      </c>
      <c r="K68" t="s">
        <v>1351</v>
      </c>
      <c r="L68" t="s">
        <v>8128</v>
      </c>
    </row>
    <row r="69" spans="1:12" x14ac:dyDescent="0.35">
      <c r="A69" t="str">
        <f t="shared" si="1"/>
        <v>Depreciation &amp; Amort.</v>
      </c>
      <c r="B69" t="s">
        <v>24</v>
      </c>
      <c r="C69" t="s">
        <v>1352</v>
      </c>
      <c r="D69" t="s">
        <v>1353</v>
      </c>
      <c r="E69" t="s">
        <v>1354</v>
      </c>
      <c r="F69" t="s">
        <v>1355</v>
      </c>
      <c r="G69" t="s">
        <v>1356</v>
      </c>
      <c r="H69" t="s">
        <v>1357</v>
      </c>
      <c r="I69" t="s">
        <v>1358</v>
      </c>
      <c r="J69" t="s">
        <v>1359</v>
      </c>
      <c r="K69" t="s">
        <v>1360</v>
      </c>
      <c r="L69" t="s">
        <v>8129</v>
      </c>
    </row>
    <row r="70" spans="1:12" x14ac:dyDescent="0.35">
      <c r="A70" t="str">
        <f t="shared" si="1"/>
        <v>Amort. of Goodwill and Intangibles</v>
      </c>
      <c r="B70" t="s">
        <v>377</v>
      </c>
      <c r="C70" t="s">
        <v>1361</v>
      </c>
      <c r="D70" t="s">
        <v>1362</v>
      </c>
      <c r="E70" t="s">
        <v>1363</v>
      </c>
      <c r="F70" t="s">
        <v>1364</v>
      </c>
      <c r="G70" t="s">
        <v>1365</v>
      </c>
      <c r="H70" t="s">
        <v>1366</v>
      </c>
      <c r="I70" t="s">
        <v>1367</v>
      </c>
      <c r="J70" t="s">
        <v>1368</v>
      </c>
      <c r="K70" t="s">
        <v>1369</v>
      </c>
      <c r="L70" t="s">
        <v>8130</v>
      </c>
    </row>
    <row r="71" spans="1:12" x14ac:dyDescent="0.35">
      <c r="A71" t="str">
        <f t="shared" si="1"/>
        <v>Impair. of Oil, Gas &amp; Mineral Prop.</v>
      </c>
      <c r="B71" t="s">
        <v>91</v>
      </c>
      <c r="C71" t="s">
        <v>1370</v>
      </c>
      <c r="D71" t="s">
        <v>1371</v>
      </c>
      <c r="E71" t="s">
        <v>1372</v>
      </c>
      <c r="F71" t="s">
        <v>1373</v>
      </c>
      <c r="G71" t="s">
        <v>1374</v>
      </c>
      <c r="H71" t="s">
        <v>1375</v>
      </c>
      <c r="I71" t="s">
        <v>1376</v>
      </c>
      <c r="J71" t="s">
        <v>1377</v>
      </c>
      <c r="K71" t="s">
        <v>1378</v>
      </c>
      <c r="L71" t="s">
        <v>8131</v>
      </c>
    </row>
    <row r="72" spans="1:12" x14ac:dyDescent="0.35">
      <c r="A72" t="str">
        <f t="shared" si="1"/>
        <v>Other Operating Expense/(Income)</v>
      </c>
      <c r="B72" t="s">
        <v>92</v>
      </c>
      <c r="C72" t="s">
        <v>1379</v>
      </c>
      <c r="D72" t="s">
        <v>1380</v>
      </c>
      <c r="E72" t="s">
        <v>1381</v>
      </c>
      <c r="F72" t="s">
        <v>1382</v>
      </c>
      <c r="G72" t="s">
        <v>1383</v>
      </c>
      <c r="H72" t="s">
        <v>1384</v>
      </c>
      <c r="I72" t="s">
        <v>1385</v>
      </c>
      <c r="J72" t="s">
        <v>1386</v>
      </c>
      <c r="K72" t="s">
        <v>1387</v>
      </c>
      <c r="L72" t="s">
        <v>8132</v>
      </c>
    </row>
    <row r="73" spans="1:12" x14ac:dyDescent="0.35">
      <c r="A73" t="str">
        <f t="shared" si="1"/>
        <v>Other Operating Exp., Total</v>
      </c>
      <c r="B73" s="19" t="s">
        <v>93</v>
      </c>
      <c r="C73" t="s">
        <v>1388</v>
      </c>
      <c r="D73" t="s">
        <v>1389</v>
      </c>
      <c r="E73" t="s">
        <v>1390</v>
      </c>
      <c r="F73" t="s">
        <v>1391</v>
      </c>
      <c r="G73" t="s">
        <v>1392</v>
      </c>
      <c r="H73" s="19" t="s">
        <v>10950</v>
      </c>
      <c r="I73" t="s">
        <v>1393</v>
      </c>
      <c r="J73" t="s">
        <v>1394</v>
      </c>
      <c r="K73" t="s">
        <v>1395</v>
      </c>
      <c r="L73" t="s">
        <v>8133</v>
      </c>
    </row>
    <row r="74" spans="1:12" x14ac:dyDescent="0.35">
      <c r="A74" t="str">
        <f t="shared" si="1"/>
        <v>Operating Income</v>
      </c>
      <c r="B74" t="s">
        <v>94</v>
      </c>
      <c r="C74" t="s">
        <v>1396</v>
      </c>
      <c r="D74" t="s">
        <v>1397</v>
      </c>
      <c r="E74" t="s">
        <v>1398</v>
      </c>
      <c r="F74" t="s">
        <v>1399</v>
      </c>
      <c r="G74" t="s">
        <v>1400</v>
      </c>
      <c r="H74" t="s">
        <v>1401</v>
      </c>
      <c r="I74" t="s">
        <v>1402</v>
      </c>
      <c r="J74" t="s">
        <v>1403</v>
      </c>
      <c r="K74" t="s">
        <v>1404</v>
      </c>
      <c r="L74" t="s">
        <v>8134</v>
      </c>
    </row>
    <row r="75" spans="1:12" x14ac:dyDescent="0.35">
      <c r="A75" t="str">
        <f t="shared" si="1"/>
        <v>Interest Expense</v>
      </c>
      <c r="B75" t="s">
        <v>25</v>
      </c>
      <c r="C75" t="s">
        <v>1405</v>
      </c>
      <c r="D75" t="s">
        <v>1406</v>
      </c>
      <c r="E75" t="s">
        <v>1407</v>
      </c>
      <c r="F75" t="s">
        <v>1408</v>
      </c>
      <c r="G75" t="s">
        <v>1409</v>
      </c>
      <c r="H75" t="s">
        <v>1410</v>
      </c>
      <c r="I75" t="s">
        <v>1411</v>
      </c>
      <c r="J75" t="s">
        <v>1412</v>
      </c>
      <c r="K75" t="s">
        <v>1413</v>
      </c>
      <c r="L75" t="s">
        <v>8135</v>
      </c>
    </row>
    <row r="76" spans="1:12" x14ac:dyDescent="0.35">
      <c r="A76" t="str">
        <f t="shared" si="1"/>
        <v>Interest and Invest. Income</v>
      </c>
      <c r="B76" t="s">
        <v>26</v>
      </c>
      <c r="C76" t="s">
        <v>1414</v>
      </c>
      <c r="D76" t="s">
        <v>1415</v>
      </c>
      <c r="E76" t="s">
        <v>1416</v>
      </c>
      <c r="F76" t="s">
        <v>1417</v>
      </c>
      <c r="G76" t="s">
        <v>1418</v>
      </c>
      <c r="H76" t="s">
        <v>1419</v>
      </c>
      <c r="I76" t="s">
        <v>1420</v>
      </c>
      <c r="J76" t="s">
        <v>1421</v>
      </c>
      <c r="K76" t="s">
        <v>1422</v>
      </c>
      <c r="L76" t="s">
        <v>8136</v>
      </c>
    </row>
    <row r="77" spans="1:12" x14ac:dyDescent="0.35">
      <c r="A77" t="str">
        <f t="shared" si="1"/>
        <v>Net Interest Exp.</v>
      </c>
      <c r="B77" t="s">
        <v>95</v>
      </c>
      <c r="C77" t="s">
        <v>1423</v>
      </c>
      <c r="D77" t="s">
        <v>1424</v>
      </c>
      <c r="E77" t="s">
        <v>1425</v>
      </c>
      <c r="F77" t="s">
        <v>1426</v>
      </c>
      <c r="G77" t="s">
        <v>1427</v>
      </c>
      <c r="H77" t="s">
        <v>1428</v>
      </c>
      <c r="I77" t="s">
        <v>1429</v>
      </c>
      <c r="J77" t="s">
        <v>1430</v>
      </c>
      <c r="K77" t="s">
        <v>1431</v>
      </c>
      <c r="L77" t="s">
        <v>8137</v>
      </c>
    </row>
    <row r="78" spans="1:12" x14ac:dyDescent="0.35">
      <c r="A78" t="str">
        <f t="shared" si="1"/>
        <v>Income / (Loss) from Affiliates</v>
      </c>
      <c r="B78" t="s">
        <v>96</v>
      </c>
      <c r="C78" t="s">
        <v>1432</v>
      </c>
      <c r="D78" t="s">
        <v>1433</v>
      </c>
      <c r="E78" t="s">
        <v>1434</v>
      </c>
      <c r="F78" t="s">
        <v>1435</v>
      </c>
      <c r="G78" t="s">
        <v>1436</v>
      </c>
      <c r="H78" t="s">
        <v>1437</v>
      </c>
      <c r="I78" t="s">
        <v>1438</v>
      </c>
      <c r="J78" t="s">
        <v>1439</v>
      </c>
      <c r="K78" t="s">
        <v>1440</v>
      </c>
      <c r="L78" t="s">
        <v>8138</v>
      </c>
    </row>
    <row r="79" spans="1:12" x14ac:dyDescent="0.35">
      <c r="A79" t="str">
        <f t="shared" si="1"/>
        <v>Currency Exchange Gains (Loss)</v>
      </c>
      <c r="B79" t="s">
        <v>27</v>
      </c>
      <c r="C79" t="s">
        <v>1441</v>
      </c>
      <c r="D79" t="s">
        <v>1442</v>
      </c>
      <c r="E79" t="s">
        <v>1443</v>
      </c>
      <c r="F79" t="s">
        <v>1444</v>
      </c>
      <c r="G79" t="s">
        <v>1445</v>
      </c>
      <c r="H79" t="s">
        <v>1446</v>
      </c>
      <c r="I79" t="s">
        <v>1447</v>
      </c>
      <c r="J79" t="s">
        <v>1448</v>
      </c>
      <c r="K79" t="s">
        <v>1449</v>
      </c>
      <c r="L79" t="s">
        <v>8139</v>
      </c>
    </row>
    <row r="80" spans="1:12" x14ac:dyDescent="0.35">
      <c r="A80" t="str">
        <f t="shared" si="1"/>
        <v>Other Non-Operating Inc. (Exp.)</v>
      </c>
      <c r="B80" t="s">
        <v>28</v>
      </c>
      <c r="C80" t="s">
        <v>1450</v>
      </c>
      <c r="D80" t="s">
        <v>1451</v>
      </c>
      <c r="E80" t="s">
        <v>1452</v>
      </c>
      <c r="F80" t="s">
        <v>1453</v>
      </c>
      <c r="G80" t="s">
        <v>1454</v>
      </c>
      <c r="H80" t="s">
        <v>1455</v>
      </c>
      <c r="I80" t="s">
        <v>1456</v>
      </c>
      <c r="J80" t="s">
        <v>1457</v>
      </c>
      <c r="K80" t="s">
        <v>1458</v>
      </c>
      <c r="L80" t="s">
        <v>8140</v>
      </c>
    </row>
    <row r="81" spans="1:12" x14ac:dyDescent="0.35">
      <c r="A81" t="str">
        <f t="shared" si="1"/>
        <v>EBT Excl Unusual Items</v>
      </c>
      <c r="B81" t="s">
        <v>97</v>
      </c>
      <c r="C81" t="s">
        <v>1459</v>
      </c>
      <c r="D81" t="s">
        <v>1460</v>
      </c>
      <c r="E81" t="s">
        <v>1461</v>
      </c>
      <c r="F81" t="s">
        <v>1462</v>
      </c>
      <c r="G81" t="s">
        <v>1463</v>
      </c>
      <c r="H81" t="s">
        <v>1464</v>
      </c>
      <c r="I81" t="s">
        <v>1465</v>
      </c>
      <c r="J81" t="s">
        <v>1466</v>
      </c>
      <c r="K81" t="s">
        <v>1467</v>
      </c>
      <c r="L81" t="s">
        <v>8141</v>
      </c>
    </row>
    <row r="82" spans="1:12" x14ac:dyDescent="0.35">
      <c r="A82" t="str">
        <f t="shared" si="1"/>
        <v>Restructuring Charges</v>
      </c>
      <c r="B82" t="s">
        <v>29</v>
      </c>
      <c r="C82" t="s">
        <v>1468</v>
      </c>
      <c r="D82" t="s">
        <v>1469</v>
      </c>
      <c r="E82" t="s">
        <v>1470</v>
      </c>
      <c r="F82" t="s">
        <v>1471</v>
      </c>
      <c r="G82" t="s">
        <v>1472</v>
      </c>
      <c r="H82" t="s">
        <v>1473</v>
      </c>
      <c r="I82" t="s">
        <v>1474</v>
      </c>
      <c r="J82" t="s">
        <v>1475</v>
      </c>
      <c r="K82" t="s">
        <v>1476</v>
      </c>
      <c r="L82" t="s">
        <v>8142</v>
      </c>
    </row>
    <row r="83" spans="1:12" x14ac:dyDescent="0.35">
      <c r="A83" t="str">
        <f t="shared" si="1"/>
        <v>Merger &amp; Related Restruct. Charges</v>
      </c>
      <c r="B83" t="s">
        <v>98</v>
      </c>
      <c r="C83" t="s">
        <v>1477</v>
      </c>
      <c r="D83" t="s">
        <v>1478</v>
      </c>
      <c r="E83" t="s">
        <v>1479</v>
      </c>
      <c r="F83" t="s">
        <v>1480</v>
      </c>
      <c r="G83" t="s">
        <v>1481</v>
      </c>
      <c r="H83" t="s">
        <v>1482</v>
      </c>
      <c r="I83" t="s">
        <v>1483</v>
      </c>
      <c r="J83" t="s">
        <v>1484</v>
      </c>
      <c r="K83" t="s">
        <v>1485</v>
      </c>
      <c r="L83" t="s">
        <v>8143</v>
      </c>
    </row>
    <row r="84" spans="1:12" x14ac:dyDescent="0.35">
      <c r="A84" t="str">
        <f t="shared" si="1"/>
        <v>Impairment of Goodwill</v>
      </c>
      <c r="B84" t="s">
        <v>30</v>
      </c>
      <c r="C84" t="s">
        <v>1486</v>
      </c>
      <c r="D84" t="s">
        <v>1487</v>
      </c>
      <c r="E84" t="s">
        <v>1488</v>
      </c>
      <c r="F84" t="s">
        <v>1489</v>
      </c>
      <c r="G84" t="s">
        <v>1490</v>
      </c>
      <c r="H84" t="s">
        <v>1491</v>
      </c>
      <c r="I84" t="s">
        <v>1492</v>
      </c>
      <c r="J84" t="s">
        <v>1493</v>
      </c>
      <c r="K84" t="s">
        <v>1494</v>
      </c>
      <c r="L84" t="s">
        <v>8144</v>
      </c>
    </row>
    <row r="85" spans="1:12" x14ac:dyDescent="0.35">
      <c r="A85" t="str">
        <f t="shared" si="1"/>
        <v>Gain (Loss) On Sale Of Invest.</v>
      </c>
      <c r="B85" t="s">
        <v>31</v>
      </c>
      <c r="C85" t="s">
        <v>1495</v>
      </c>
      <c r="D85" t="s">
        <v>1496</v>
      </c>
      <c r="E85" t="s">
        <v>1497</v>
      </c>
      <c r="F85" t="s">
        <v>1498</v>
      </c>
      <c r="G85" t="s">
        <v>1499</v>
      </c>
      <c r="H85" t="s">
        <v>1500</v>
      </c>
      <c r="I85" t="s">
        <v>1501</v>
      </c>
      <c r="J85" t="s">
        <v>1502</v>
      </c>
      <c r="K85" t="s">
        <v>1503</v>
      </c>
      <c r="L85" t="s">
        <v>8145</v>
      </c>
    </row>
    <row r="86" spans="1:12" x14ac:dyDescent="0.35">
      <c r="A86" t="str">
        <f t="shared" si="1"/>
        <v>Gain (Loss) On Sale Of Assets</v>
      </c>
      <c r="B86" t="s">
        <v>32</v>
      </c>
      <c r="C86" t="s">
        <v>1504</v>
      </c>
      <c r="D86" t="s">
        <v>1505</v>
      </c>
      <c r="E86" t="s">
        <v>1506</v>
      </c>
      <c r="F86" t="s">
        <v>1507</v>
      </c>
      <c r="G86" t="s">
        <v>1508</v>
      </c>
      <c r="H86" t="s">
        <v>1509</v>
      </c>
      <c r="I86" t="s">
        <v>1510</v>
      </c>
      <c r="J86" t="s">
        <v>1511</v>
      </c>
      <c r="K86" t="s">
        <v>1512</v>
      </c>
      <c r="L86" t="s">
        <v>8146</v>
      </c>
    </row>
    <row r="87" spans="1:12" x14ac:dyDescent="0.35">
      <c r="A87" t="str">
        <f t="shared" si="1"/>
        <v>Asset Writedown</v>
      </c>
      <c r="B87" t="s">
        <v>33</v>
      </c>
      <c r="C87" t="s">
        <v>1513</v>
      </c>
      <c r="D87" t="s">
        <v>1514</v>
      </c>
      <c r="E87" t="s">
        <v>1515</v>
      </c>
      <c r="F87" t="s">
        <v>1516</v>
      </c>
      <c r="G87" t="s">
        <v>1517</v>
      </c>
      <c r="H87" t="s">
        <v>1518</v>
      </c>
      <c r="I87" t="s">
        <v>1519</v>
      </c>
      <c r="J87" t="s">
        <v>1520</v>
      </c>
      <c r="K87" t="s">
        <v>1521</v>
      </c>
      <c r="L87" t="s">
        <v>8147</v>
      </c>
    </row>
    <row r="88" spans="1:12" x14ac:dyDescent="0.35">
      <c r="A88" t="str">
        <f t="shared" si="1"/>
        <v>In Process R &amp; D Exp.</v>
      </c>
      <c r="B88" t="s">
        <v>99</v>
      </c>
      <c r="C88" t="s">
        <v>1522</v>
      </c>
      <c r="D88" t="s">
        <v>1523</v>
      </c>
      <c r="E88" t="s">
        <v>1524</v>
      </c>
      <c r="F88" t="s">
        <v>1525</v>
      </c>
      <c r="G88" t="s">
        <v>1526</v>
      </c>
      <c r="H88" t="s">
        <v>1527</v>
      </c>
      <c r="I88" t="s">
        <v>1528</v>
      </c>
      <c r="J88" t="s">
        <v>1529</v>
      </c>
      <c r="K88" t="s">
        <v>1530</v>
      </c>
      <c r="L88" t="s">
        <v>8148</v>
      </c>
    </row>
    <row r="89" spans="1:12" x14ac:dyDescent="0.35">
      <c r="A89" t="str">
        <f t="shared" si="1"/>
        <v>Insurance Settlements</v>
      </c>
      <c r="B89" t="s">
        <v>34</v>
      </c>
      <c r="C89" t="s">
        <v>1531</v>
      </c>
      <c r="D89" t="s">
        <v>1532</v>
      </c>
      <c r="E89" t="s">
        <v>1533</v>
      </c>
      <c r="F89" t="s">
        <v>1534</v>
      </c>
      <c r="G89" t="s">
        <v>1535</v>
      </c>
      <c r="H89" t="s">
        <v>1536</v>
      </c>
      <c r="I89" t="s">
        <v>1537</v>
      </c>
      <c r="J89" t="s">
        <v>1538</v>
      </c>
      <c r="K89" t="s">
        <v>1539</v>
      </c>
      <c r="L89" t="s">
        <v>8149</v>
      </c>
    </row>
    <row r="90" spans="1:12" x14ac:dyDescent="0.35">
      <c r="A90" t="str">
        <f t="shared" si="1"/>
        <v>Legal Settlements</v>
      </c>
      <c r="B90" t="s">
        <v>35</v>
      </c>
      <c r="C90" t="s">
        <v>1540</v>
      </c>
      <c r="D90" t="s">
        <v>1540</v>
      </c>
      <c r="E90" t="s">
        <v>1541</v>
      </c>
      <c r="F90" t="s">
        <v>1542</v>
      </c>
      <c r="G90" t="s">
        <v>1543</v>
      </c>
      <c r="H90" t="s">
        <v>1544</v>
      </c>
      <c r="I90" t="s">
        <v>1545</v>
      </c>
      <c r="J90" t="s">
        <v>1546</v>
      </c>
      <c r="K90" t="s">
        <v>1547</v>
      </c>
      <c r="L90" t="s">
        <v>8150</v>
      </c>
    </row>
    <row r="91" spans="1:12" x14ac:dyDescent="0.35">
      <c r="A91" t="str">
        <f t="shared" si="1"/>
        <v>Other Unusual Items</v>
      </c>
      <c r="B91" t="s">
        <v>36</v>
      </c>
      <c r="C91" t="s">
        <v>1548</v>
      </c>
      <c r="D91" t="s">
        <v>1549</v>
      </c>
      <c r="E91" t="s">
        <v>1550</v>
      </c>
      <c r="F91" t="s">
        <v>1551</v>
      </c>
      <c r="G91" t="s">
        <v>1552</v>
      </c>
      <c r="H91" t="s">
        <v>1553</v>
      </c>
      <c r="I91" t="s">
        <v>1554</v>
      </c>
      <c r="J91" t="s">
        <v>1555</v>
      </c>
      <c r="K91" t="s">
        <v>1556</v>
      </c>
      <c r="L91" t="s">
        <v>8151</v>
      </c>
    </row>
    <row r="92" spans="1:12" x14ac:dyDescent="0.35">
      <c r="A92" t="str">
        <f t="shared" si="1"/>
        <v>EBT Incl Unusual Items</v>
      </c>
      <c r="B92" t="s">
        <v>100</v>
      </c>
      <c r="C92" t="s">
        <v>1557</v>
      </c>
      <c r="D92" t="s">
        <v>1558</v>
      </c>
      <c r="E92" t="s">
        <v>1559</v>
      </c>
      <c r="F92" t="s">
        <v>1560</v>
      </c>
      <c r="G92" t="s">
        <v>1561</v>
      </c>
      <c r="H92" t="s">
        <v>1562</v>
      </c>
      <c r="I92" t="s">
        <v>1563</v>
      </c>
      <c r="J92" t="s">
        <v>1564</v>
      </c>
      <c r="K92" t="s">
        <v>1565</v>
      </c>
      <c r="L92" t="s">
        <v>8152</v>
      </c>
    </row>
    <row r="93" spans="1:12" x14ac:dyDescent="0.35">
      <c r="A93" t="str">
        <f t="shared" si="1"/>
        <v>Income Tax Expense</v>
      </c>
      <c r="B93" t="s">
        <v>37</v>
      </c>
      <c r="C93" t="s">
        <v>1566</v>
      </c>
      <c r="D93" t="s">
        <v>1567</v>
      </c>
      <c r="E93" t="s">
        <v>1568</v>
      </c>
      <c r="F93" t="s">
        <v>1569</v>
      </c>
      <c r="G93" t="s">
        <v>1570</v>
      </c>
      <c r="H93" t="s">
        <v>1571</v>
      </c>
      <c r="I93" t="s">
        <v>1572</v>
      </c>
      <c r="J93" t="s">
        <v>1573</v>
      </c>
      <c r="K93" t="s">
        <v>1574</v>
      </c>
      <c r="L93" t="s">
        <v>8153</v>
      </c>
    </row>
    <row r="94" spans="1:12" x14ac:dyDescent="0.35">
      <c r="A94" t="str">
        <f t="shared" si="1"/>
        <v>Earnings of Discontinued Ops.</v>
      </c>
      <c r="B94" t="s">
        <v>38</v>
      </c>
      <c r="C94" t="s">
        <v>1575</v>
      </c>
      <c r="D94" t="s">
        <v>1576</v>
      </c>
      <c r="E94" t="s">
        <v>1577</v>
      </c>
      <c r="F94" t="s">
        <v>1578</v>
      </c>
      <c r="G94" t="s">
        <v>1579</v>
      </c>
      <c r="H94" t="s">
        <v>1580</v>
      </c>
      <c r="I94" t="s">
        <v>1581</v>
      </c>
      <c r="J94" t="s">
        <v>1582</v>
      </c>
      <c r="K94" t="s">
        <v>1583</v>
      </c>
      <c r="L94" t="s">
        <v>8154</v>
      </c>
    </row>
    <row r="95" spans="1:12" x14ac:dyDescent="0.35">
      <c r="A95" t="str">
        <f t="shared" si="1"/>
        <v>Extraord. Item &amp; Account. Change</v>
      </c>
      <c r="B95" t="s">
        <v>39</v>
      </c>
      <c r="C95" t="s">
        <v>1584</v>
      </c>
      <c r="D95" t="s">
        <v>1585</v>
      </c>
      <c r="E95" t="s">
        <v>1586</v>
      </c>
      <c r="F95" t="s">
        <v>1587</v>
      </c>
      <c r="G95" t="s">
        <v>1588</v>
      </c>
      <c r="H95" t="s">
        <v>1589</v>
      </c>
      <c r="I95" t="s">
        <v>1590</v>
      </c>
      <c r="J95" t="s">
        <v>1591</v>
      </c>
      <c r="K95" t="s">
        <v>1592</v>
      </c>
      <c r="L95" t="s">
        <v>8155</v>
      </c>
    </row>
    <row r="96" spans="1:12" x14ac:dyDescent="0.35">
      <c r="A96" t="str">
        <f t="shared" si="1"/>
        <v>Net Income to Company</v>
      </c>
      <c r="B96" t="s">
        <v>654</v>
      </c>
      <c r="C96" t="s">
        <v>1593</v>
      </c>
      <c r="D96" t="s">
        <v>1594</v>
      </c>
      <c r="E96" t="s">
        <v>1595</v>
      </c>
      <c r="F96" t="s">
        <v>1596</v>
      </c>
      <c r="G96" t="s">
        <v>1597</v>
      </c>
      <c r="H96" t="s">
        <v>1598</v>
      </c>
      <c r="I96" t="s">
        <v>1599</v>
      </c>
      <c r="J96" t="s">
        <v>1600</v>
      </c>
      <c r="K96" t="s">
        <v>1601</v>
      </c>
      <c r="L96" t="s">
        <v>8156</v>
      </c>
    </row>
    <row r="97" spans="1:12" x14ac:dyDescent="0.35">
      <c r="A97" t="str">
        <f t="shared" si="1"/>
        <v>Minority Int. in Earnings</v>
      </c>
      <c r="B97" t="s">
        <v>101</v>
      </c>
      <c r="C97" t="s">
        <v>1602</v>
      </c>
      <c r="D97" t="s">
        <v>1603</v>
      </c>
      <c r="E97" t="s">
        <v>1604</v>
      </c>
      <c r="F97" t="s">
        <v>1605</v>
      </c>
      <c r="G97" t="s">
        <v>1606</v>
      </c>
      <c r="H97" t="s">
        <v>1607</v>
      </c>
      <c r="I97" t="s">
        <v>1608</v>
      </c>
      <c r="J97" t="s">
        <v>1609</v>
      </c>
      <c r="K97" t="s">
        <v>1610</v>
      </c>
      <c r="L97" t="s">
        <v>8157</v>
      </c>
    </row>
    <row r="98" spans="1:12" x14ac:dyDescent="0.35">
      <c r="A98" t="str">
        <f t="shared" si="1"/>
        <v>Net Income to Parent</v>
      </c>
      <c r="B98" t="s">
        <v>617</v>
      </c>
      <c r="C98" t="s">
        <v>1611</v>
      </c>
      <c r="D98" t="s">
        <v>1612</v>
      </c>
      <c r="E98" t="s">
        <v>1613</v>
      </c>
      <c r="F98" t="s">
        <v>1614</v>
      </c>
      <c r="G98" t="s">
        <v>1615</v>
      </c>
      <c r="H98" t="s">
        <v>1616</v>
      </c>
      <c r="I98" t="s">
        <v>1617</v>
      </c>
      <c r="J98" t="s">
        <v>1618</v>
      </c>
      <c r="K98" t="s">
        <v>1619</v>
      </c>
      <c r="L98" t="s">
        <v>8158</v>
      </c>
    </row>
    <row r="99" spans="1:12" x14ac:dyDescent="0.35">
      <c r="A99" t="str">
        <f t="shared" si="1"/>
        <v>Pref. Dividends and Other Adj.</v>
      </c>
      <c r="B99" t="s">
        <v>40</v>
      </c>
      <c r="C99" t="s">
        <v>1620</v>
      </c>
      <c r="D99" t="s">
        <v>1621</v>
      </c>
      <c r="E99" t="s">
        <v>1622</v>
      </c>
      <c r="F99" t="s">
        <v>1623</v>
      </c>
      <c r="G99" t="s">
        <v>1624</v>
      </c>
      <c r="H99" t="s">
        <v>1625</v>
      </c>
      <c r="I99" t="s">
        <v>1626</v>
      </c>
      <c r="J99" t="s">
        <v>1627</v>
      </c>
      <c r="K99" t="s">
        <v>1628</v>
      </c>
      <c r="L99" t="s">
        <v>8159</v>
      </c>
    </row>
    <row r="100" spans="1:12" x14ac:dyDescent="0.35">
      <c r="A100" t="str">
        <f t="shared" si="1"/>
        <v>NI to Common Incl Extra Items</v>
      </c>
      <c r="B100" t="s">
        <v>102</v>
      </c>
      <c r="C100" t="s">
        <v>1629</v>
      </c>
      <c r="D100" t="s">
        <v>1630</v>
      </c>
      <c r="E100" t="s">
        <v>1631</v>
      </c>
      <c r="F100" t="s">
        <v>1632</v>
      </c>
      <c r="G100" t="s">
        <v>1633</v>
      </c>
      <c r="H100" t="s">
        <v>1634</v>
      </c>
      <c r="I100" t="s">
        <v>1635</v>
      </c>
      <c r="J100" t="s">
        <v>1636</v>
      </c>
      <c r="K100" t="s">
        <v>1637</v>
      </c>
      <c r="L100" t="s">
        <v>8160</v>
      </c>
    </row>
    <row r="101" spans="1:12" x14ac:dyDescent="0.35">
      <c r="A101" t="str">
        <f t="shared" si="1"/>
        <v>NI to Common Excl Extra Items</v>
      </c>
      <c r="B101" t="s">
        <v>103</v>
      </c>
      <c r="C101" t="s">
        <v>1638</v>
      </c>
      <c r="D101" t="s">
        <v>1639</v>
      </c>
      <c r="E101" t="s">
        <v>1640</v>
      </c>
      <c r="F101" t="s">
        <v>1641</v>
      </c>
      <c r="G101" t="s">
        <v>1642</v>
      </c>
      <c r="H101" t="s">
        <v>1643</v>
      </c>
      <c r="I101" t="s">
        <v>1644</v>
      </c>
      <c r="J101" t="s">
        <v>1645</v>
      </c>
      <c r="K101" t="s">
        <v>1646</v>
      </c>
      <c r="L101" t="s">
        <v>8161</v>
      </c>
    </row>
    <row r="102" spans="1:12" x14ac:dyDescent="0.35">
      <c r="A102" t="str">
        <f t="shared" si="1"/>
        <v>Per Share Items</v>
      </c>
      <c r="B102" t="s">
        <v>41</v>
      </c>
      <c r="C102" t="s">
        <v>1647</v>
      </c>
      <c r="D102" t="s">
        <v>1648</v>
      </c>
      <c r="E102" t="s">
        <v>1649</v>
      </c>
      <c r="F102" t="s">
        <v>1650</v>
      </c>
      <c r="G102" t="s">
        <v>1651</v>
      </c>
      <c r="H102" t="s">
        <v>1652</v>
      </c>
      <c r="I102" t="s">
        <v>1653</v>
      </c>
      <c r="J102" t="s">
        <v>1654</v>
      </c>
      <c r="K102" t="s">
        <v>1655</v>
      </c>
      <c r="L102" t="s">
        <v>8162</v>
      </c>
    </row>
    <row r="103" spans="1:12" x14ac:dyDescent="0.35">
      <c r="A103" t="str">
        <f t="shared" si="1"/>
        <v>Basic EPS</v>
      </c>
      <c r="B103" t="s">
        <v>42</v>
      </c>
      <c r="C103" t="s">
        <v>1656</v>
      </c>
      <c r="D103" t="s">
        <v>1656</v>
      </c>
      <c r="E103" t="s">
        <v>1657</v>
      </c>
      <c r="F103" t="s">
        <v>1658</v>
      </c>
      <c r="G103" t="s">
        <v>1659</v>
      </c>
      <c r="H103" t="s">
        <v>1660</v>
      </c>
      <c r="I103" t="s">
        <v>1661</v>
      </c>
      <c r="J103" t="s">
        <v>1662</v>
      </c>
      <c r="K103" t="s">
        <v>1663</v>
      </c>
      <c r="L103" t="s">
        <v>8163</v>
      </c>
    </row>
    <row r="104" spans="1:12" x14ac:dyDescent="0.35">
      <c r="A104" t="str">
        <f t="shared" si="1"/>
        <v>Basic EPS Excl. Extra Items</v>
      </c>
      <c r="B104" t="s">
        <v>43</v>
      </c>
      <c r="C104" t="s">
        <v>1664</v>
      </c>
      <c r="D104" t="s">
        <v>1665</v>
      </c>
      <c r="E104" t="s">
        <v>1666</v>
      </c>
      <c r="F104" t="s">
        <v>1667</v>
      </c>
      <c r="G104" t="s">
        <v>1668</v>
      </c>
      <c r="H104" t="s">
        <v>1669</v>
      </c>
      <c r="I104" t="s">
        <v>1670</v>
      </c>
      <c r="J104" t="s">
        <v>1671</v>
      </c>
      <c r="K104" t="s">
        <v>1672</v>
      </c>
      <c r="L104" t="s">
        <v>8164</v>
      </c>
    </row>
    <row r="105" spans="1:12" x14ac:dyDescent="0.35">
      <c r="A105" t="str">
        <f t="shared" si="1"/>
        <v>Weighted Avg. Basic Shares Out.</v>
      </c>
      <c r="B105" t="s">
        <v>44</v>
      </c>
      <c r="C105" t="s">
        <v>1673</v>
      </c>
      <c r="D105" t="s">
        <v>1674</v>
      </c>
      <c r="E105" t="s">
        <v>1675</v>
      </c>
      <c r="F105" t="s">
        <v>1676</v>
      </c>
      <c r="G105" t="s">
        <v>1677</v>
      </c>
      <c r="H105" t="s">
        <v>1678</v>
      </c>
      <c r="I105" t="s">
        <v>1679</v>
      </c>
      <c r="J105" t="s">
        <v>1680</v>
      </c>
      <c r="K105" t="s">
        <v>1681</v>
      </c>
      <c r="L105" t="s">
        <v>8165</v>
      </c>
    </row>
    <row r="106" spans="1:12" x14ac:dyDescent="0.35">
      <c r="A106" t="str">
        <f t="shared" si="1"/>
        <v>Diluted EPS</v>
      </c>
      <c r="B106" t="s">
        <v>45</v>
      </c>
      <c r="C106" t="s">
        <v>1682</v>
      </c>
      <c r="D106" t="s">
        <v>1683</v>
      </c>
      <c r="E106" t="s">
        <v>1684</v>
      </c>
      <c r="F106" t="s">
        <v>1685</v>
      </c>
      <c r="G106" t="s">
        <v>1686</v>
      </c>
      <c r="H106" t="s">
        <v>1687</v>
      </c>
      <c r="I106" t="s">
        <v>1688</v>
      </c>
      <c r="J106" t="s">
        <v>1689</v>
      </c>
      <c r="K106" t="s">
        <v>1690</v>
      </c>
      <c r="L106" t="s">
        <v>8166</v>
      </c>
    </row>
    <row r="107" spans="1:12" x14ac:dyDescent="0.35">
      <c r="A107" t="str">
        <f t="shared" si="1"/>
        <v>Weighted Avg. Diluted Shares Out.</v>
      </c>
      <c r="B107" t="s">
        <v>46</v>
      </c>
      <c r="C107" t="s">
        <v>1691</v>
      </c>
      <c r="D107" t="s">
        <v>1692</v>
      </c>
      <c r="E107" t="s">
        <v>1693</v>
      </c>
      <c r="F107" t="s">
        <v>1694</v>
      </c>
      <c r="G107" t="s">
        <v>1695</v>
      </c>
      <c r="H107" t="s">
        <v>1696</v>
      </c>
      <c r="I107" t="s">
        <v>1697</v>
      </c>
      <c r="J107" t="s">
        <v>1698</v>
      </c>
      <c r="K107" t="s">
        <v>1699</v>
      </c>
      <c r="L107" t="s">
        <v>8167</v>
      </c>
    </row>
    <row r="108" spans="1:12" x14ac:dyDescent="0.35">
      <c r="A108" t="str">
        <f t="shared" si="1"/>
        <v>Normalized Basic EPS</v>
      </c>
      <c r="B108" t="s">
        <v>47</v>
      </c>
      <c r="C108" t="s">
        <v>1700</v>
      </c>
      <c r="D108" t="s">
        <v>1700</v>
      </c>
      <c r="E108" t="s">
        <v>1701</v>
      </c>
      <c r="F108" t="s">
        <v>1702</v>
      </c>
      <c r="G108" t="s">
        <v>1703</v>
      </c>
      <c r="H108" t="s">
        <v>1704</v>
      </c>
      <c r="I108" t="s">
        <v>1705</v>
      </c>
      <c r="J108" t="s">
        <v>1706</v>
      </c>
      <c r="K108" t="s">
        <v>1707</v>
      </c>
      <c r="L108" t="s">
        <v>8168</v>
      </c>
    </row>
    <row r="109" spans="1:12" x14ac:dyDescent="0.35">
      <c r="A109" t="str">
        <f t="shared" si="1"/>
        <v>Normalized Diluted EPS</v>
      </c>
      <c r="B109" t="s">
        <v>48</v>
      </c>
      <c r="C109" t="s">
        <v>1708</v>
      </c>
      <c r="D109" t="s">
        <v>1709</v>
      </c>
      <c r="E109" t="s">
        <v>1710</v>
      </c>
      <c r="F109" t="s">
        <v>1711</v>
      </c>
      <c r="G109" t="s">
        <v>1712</v>
      </c>
      <c r="H109" t="s">
        <v>1713</v>
      </c>
      <c r="I109" t="s">
        <v>1714</v>
      </c>
      <c r="J109" t="s">
        <v>1715</v>
      </c>
      <c r="K109" t="s">
        <v>1716</v>
      </c>
      <c r="L109" t="s">
        <v>8169</v>
      </c>
    </row>
    <row r="110" spans="1:12" x14ac:dyDescent="0.35">
      <c r="A110" t="str">
        <f t="shared" si="1"/>
        <v>Dividends per Share</v>
      </c>
      <c r="B110" t="s">
        <v>596</v>
      </c>
      <c r="C110" t="s">
        <v>1717</v>
      </c>
      <c r="D110" t="s">
        <v>1717</v>
      </c>
      <c r="E110" t="s">
        <v>1718</v>
      </c>
      <c r="F110" t="s">
        <v>1719</v>
      </c>
      <c r="G110" t="s">
        <v>1720</v>
      </c>
      <c r="H110" t="s">
        <v>1721</v>
      </c>
      <c r="I110" t="s">
        <v>1722</v>
      </c>
      <c r="J110" t="s">
        <v>1723</v>
      </c>
      <c r="K110" t="s">
        <v>1724</v>
      </c>
      <c r="L110" t="s">
        <v>8170</v>
      </c>
    </row>
    <row r="111" spans="1:12" x14ac:dyDescent="0.35">
      <c r="A111" t="str">
        <f t="shared" si="1"/>
        <v>Shares per Depository Receipt</v>
      </c>
      <c r="B111" t="s">
        <v>250</v>
      </c>
      <c r="C111" t="s">
        <v>1725</v>
      </c>
      <c r="D111" t="s">
        <v>1726</v>
      </c>
      <c r="E111" t="s">
        <v>1727</v>
      </c>
      <c r="F111" t="s">
        <v>1728</v>
      </c>
      <c r="G111" t="s">
        <v>1729</v>
      </c>
      <c r="H111" t="s">
        <v>1730</v>
      </c>
      <c r="I111" t="s">
        <v>1731</v>
      </c>
      <c r="J111" t="s">
        <v>1732</v>
      </c>
      <c r="K111" t="s">
        <v>1733</v>
      </c>
      <c r="L111" t="s">
        <v>8171</v>
      </c>
    </row>
    <row r="112" spans="1:12" x14ac:dyDescent="0.35">
      <c r="A112" t="str">
        <f t="shared" si="1"/>
        <v>Revenues per Share</v>
      </c>
      <c r="B112" t="s">
        <v>597</v>
      </c>
      <c r="C112" t="s">
        <v>1734</v>
      </c>
      <c r="D112" t="s">
        <v>1734</v>
      </c>
      <c r="E112" t="s">
        <v>1735</v>
      </c>
      <c r="F112" t="s">
        <v>1736</v>
      </c>
      <c r="G112" t="s">
        <v>1737</v>
      </c>
      <c r="H112" t="s">
        <v>1738</v>
      </c>
      <c r="I112" t="s">
        <v>1739</v>
      </c>
      <c r="J112" t="s">
        <v>1740</v>
      </c>
      <c r="K112" t="s">
        <v>1741</v>
      </c>
      <c r="L112" t="s">
        <v>8172</v>
      </c>
    </row>
    <row r="113" spans="1:12" x14ac:dyDescent="0.35">
      <c r="A113" t="str">
        <f t="shared" si="1"/>
        <v>Distributable Cash per Share</v>
      </c>
      <c r="B113" t="s">
        <v>598</v>
      </c>
      <c r="C113" t="s">
        <v>1742</v>
      </c>
      <c r="D113" t="s">
        <v>1743</v>
      </c>
      <c r="E113" t="s">
        <v>1744</v>
      </c>
      <c r="F113" t="s">
        <v>1745</v>
      </c>
      <c r="G113" t="s">
        <v>1746</v>
      </c>
      <c r="H113" t="s">
        <v>1747</v>
      </c>
      <c r="I113" t="s">
        <v>1748</v>
      </c>
      <c r="J113" t="s">
        <v>1749</v>
      </c>
      <c r="K113" t="s">
        <v>1750</v>
      </c>
      <c r="L113" t="s">
        <v>8173</v>
      </c>
    </row>
    <row r="114" spans="1:12" x14ac:dyDescent="0.35">
      <c r="A114" t="str">
        <f t="shared" si="1"/>
        <v>Distributable Cash per Share (Diluted)</v>
      </c>
      <c r="B114" t="s">
        <v>194</v>
      </c>
      <c r="C114" t="s">
        <v>1751</v>
      </c>
      <c r="D114" t="s">
        <v>1752</v>
      </c>
      <c r="E114" t="s">
        <v>1753</v>
      </c>
      <c r="F114" t="s">
        <v>1754</v>
      </c>
      <c r="G114" t="s">
        <v>1755</v>
      </c>
      <c r="H114" t="s">
        <v>1756</v>
      </c>
      <c r="I114" t="s">
        <v>1757</v>
      </c>
      <c r="J114" t="s">
        <v>1758</v>
      </c>
      <c r="K114" t="s">
        <v>1759</v>
      </c>
      <c r="L114" t="s">
        <v>8174</v>
      </c>
    </row>
    <row r="115" spans="1:12" x14ac:dyDescent="0.35">
      <c r="A115" t="str">
        <f t="shared" si="1"/>
        <v>Special Dividend per Share</v>
      </c>
      <c r="B115" t="s">
        <v>599</v>
      </c>
      <c r="C115" t="s">
        <v>1760</v>
      </c>
      <c r="D115" t="s">
        <v>1761</v>
      </c>
      <c r="E115" t="s">
        <v>1762</v>
      </c>
      <c r="F115" t="s">
        <v>1763</v>
      </c>
      <c r="G115" t="s">
        <v>1764</v>
      </c>
      <c r="H115" t="s">
        <v>1765</v>
      </c>
      <c r="I115" t="s">
        <v>1766</v>
      </c>
      <c r="J115" t="s">
        <v>1767</v>
      </c>
      <c r="K115" t="s">
        <v>1768</v>
      </c>
      <c r="L115" t="s">
        <v>8175</v>
      </c>
    </row>
    <row r="116" spans="1:12" x14ac:dyDescent="0.35">
      <c r="A116" t="str">
        <f t="shared" si="1"/>
        <v>Supplemental Items</v>
      </c>
      <c r="B116" t="s">
        <v>49</v>
      </c>
      <c r="C116" t="s">
        <v>1769</v>
      </c>
      <c r="D116" t="s">
        <v>1770</v>
      </c>
      <c r="E116" t="s">
        <v>1771</v>
      </c>
      <c r="F116" t="s">
        <v>1772</v>
      </c>
      <c r="G116" t="s">
        <v>1773</v>
      </c>
      <c r="H116" t="s">
        <v>1774</v>
      </c>
      <c r="I116" t="s">
        <v>1775</v>
      </c>
      <c r="J116" t="s">
        <v>1776</v>
      </c>
      <c r="K116" t="s">
        <v>1777</v>
      </c>
      <c r="L116" t="s">
        <v>8176</v>
      </c>
    </row>
    <row r="117" spans="1:12" x14ac:dyDescent="0.35">
      <c r="A117" t="str">
        <f t="shared" si="1"/>
        <v>EBITDA (Incl. Equity Inc. from Affiliates)</v>
      </c>
      <c r="B117" t="s">
        <v>600</v>
      </c>
      <c r="C117" t="s">
        <v>1778</v>
      </c>
      <c r="D117" t="s">
        <v>1779</v>
      </c>
      <c r="E117" t="s">
        <v>1780</v>
      </c>
      <c r="F117" t="s">
        <v>1781</v>
      </c>
      <c r="G117" t="s">
        <v>1782</v>
      </c>
      <c r="H117" t="s">
        <v>1783</v>
      </c>
      <c r="I117" t="s">
        <v>1784</v>
      </c>
      <c r="J117" t="s">
        <v>1785</v>
      </c>
      <c r="K117" t="s">
        <v>1786</v>
      </c>
      <c r="L117" t="s">
        <v>8177</v>
      </c>
    </row>
    <row r="118" spans="1:12" x14ac:dyDescent="0.35">
      <c r="A118" t="str">
        <f t="shared" si="1"/>
        <v>EBITDA (Excl. SBC and Incl. Equity Inc. from Affiliates)</v>
      </c>
      <c r="B118" t="s">
        <v>601</v>
      </c>
      <c r="C118" t="s">
        <v>1787</v>
      </c>
      <c r="D118" t="s">
        <v>1788</v>
      </c>
      <c r="E118" t="s">
        <v>1789</v>
      </c>
      <c r="F118" t="s">
        <v>1790</v>
      </c>
      <c r="G118" t="s">
        <v>1791</v>
      </c>
      <c r="H118" t="s">
        <v>1792</v>
      </c>
      <c r="I118" t="s">
        <v>1793</v>
      </c>
      <c r="J118" t="s">
        <v>1794</v>
      </c>
      <c r="K118" t="s">
        <v>1795</v>
      </c>
      <c r="L118" t="s">
        <v>8178</v>
      </c>
    </row>
    <row r="119" spans="1:12" x14ac:dyDescent="0.35">
      <c r="A119" t="str">
        <f t="shared" si="1"/>
        <v>EBITDA (Excl. SBC)</v>
      </c>
      <c r="B119" t="s">
        <v>602</v>
      </c>
      <c r="C119" t="s">
        <v>1796</v>
      </c>
      <c r="D119" t="s">
        <v>1797</v>
      </c>
      <c r="E119" t="s">
        <v>1798</v>
      </c>
      <c r="F119" t="s">
        <v>1799</v>
      </c>
      <c r="G119" t="s">
        <v>1800</v>
      </c>
      <c r="H119" t="s">
        <v>1801</v>
      </c>
      <c r="I119" t="s">
        <v>1802</v>
      </c>
      <c r="J119" t="s">
        <v>1803</v>
      </c>
      <c r="K119" t="s">
        <v>1804</v>
      </c>
      <c r="L119" t="s">
        <v>8179</v>
      </c>
    </row>
    <row r="120" spans="1:12" x14ac:dyDescent="0.35">
      <c r="A120" t="str">
        <f t="shared" si="1"/>
        <v>EBITDA, Lease Adjusted</v>
      </c>
      <c r="B120" t="s">
        <v>935</v>
      </c>
      <c r="C120" t="s">
        <v>1805</v>
      </c>
      <c r="D120" t="s">
        <v>1806</v>
      </c>
      <c r="E120" t="s">
        <v>1807</v>
      </c>
      <c r="F120" t="s">
        <v>1808</v>
      </c>
      <c r="G120" t="s">
        <v>1809</v>
      </c>
      <c r="H120" t="s">
        <v>1810</v>
      </c>
      <c r="I120" t="s">
        <v>1811</v>
      </c>
      <c r="J120" t="s">
        <v>1812</v>
      </c>
      <c r="K120" t="s">
        <v>1813</v>
      </c>
      <c r="L120" t="s">
        <v>8180</v>
      </c>
    </row>
    <row r="121" spans="1:12" x14ac:dyDescent="0.35">
      <c r="A121" t="str">
        <f t="shared" si="1"/>
        <v>Lease Adjustment for EBITDA</v>
      </c>
      <c r="B121" t="s">
        <v>936</v>
      </c>
      <c r="C121" t="s">
        <v>1814</v>
      </c>
      <c r="D121" t="s">
        <v>1815</v>
      </c>
      <c r="E121" t="s">
        <v>1816</v>
      </c>
      <c r="F121" t="s">
        <v>1817</v>
      </c>
      <c r="G121" t="s">
        <v>1818</v>
      </c>
      <c r="H121" t="s">
        <v>1819</v>
      </c>
      <c r="I121" t="s">
        <v>1820</v>
      </c>
      <c r="J121" t="s">
        <v>1821</v>
      </c>
      <c r="K121" t="s">
        <v>1822</v>
      </c>
      <c r="L121" t="s">
        <v>8181</v>
      </c>
    </row>
    <row r="122" spans="1:12" x14ac:dyDescent="0.35">
      <c r="A122" t="str">
        <f t="shared" si="1"/>
        <v>EBITDA (Incl. Equity Inc. from Affiliates, Excl. Op. Lease Adj.)</v>
      </c>
      <c r="B122" t="s">
        <v>951</v>
      </c>
      <c r="C122" t="s">
        <v>1823</v>
      </c>
      <c r="D122" t="s">
        <v>1824</v>
      </c>
      <c r="E122" t="s">
        <v>1825</v>
      </c>
      <c r="F122" t="s">
        <v>1826</v>
      </c>
      <c r="G122" t="s">
        <v>1827</v>
      </c>
      <c r="H122" t="s">
        <v>1828</v>
      </c>
      <c r="I122" t="s">
        <v>1829</v>
      </c>
      <c r="J122" t="s">
        <v>1830</v>
      </c>
      <c r="K122" t="s">
        <v>1831</v>
      </c>
      <c r="L122" t="s">
        <v>8182</v>
      </c>
    </row>
    <row r="123" spans="1:12" x14ac:dyDescent="0.35">
      <c r="A123" t="str">
        <f t="shared" si="1"/>
        <v>EBIT (Incl. Equity Inc. from Affiliates)</v>
      </c>
      <c r="B123" t="s">
        <v>603</v>
      </c>
      <c r="C123" t="s">
        <v>1832</v>
      </c>
      <c r="D123" t="s">
        <v>1833</v>
      </c>
      <c r="E123" t="s">
        <v>1834</v>
      </c>
      <c r="F123" t="s">
        <v>1835</v>
      </c>
      <c r="G123" t="s">
        <v>1836</v>
      </c>
      <c r="H123" t="s">
        <v>1837</v>
      </c>
      <c r="I123" t="s">
        <v>1838</v>
      </c>
      <c r="J123" t="s">
        <v>1839</v>
      </c>
      <c r="K123" t="s">
        <v>1840</v>
      </c>
      <c r="L123" t="s">
        <v>8183</v>
      </c>
    </row>
    <row r="124" spans="1:12" x14ac:dyDescent="0.35">
      <c r="A124" t="str">
        <f t="shared" si="1"/>
        <v>EBIT (Excl. SBC and Incl. Equity Inc. from Affiliates)</v>
      </c>
      <c r="B124" t="s">
        <v>604</v>
      </c>
      <c r="C124" t="s">
        <v>1841</v>
      </c>
      <c r="D124" t="s">
        <v>1842</v>
      </c>
      <c r="E124" t="s">
        <v>1843</v>
      </c>
      <c r="F124" t="s">
        <v>1844</v>
      </c>
      <c r="G124" t="s">
        <v>1845</v>
      </c>
      <c r="H124" t="s">
        <v>1846</v>
      </c>
      <c r="I124" t="s">
        <v>1847</v>
      </c>
      <c r="J124" t="s">
        <v>1848</v>
      </c>
      <c r="K124" t="s">
        <v>1849</v>
      </c>
      <c r="L124" t="s">
        <v>8184</v>
      </c>
    </row>
    <row r="125" spans="1:12" x14ac:dyDescent="0.35">
      <c r="A125" t="str">
        <f t="shared" si="1"/>
        <v>EBIT (Excl. SBC)</v>
      </c>
      <c r="B125" t="s">
        <v>605</v>
      </c>
      <c r="C125" t="s">
        <v>1850</v>
      </c>
      <c r="D125" t="s">
        <v>1851</v>
      </c>
      <c r="E125" t="s">
        <v>1852</v>
      </c>
      <c r="F125" t="s">
        <v>1853</v>
      </c>
      <c r="G125" t="s">
        <v>1854</v>
      </c>
      <c r="H125" t="s">
        <v>1855</v>
      </c>
      <c r="I125" t="s">
        <v>1856</v>
      </c>
      <c r="J125" t="s">
        <v>1857</v>
      </c>
      <c r="K125" t="s">
        <v>1858</v>
      </c>
      <c r="L125" t="s">
        <v>8185</v>
      </c>
    </row>
    <row r="126" spans="1:12" x14ac:dyDescent="0.35">
      <c r="A126" t="str">
        <f t="shared" si="1"/>
        <v>EBITA</v>
      </c>
      <c r="B126" t="s">
        <v>50</v>
      </c>
      <c r="C126" t="s">
        <v>1859</v>
      </c>
      <c r="D126" t="s">
        <v>1860</v>
      </c>
      <c r="E126" t="s">
        <v>50</v>
      </c>
      <c r="F126" t="s">
        <v>50</v>
      </c>
      <c r="G126" t="s">
        <v>50</v>
      </c>
      <c r="H126" t="s">
        <v>50</v>
      </c>
      <c r="I126" t="s">
        <v>50</v>
      </c>
      <c r="J126" t="s">
        <v>50</v>
      </c>
      <c r="K126" t="s">
        <v>50</v>
      </c>
      <c r="L126" t="s">
        <v>50</v>
      </c>
    </row>
    <row r="127" spans="1:12" x14ac:dyDescent="0.35">
      <c r="A127" t="str">
        <f t="shared" ref="A127:A190" si="2">INDEX($B127:$CW127,,$A$5)</f>
        <v>EBITA (Incl. Equity Inc. from Affiliates)</v>
      </c>
      <c r="B127" t="s">
        <v>606</v>
      </c>
      <c r="C127" t="s">
        <v>1861</v>
      </c>
      <c r="D127" t="s">
        <v>1862</v>
      </c>
      <c r="E127" t="s">
        <v>1863</v>
      </c>
      <c r="F127" t="s">
        <v>1864</v>
      </c>
      <c r="G127" t="s">
        <v>1865</v>
      </c>
      <c r="H127" t="s">
        <v>1866</v>
      </c>
      <c r="I127" t="s">
        <v>1867</v>
      </c>
      <c r="J127" t="s">
        <v>1868</v>
      </c>
      <c r="K127" t="s">
        <v>1869</v>
      </c>
      <c r="L127" t="s">
        <v>8186</v>
      </c>
    </row>
    <row r="128" spans="1:12" x14ac:dyDescent="0.35">
      <c r="A128" t="str">
        <f t="shared" si="2"/>
        <v>EBITA (Excl. SBC and Incl. Equity Inc. from Affiliates)</v>
      </c>
      <c r="B128" t="s">
        <v>607</v>
      </c>
      <c r="C128" t="s">
        <v>1870</v>
      </c>
      <c r="D128" t="s">
        <v>1871</v>
      </c>
      <c r="E128" t="s">
        <v>1872</v>
      </c>
      <c r="F128" t="s">
        <v>1873</v>
      </c>
      <c r="G128" t="s">
        <v>1874</v>
      </c>
      <c r="H128" t="s">
        <v>1875</v>
      </c>
      <c r="I128" t="s">
        <v>1876</v>
      </c>
      <c r="J128" t="s">
        <v>1877</v>
      </c>
      <c r="K128" t="s">
        <v>1878</v>
      </c>
      <c r="L128" t="s">
        <v>8187</v>
      </c>
    </row>
    <row r="129" spans="1:12" x14ac:dyDescent="0.35">
      <c r="A129" t="str">
        <f t="shared" si="2"/>
        <v>EBITA (Excl. SBC)</v>
      </c>
      <c r="B129" t="s">
        <v>608</v>
      </c>
      <c r="C129" t="s">
        <v>1879</v>
      </c>
      <c r="D129" t="s">
        <v>1880</v>
      </c>
      <c r="E129" t="s">
        <v>1881</v>
      </c>
      <c r="F129" t="s">
        <v>1882</v>
      </c>
      <c r="G129" t="s">
        <v>1883</v>
      </c>
      <c r="H129" t="s">
        <v>1884</v>
      </c>
      <c r="I129" t="s">
        <v>1885</v>
      </c>
      <c r="J129" t="s">
        <v>1886</v>
      </c>
      <c r="K129" t="s">
        <v>1887</v>
      </c>
      <c r="L129" t="s">
        <v>8188</v>
      </c>
    </row>
    <row r="130" spans="1:12" x14ac:dyDescent="0.35">
      <c r="A130" t="str">
        <f t="shared" si="2"/>
        <v>EBITDAR</v>
      </c>
      <c r="B130" t="s">
        <v>557</v>
      </c>
      <c r="C130" t="s">
        <v>1888</v>
      </c>
      <c r="D130" t="s">
        <v>1889</v>
      </c>
      <c r="E130" t="s">
        <v>557</v>
      </c>
      <c r="F130" t="s">
        <v>557</v>
      </c>
      <c r="G130" t="s">
        <v>557</v>
      </c>
      <c r="H130" t="s">
        <v>557</v>
      </c>
      <c r="I130" t="s">
        <v>557</v>
      </c>
      <c r="J130" t="s">
        <v>557</v>
      </c>
      <c r="K130" t="s">
        <v>557</v>
      </c>
      <c r="L130" t="s">
        <v>557</v>
      </c>
    </row>
    <row r="131" spans="1:12" x14ac:dyDescent="0.35">
      <c r="A131" t="str">
        <f t="shared" si="2"/>
        <v>EBITDAR (Incl. Equity Inc. from Affiliates)</v>
      </c>
      <c r="B131" t="s">
        <v>609</v>
      </c>
      <c r="C131" t="s">
        <v>1890</v>
      </c>
      <c r="D131" t="s">
        <v>1891</v>
      </c>
      <c r="E131" t="s">
        <v>1892</v>
      </c>
      <c r="F131" t="s">
        <v>1893</v>
      </c>
      <c r="G131" t="s">
        <v>1894</v>
      </c>
      <c r="H131" t="s">
        <v>1895</v>
      </c>
      <c r="I131" t="s">
        <v>1896</v>
      </c>
      <c r="J131" t="s">
        <v>1897</v>
      </c>
      <c r="K131" t="s">
        <v>1898</v>
      </c>
      <c r="L131" t="s">
        <v>8189</v>
      </c>
    </row>
    <row r="132" spans="1:12" x14ac:dyDescent="0.35">
      <c r="A132" t="str">
        <f t="shared" si="2"/>
        <v>EBITDAR (Excl. SBC and Incl. Equity Inc. from Affiliates)</v>
      </c>
      <c r="B132" t="s">
        <v>610</v>
      </c>
      <c r="C132" t="s">
        <v>1899</v>
      </c>
      <c r="D132" t="s">
        <v>1900</v>
      </c>
      <c r="E132" t="s">
        <v>1901</v>
      </c>
      <c r="F132" t="s">
        <v>1902</v>
      </c>
      <c r="G132" t="s">
        <v>1903</v>
      </c>
      <c r="H132" t="s">
        <v>1904</v>
      </c>
      <c r="I132" t="s">
        <v>1905</v>
      </c>
      <c r="J132" t="s">
        <v>1906</v>
      </c>
      <c r="K132" t="s">
        <v>1907</v>
      </c>
      <c r="L132" t="s">
        <v>8190</v>
      </c>
    </row>
    <row r="133" spans="1:12" x14ac:dyDescent="0.35">
      <c r="A133" t="str">
        <f t="shared" si="2"/>
        <v>EBITDAR (Excl. SBC)</v>
      </c>
      <c r="B133" t="s">
        <v>611</v>
      </c>
      <c r="C133" t="s">
        <v>1908</v>
      </c>
      <c r="D133" t="s">
        <v>1909</v>
      </c>
      <c r="E133" t="s">
        <v>1910</v>
      </c>
      <c r="F133" t="s">
        <v>1911</v>
      </c>
      <c r="G133" t="s">
        <v>1912</v>
      </c>
      <c r="H133" t="s">
        <v>1913</v>
      </c>
      <c r="I133" t="s">
        <v>1914</v>
      </c>
      <c r="J133" t="s">
        <v>1915</v>
      </c>
      <c r="K133" t="s">
        <v>1916</v>
      </c>
      <c r="L133" t="s">
        <v>8191</v>
      </c>
    </row>
    <row r="134" spans="1:12" x14ac:dyDescent="0.35">
      <c r="A134" t="str">
        <f t="shared" si="2"/>
        <v>EBITDA - CAPEX</v>
      </c>
      <c r="B134" t="s">
        <v>266</v>
      </c>
      <c r="C134" t="s">
        <v>1917</v>
      </c>
      <c r="D134" t="s">
        <v>1918</v>
      </c>
      <c r="E134" t="s">
        <v>266</v>
      </c>
      <c r="F134" t="s">
        <v>1919</v>
      </c>
      <c r="G134" t="s">
        <v>266</v>
      </c>
      <c r="H134" t="s">
        <v>1920</v>
      </c>
      <c r="I134" t="s">
        <v>266</v>
      </c>
      <c r="J134" t="s">
        <v>266</v>
      </c>
      <c r="K134" t="s">
        <v>266</v>
      </c>
      <c r="L134" t="s">
        <v>266</v>
      </c>
    </row>
    <row r="135" spans="1:12" x14ac:dyDescent="0.35">
      <c r="A135" t="str">
        <f t="shared" si="2"/>
        <v>Fees and Other Income</v>
      </c>
      <c r="B135" t="s">
        <v>240</v>
      </c>
      <c r="C135" t="s">
        <v>1921</v>
      </c>
      <c r="D135" t="s">
        <v>1922</v>
      </c>
      <c r="E135" t="s">
        <v>1923</v>
      </c>
      <c r="F135" t="s">
        <v>1924</v>
      </c>
      <c r="G135" t="s">
        <v>1925</v>
      </c>
      <c r="H135" t="s">
        <v>1926</v>
      </c>
      <c r="I135" t="s">
        <v>1927</v>
      </c>
      <c r="J135" t="s">
        <v>1928</v>
      </c>
      <c r="K135" t="s">
        <v>1929</v>
      </c>
      <c r="L135" t="s">
        <v>8192</v>
      </c>
    </row>
    <row r="136" spans="1:12" x14ac:dyDescent="0.35">
      <c r="A136" t="str">
        <f t="shared" si="2"/>
        <v>Same Store Sales Growth</v>
      </c>
      <c r="B136" t="s">
        <v>612</v>
      </c>
      <c r="C136" t="s">
        <v>1930</v>
      </c>
      <c r="D136" t="s">
        <v>1931</v>
      </c>
      <c r="E136" t="s">
        <v>1932</v>
      </c>
      <c r="F136" t="s">
        <v>1933</v>
      </c>
      <c r="G136" t="s">
        <v>1934</v>
      </c>
      <c r="H136" t="s">
        <v>1935</v>
      </c>
      <c r="I136" t="s">
        <v>1936</v>
      </c>
      <c r="J136" t="s">
        <v>1937</v>
      </c>
      <c r="K136" t="s">
        <v>1938</v>
      </c>
      <c r="L136" t="s">
        <v>8193</v>
      </c>
    </row>
    <row r="137" spans="1:12" x14ac:dyDescent="0.35">
      <c r="A137" t="str">
        <f t="shared" si="2"/>
        <v>As Reported Total Revenue</v>
      </c>
      <c r="B137" t="s">
        <v>939</v>
      </c>
      <c r="C137" t="s">
        <v>10762</v>
      </c>
      <c r="D137" t="s">
        <v>10763</v>
      </c>
      <c r="E137" t="s">
        <v>10764</v>
      </c>
      <c r="F137" t="s">
        <v>10765</v>
      </c>
      <c r="G137" t="s">
        <v>10766</v>
      </c>
      <c r="H137" t="s">
        <v>10767</v>
      </c>
      <c r="I137" t="s">
        <v>10768</v>
      </c>
      <c r="J137" t="s">
        <v>10769</v>
      </c>
      <c r="K137" t="s">
        <v>10770</v>
      </c>
      <c r="L137" t="s">
        <v>10771</v>
      </c>
    </row>
    <row r="138" spans="1:12" x14ac:dyDescent="0.35">
      <c r="A138" t="str">
        <f t="shared" si="2"/>
        <v>As Reported EBITDA</v>
      </c>
      <c r="B138" t="s">
        <v>940</v>
      </c>
      <c r="C138" t="s">
        <v>1939</v>
      </c>
      <c r="D138" t="s">
        <v>1940</v>
      </c>
      <c r="E138" t="s">
        <v>1941</v>
      </c>
      <c r="F138" t="s">
        <v>1942</v>
      </c>
      <c r="G138" t="s">
        <v>1943</v>
      </c>
      <c r="H138" t="s">
        <v>1944</v>
      </c>
      <c r="I138" t="s">
        <v>1945</v>
      </c>
      <c r="J138" t="s">
        <v>1946</v>
      </c>
      <c r="K138" t="s">
        <v>1947</v>
      </c>
      <c r="L138" t="s">
        <v>8194</v>
      </c>
    </row>
    <row r="139" spans="1:12" x14ac:dyDescent="0.35">
      <c r="A139" t="str">
        <f t="shared" si="2"/>
        <v>Provision for Doubtful Accounts - Patient Service Revenue</v>
      </c>
      <c r="B139" t="s">
        <v>61</v>
      </c>
      <c r="C139" t="s">
        <v>1948</v>
      </c>
      <c r="D139" t="s">
        <v>1949</v>
      </c>
      <c r="E139" t="s">
        <v>1950</v>
      </c>
      <c r="F139" t="s">
        <v>1951</v>
      </c>
      <c r="G139" t="s">
        <v>1952</v>
      </c>
      <c r="H139" t="s">
        <v>1953</v>
      </c>
      <c r="I139" t="s">
        <v>1954</v>
      </c>
      <c r="J139" t="s">
        <v>1955</v>
      </c>
      <c r="K139" t="s">
        <v>1956</v>
      </c>
      <c r="L139" t="s">
        <v>8195</v>
      </c>
    </row>
    <row r="140" spans="1:12" x14ac:dyDescent="0.35">
      <c r="A140" t="str">
        <f t="shared" si="2"/>
        <v>Earnings to Parent before Extraordinary Items</v>
      </c>
      <c r="B140" t="s">
        <v>655</v>
      </c>
      <c r="C140" t="s">
        <v>1957</v>
      </c>
      <c r="D140" t="s">
        <v>1958</v>
      </c>
      <c r="E140" t="s">
        <v>1959</v>
      </c>
      <c r="F140" t="s">
        <v>1960</v>
      </c>
      <c r="G140" t="s">
        <v>1961</v>
      </c>
      <c r="H140" t="s">
        <v>1643</v>
      </c>
      <c r="I140" t="s">
        <v>1962</v>
      </c>
      <c r="J140" t="s">
        <v>1963</v>
      </c>
      <c r="K140" t="s">
        <v>1964</v>
      </c>
      <c r="L140" t="s">
        <v>8196</v>
      </c>
    </row>
    <row r="141" spans="1:12" x14ac:dyDescent="0.35">
      <c r="A141" t="str">
        <f t="shared" si="2"/>
        <v>Net Income per SFAS 123 (after Options)</v>
      </c>
      <c r="B141" t="s">
        <v>613</v>
      </c>
      <c r="C141" t="s">
        <v>1965</v>
      </c>
      <c r="D141" t="s">
        <v>1966</v>
      </c>
      <c r="E141" t="s">
        <v>1967</v>
      </c>
      <c r="F141" t="s">
        <v>1968</v>
      </c>
      <c r="G141" t="s">
        <v>1969</v>
      </c>
      <c r="H141" t="s">
        <v>1970</v>
      </c>
      <c r="I141" t="s">
        <v>1971</v>
      </c>
      <c r="J141" t="s">
        <v>1972</v>
      </c>
      <c r="K141" t="s">
        <v>1973</v>
      </c>
      <c r="L141" t="s">
        <v>8197</v>
      </c>
    </row>
    <row r="142" spans="1:12" x14ac:dyDescent="0.35">
      <c r="A142" t="str">
        <f t="shared" si="2"/>
        <v>Interest Income</v>
      </c>
      <c r="B142" t="s">
        <v>898</v>
      </c>
      <c r="C142" t="s">
        <v>1974</v>
      </c>
      <c r="D142" t="s">
        <v>1975</v>
      </c>
      <c r="E142" t="s">
        <v>1976</v>
      </c>
      <c r="F142" t="s">
        <v>1977</v>
      </c>
      <c r="G142" t="s">
        <v>1978</v>
      </c>
      <c r="H142" t="s">
        <v>1979</v>
      </c>
      <c r="I142" t="s">
        <v>1980</v>
      </c>
      <c r="J142" t="s">
        <v>1981</v>
      </c>
      <c r="K142" t="s">
        <v>1982</v>
      </c>
      <c r="L142" t="s">
        <v>8198</v>
      </c>
    </row>
    <row r="143" spans="1:12" x14ac:dyDescent="0.35">
      <c r="A143" t="str">
        <f t="shared" si="2"/>
        <v>Investment Income</v>
      </c>
      <c r="B143" t="s">
        <v>900</v>
      </c>
      <c r="C143" t="s">
        <v>1983</v>
      </c>
      <c r="D143" t="s">
        <v>1984</v>
      </c>
      <c r="E143" t="s">
        <v>1985</v>
      </c>
      <c r="F143" t="s">
        <v>1986</v>
      </c>
      <c r="G143" t="s">
        <v>1987</v>
      </c>
      <c r="H143" t="s">
        <v>1988</v>
      </c>
      <c r="I143" t="s">
        <v>1989</v>
      </c>
      <c r="J143" t="s">
        <v>1990</v>
      </c>
      <c r="K143" t="s">
        <v>1991</v>
      </c>
      <c r="L143" t="s">
        <v>8199</v>
      </c>
    </row>
    <row r="144" spans="1:12" x14ac:dyDescent="0.35">
      <c r="A144" t="str">
        <f t="shared" si="2"/>
        <v>Excise Taxes Excluded from Sales</v>
      </c>
      <c r="B144" t="s">
        <v>614</v>
      </c>
      <c r="C144" t="s">
        <v>1992</v>
      </c>
      <c r="D144" t="s">
        <v>1993</v>
      </c>
      <c r="E144" t="s">
        <v>1994</v>
      </c>
      <c r="F144" t="s">
        <v>1995</v>
      </c>
      <c r="G144" t="s">
        <v>1996</v>
      </c>
      <c r="H144" t="s">
        <v>1997</v>
      </c>
      <c r="I144" t="s">
        <v>1998</v>
      </c>
      <c r="J144" t="s">
        <v>1999</v>
      </c>
      <c r="K144" t="s">
        <v>2000</v>
      </c>
      <c r="L144" t="s">
        <v>8200</v>
      </c>
    </row>
    <row r="145" spans="1:12" x14ac:dyDescent="0.35">
      <c r="A145" t="str">
        <f t="shared" si="2"/>
        <v>Excise Taxes Included in Sales</v>
      </c>
      <c r="B145" t="s">
        <v>615</v>
      </c>
      <c r="C145" t="s">
        <v>2001</v>
      </c>
      <c r="D145" t="s">
        <v>2002</v>
      </c>
      <c r="E145" t="s">
        <v>2003</v>
      </c>
      <c r="F145" t="s">
        <v>2004</v>
      </c>
      <c r="G145" t="s">
        <v>2005</v>
      </c>
      <c r="H145" t="s">
        <v>2006</v>
      </c>
      <c r="I145" t="s">
        <v>2007</v>
      </c>
      <c r="J145" t="s">
        <v>2008</v>
      </c>
      <c r="K145" t="s">
        <v>2009</v>
      </c>
      <c r="L145" t="s">
        <v>8201</v>
      </c>
    </row>
    <row r="146" spans="1:12" x14ac:dyDescent="0.35">
      <c r="A146" t="str">
        <f t="shared" si="2"/>
        <v>Current Domestic Taxes</v>
      </c>
      <c r="B146" t="s">
        <v>51</v>
      </c>
      <c r="C146" t="s">
        <v>2010</v>
      </c>
      <c r="D146" t="s">
        <v>2011</v>
      </c>
      <c r="E146" t="s">
        <v>2012</v>
      </c>
      <c r="F146" t="s">
        <v>2013</v>
      </c>
      <c r="G146" t="s">
        <v>2014</v>
      </c>
      <c r="H146" t="s">
        <v>2015</v>
      </c>
      <c r="I146" t="s">
        <v>2016</v>
      </c>
      <c r="J146" t="s">
        <v>2017</v>
      </c>
      <c r="K146" t="s">
        <v>2018</v>
      </c>
      <c r="L146" t="s">
        <v>8202</v>
      </c>
    </row>
    <row r="147" spans="1:12" x14ac:dyDescent="0.35">
      <c r="A147" t="str">
        <f t="shared" si="2"/>
        <v>Current Foreign Taxes</v>
      </c>
      <c r="B147" t="s">
        <v>52</v>
      </c>
      <c r="C147" t="s">
        <v>2019</v>
      </c>
      <c r="D147" t="s">
        <v>2020</v>
      </c>
      <c r="E147" t="s">
        <v>2021</v>
      </c>
      <c r="F147" t="s">
        <v>2022</v>
      </c>
      <c r="G147" t="s">
        <v>2023</v>
      </c>
      <c r="H147" t="s">
        <v>2024</v>
      </c>
      <c r="I147" t="s">
        <v>2025</v>
      </c>
      <c r="J147" t="s">
        <v>2026</v>
      </c>
      <c r="K147" t="s">
        <v>2027</v>
      </c>
      <c r="L147" t="s">
        <v>8203</v>
      </c>
    </row>
    <row r="148" spans="1:12" x14ac:dyDescent="0.35">
      <c r="A148" t="str">
        <f t="shared" si="2"/>
        <v>Total Current Taxes</v>
      </c>
      <c r="B148" t="s">
        <v>267</v>
      </c>
      <c r="C148" t="s">
        <v>2028</v>
      </c>
      <c r="D148" t="s">
        <v>2029</v>
      </c>
      <c r="E148" t="s">
        <v>2030</v>
      </c>
      <c r="F148" t="s">
        <v>2031</v>
      </c>
      <c r="G148" t="s">
        <v>2032</v>
      </c>
      <c r="H148" t="s">
        <v>2033</v>
      </c>
      <c r="I148" t="s">
        <v>2034</v>
      </c>
      <c r="J148" t="s">
        <v>2035</v>
      </c>
      <c r="K148" t="s">
        <v>2036</v>
      </c>
      <c r="L148" t="s">
        <v>8204</v>
      </c>
    </row>
    <row r="149" spans="1:12" x14ac:dyDescent="0.35">
      <c r="A149" t="str">
        <f t="shared" si="2"/>
        <v>Deferred Domestic Taxes</v>
      </c>
      <c r="B149" t="s">
        <v>53</v>
      </c>
      <c r="C149" t="s">
        <v>2037</v>
      </c>
      <c r="D149" t="s">
        <v>2038</v>
      </c>
      <c r="E149" t="s">
        <v>2039</v>
      </c>
      <c r="F149" t="s">
        <v>2040</v>
      </c>
      <c r="G149" t="s">
        <v>2041</v>
      </c>
      <c r="H149" t="s">
        <v>2042</v>
      </c>
      <c r="I149" t="s">
        <v>2043</v>
      </c>
      <c r="J149" t="s">
        <v>2044</v>
      </c>
      <c r="K149" t="s">
        <v>2045</v>
      </c>
      <c r="L149" t="s">
        <v>8205</v>
      </c>
    </row>
    <row r="150" spans="1:12" x14ac:dyDescent="0.35">
      <c r="A150" t="str">
        <f t="shared" si="2"/>
        <v>Deferred Foreign Taxes</v>
      </c>
      <c r="B150" t="s">
        <v>54</v>
      </c>
      <c r="C150" t="s">
        <v>2046</v>
      </c>
      <c r="D150" t="s">
        <v>2047</v>
      </c>
      <c r="E150" t="s">
        <v>2048</v>
      </c>
      <c r="F150" t="s">
        <v>2049</v>
      </c>
      <c r="G150" t="s">
        <v>2050</v>
      </c>
      <c r="H150" t="s">
        <v>2051</v>
      </c>
      <c r="I150" t="s">
        <v>2052</v>
      </c>
      <c r="J150" t="s">
        <v>2053</v>
      </c>
      <c r="K150" t="s">
        <v>2054</v>
      </c>
      <c r="L150" t="s">
        <v>8206</v>
      </c>
    </row>
    <row r="151" spans="1:12" x14ac:dyDescent="0.35">
      <c r="A151" t="str">
        <f t="shared" si="2"/>
        <v>Total Deferred Taxes</v>
      </c>
      <c r="B151" t="s">
        <v>268</v>
      </c>
      <c r="C151" t="s">
        <v>2055</v>
      </c>
      <c r="D151" t="s">
        <v>2056</v>
      </c>
      <c r="E151" t="s">
        <v>2057</v>
      </c>
      <c r="F151" t="s">
        <v>2058</v>
      </c>
      <c r="G151" t="s">
        <v>2059</v>
      </c>
      <c r="H151" t="s">
        <v>2060</v>
      </c>
      <c r="I151" t="s">
        <v>2061</v>
      </c>
      <c r="J151" t="s">
        <v>2062</v>
      </c>
      <c r="K151" t="s">
        <v>2063</v>
      </c>
      <c r="L151" t="s">
        <v>8207</v>
      </c>
    </row>
    <row r="152" spans="1:12" x14ac:dyDescent="0.35">
      <c r="A152" t="str">
        <f t="shared" si="2"/>
        <v>Non-Recurring Income Taxes</v>
      </c>
      <c r="B152" t="s">
        <v>916</v>
      </c>
      <c r="C152" t="s">
        <v>2064</v>
      </c>
      <c r="D152" t="s">
        <v>2065</v>
      </c>
      <c r="E152" t="s">
        <v>2066</v>
      </c>
      <c r="F152" t="s">
        <v>2067</v>
      </c>
      <c r="G152" t="s">
        <v>2068</v>
      </c>
      <c r="H152" t="s">
        <v>2069</v>
      </c>
      <c r="I152" t="s">
        <v>2070</v>
      </c>
      <c r="J152" t="s">
        <v>2071</v>
      </c>
      <c r="K152" t="s">
        <v>2072</v>
      </c>
      <c r="L152" t="s">
        <v>8208</v>
      </c>
    </row>
    <row r="153" spans="1:12" x14ac:dyDescent="0.35">
      <c r="A153" t="str">
        <f t="shared" si="2"/>
        <v>Normalized Net Income</v>
      </c>
      <c r="B153" t="s">
        <v>55</v>
      </c>
      <c r="C153" t="s">
        <v>2073</v>
      </c>
      <c r="D153" t="s">
        <v>2074</v>
      </c>
      <c r="E153" t="s">
        <v>2075</v>
      </c>
      <c r="F153" t="s">
        <v>2076</v>
      </c>
      <c r="G153" t="s">
        <v>2077</v>
      </c>
      <c r="H153" t="s">
        <v>2078</v>
      </c>
      <c r="I153" t="s">
        <v>2079</v>
      </c>
      <c r="J153" t="s">
        <v>2080</v>
      </c>
      <c r="K153" t="s">
        <v>2081</v>
      </c>
      <c r="L153" t="s">
        <v>8209</v>
      </c>
    </row>
    <row r="154" spans="1:12" x14ac:dyDescent="0.35">
      <c r="A154" t="str">
        <f t="shared" si="2"/>
        <v>Diluted Net Income</v>
      </c>
      <c r="B154" t="s">
        <v>616</v>
      </c>
      <c r="C154" t="s">
        <v>2082</v>
      </c>
      <c r="D154" t="s">
        <v>2083</v>
      </c>
      <c r="E154" t="s">
        <v>2084</v>
      </c>
      <c r="F154" t="s">
        <v>2085</v>
      </c>
      <c r="G154" t="s">
        <v>2086</v>
      </c>
      <c r="H154" t="s">
        <v>2087</v>
      </c>
      <c r="I154" t="s">
        <v>2088</v>
      </c>
      <c r="J154" t="s">
        <v>2089</v>
      </c>
      <c r="K154" t="s">
        <v>2090</v>
      </c>
      <c r="L154" t="s">
        <v>8210</v>
      </c>
    </row>
    <row r="155" spans="1:12" x14ac:dyDescent="0.35">
      <c r="A155" t="str">
        <f t="shared" si="2"/>
        <v>Interest Capitalized</v>
      </c>
      <c r="B155" t="s">
        <v>56</v>
      </c>
      <c r="C155" t="s">
        <v>2091</v>
      </c>
      <c r="D155" t="s">
        <v>2092</v>
      </c>
      <c r="E155" t="s">
        <v>2093</v>
      </c>
      <c r="F155" t="s">
        <v>2094</v>
      </c>
      <c r="G155" t="s">
        <v>2095</v>
      </c>
      <c r="H155" t="s">
        <v>2096</v>
      </c>
      <c r="I155" t="s">
        <v>2097</v>
      </c>
      <c r="J155" t="s">
        <v>2098</v>
      </c>
      <c r="K155" t="s">
        <v>2099</v>
      </c>
      <c r="L155" t="s">
        <v>8211</v>
      </c>
    </row>
    <row r="156" spans="1:12" x14ac:dyDescent="0.35">
      <c r="A156" t="str">
        <f t="shared" si="2"/>
        <v>Interest On Long Term Debt</v>
      </c>
      <c r="B156" t="s">
        <v>558</v>
      </c>
      <c r="C156" t="s">
        <v>2100</v>
      </c>
      <c r="D156" t="s">
        <v>2101</v>
      </c>
      <c r="E156" t="s">
        <v>2102</v>
      </c>
      <c r="F156" t="s">
        <v>2103</v>
      </c>
      <c r="G156" t="s">
        <v>2104</v>
      </c>
      <c r="H156" t="s">
        <v>2105</v>
      </c>
      <c r="I156" t="s">
        <v>2106</v>
      </c>
      <c r="J156" t="s">
        <v>2107</v>
      </c>
      <c r="K156" t="s">
        <v>2108</v>
      </c>
      <c r="L156" t="s">
        <v>8212</v>
      </c>
    </row>
    <row r="157" spans="1:12" x14ac:dyDescent="0.35">
      <c r="A157" t="str">
        <f t="shared" si="2"/>
        <v>Interest Expenses On Lease Liability/Debt</v>
      </c>
      <c r="B157" t="s">
        <v>917</v>
      </c>
      <c r="C157" t="s">
        <v>2109</v>
      </c>
      <c r="D157" t="s">
        <v>2110</v>
      </c>
      <c r="E157" t="s">
        <v>2111</v>
      </c>
      <c r="F157" t="s">
        <v>2112</v>
      </c>
      <c r="G157" t="s">
        <v>2113</v>
      </c>
      <c r="H157" t="s">
        <v>2114</v>
      </c>
      <c r="I157" t="s">
        <v>2115</v>
      </c>
      <c r="J157" t="s">
        <v>2116</v>
      </c>
      <c r="K157" t="s">
        <v>2117</v>
      </c>
      <c r="L157" t="s">
        <v>8213</v>
      </c>
    </row>
    <row r="158" spans="1:12" x14ac:dyDescent="0.35">
      <c r="A158" t="str">
        <f t="shared" si="2"/>
        <v>Interest Expense (Incl. Cap. Interest)</v>
      </c>
      <c r="B158" t="s">
        <v>618</v>
      </c>
      <c r="C158" t="s">
        <v>2118</v>
      </c>
      <c r="D158" t="s">
        <v>2119</v>
      </c>
      <c r="E158" t="s">
        <v>2120</v>
      </c>
      <c r="F158" t="s">
        <v>2121</v>
      </c>
      <c r="G158" t="s">
        <v>2122</v>
      </c>
      <c r="H158" t="s">
        <v>2123</v>
      </c>
      <c r="I158" t="s">
        <v>2124</v>
      </c>
      <c r="J158" t="s">
        <v>2125</v>
      </c>
      <c r="K158" t="s">
        <v>2126</v>
      </c>
      <c r="L158" t="s">
        <v>8214</v>
      </c>
    </row>
    <row r="159" spans="1:12" x14ac:dyDescent="0.35">
      <c r="A159" t="str">
        <f t="shared" si="2"/>
        <v>Non-Cash Pension Expense</v>
      </c>
      <c r="B159" t="s">
        <v>568</v>
      </c>
      <c r="C159" t="s">
        <v>2127</v>
      </c>
      <c r="D159" t="s">
        <v>2128</v>
      </c>
      <c r="E159" t="s">
        <v>2129</v>
      </c>
      <c r="F159" t="s">
        <v>2130</v>
      </c>
      <c r="G159" t="s">
        <v>2131</v>
      </c>
      <c r="H159" t="s">
        <v>2132</v>
      </c>
      <c r="I159" t="s">
        <v>2133</v>
      </c>
      <c r="J159" t="s">
        <v>2134</v>
      </c>
      <c r="K159" t="s">
        <v>2135</v>
      </c>
      <c r="L159" t="s">
        <v>8215</v>
      </c>
    </row>
    <row r="160" spans="1:12" x14ac:dyDescent="0.35">
      <c r="A160" t="str">
        <f t="shared" si="2"/>
        <v>D&amp;A For EBITDA</v>
      </c>
      <c r="B160" t="s">
        <v>567</v>
      </c>
      <c r="C160" t="s">
        <v>2136</v>
      </c>
      <c r="D160" t="s">
        <v>2137</v>
      </c>
      <c r="E160" t="s">
        <v>2138</v>
      </c>
      <c r="F160" t="s">
        <v>2139</v>
      </c>
      <c r="G160" t="s">
        <v>2140</v>
      </c>
      <c r="H160" t="s">
        <v>2141</v>
      </c>
      <c r="I160" t="s">
        <v>2142</v>
      </c>
      <c r="J160" t="s">
        <v>2143</v>
      </c>
      <c r="K160" t="s">
        <v>2144</v>
      </c>
      <c r="L160" t="s">
        <v>8216</v>
      </c>
    </row>
    <row r="161" spans="1:12" x14ac:dyDescent="0.35">
      <c r="A161" t="str">
        <f t="shared" si="2"/>
        <v>Distributable Cash</v>
      </c>
      <c r="B161" t="s">
        <v>577</v>
      </c>
      <c r="C161" t="s">
        <v>2145</v>
      </c>
      <c r="D161" t="s">
        <v>2146</v>
      </c>
      <c r="E161" t="s">
        <v>2147</v>
      </c>
      <c r="F161" t="s">
        <v>2148</v>
      </c>
      <c r="G161" t="s">
        <v>2149</v>
      </c>
      <c r="H161" t="s">
        <v>2150</v>
      </c>
      <c r="I161" t="s">
        <v>2151</v>
      </c>
      <c r="J161" t="s">
        <v>2152</v>
      </c>
      <c r="K161" t="s">
        <v>2153</v>
      </c>
      <c r="L161" t="s">
        <v>8217</v>
      </c>
    </row>
    <row r="162" spans="1:12" x14ac:dyDescent="0.35">
      <c r="A162" t="str">
        <f t="shared" si="2"/>
        <v>Standardized Distributable Cash</v>
      </c>
      <c r="B162" t="s">
        <v>272</v>
      </c>
      <c r="C162" t="s">
        <v>2154</v>
      </c>
      <c r="D162" t="s">
        <v>2155</v>
      </c>
      <c r="E162" t="s">
        <v>2156</v>
      </c>
      <c r="F162" t="s">
        <v>2157</v>
      </c>
      <c r="G162" t="s">
        <v>2158</v>
      </c>
      <c r="H162" t="s">
        <v>2159</v>
      </c>
      <c r="I162" t="s">
        <v>2160</v>
      </c>
      <c r="J162" t="s">
        <v>2161</v>
      </c>
      <c r="K162" t="s">
        <v>2162</v>
      </c>
      <c r="L162" t="s">
        <v>8218</v>
      </c>
    </row>
    <row r="163" spans="1:12" x14ac:dyDescent="0.35">
      <c r="A163" t="str">
        <f t="shared" si="2"/>
        <v>Distributable Cash Shares (Basic)</v>
      </c>
      <c r="B163" t="s">
        <v>192</v>
      </c>
      <c r="C163" t="s">
        <v>2163</v>
      </c>
      <c r="D163" t="s">
        <v>2164</v>
      </c>
      <c r="E163" t="s">
        <v>2165</v>
      </c>
      <c r="F163" t="s">
        <v>2166</v>
      </c>
      <c r="G163" t="s">
        <v>2167</v>
      </c>
      <c r="H163" t="s">
        <v>2168</v>
      </c>
      <c r="I163" t="s">
        <v>2169</v>
      </c>
      <c r="J163" t="s">
        <v>2170</v>
      </c>
      <c r="K163" t="s">
        <v>2171</v>
      </c>
      <c r="L163" t="s">
        <v>8219</v>
      </c>
    </row>
    <row r="164" spans="1:12" x14ac:dyDescent="0.35">
      <c r="A164" t="str">
        <f t="shared" si="2"/>
        <v>Distributable Cash Shares (Diluted)</v>
      </c>
      <c r="B164" t="s">
        <v>193</v>
      </c>
      <c r="C164" t="s">
        <v>2172</v>
      </c>
      <c r="D164" t="s">
        <v>2173</v>
      </c>
      <c r="E164" t="s">
        <v>2174</v>
      </c>
      <c r="F164" t="s">
        <v>2175</v>
      </c>
      <c r="G164" t="s">
        <v>2176</v>
      </c>
      <c r="H164" t="s">
        <v>2177</v>
      </c>
      <c r="I164" t="s">
        <v>2178</v>
      </c>
      <c r="J164" t="s">
        <v>2179</v>
      </c>
      <c r="K164" t="s">
        <v>2180</v>
      </c>
      <c r="L164" t="s">
        <v>8174</v>
      </c>
    </row>
    <row r="165" spans="1:12" x14ac:dyDescent="0.35">
      <c r="A165" t="str">
        <f t="shared" si="2"/>
        <v>Annualized Distributions per Unit</v>
      </c>
      <c r="B165" t="s">
        <v>619</v>
      </c>
      <c r="C165" t="s">
        <v>2181</v>
      </c>
      <c r="D165" t="s">
        <v>2182</v>
      </c>
      <c r="E165" t="s">
        <v>2183</v>
      </c>
      <c r="F165" t="s">
        <v>2184</v>
      </c>
      <c r="G165" t="s">
        <v>2185</v>
      </c>
      <c r="H165" t="s">
        <v>2186</v>
      </c>
      <c r="I165" t="s">
        <v>2187</v>
      </c>
      <c r="J165" t="s">
        <v>2188</v>
      </c>
      <c r="K165" t="s">
        <v>2189</v>
      </c>
      <c r="L165" t="s">
        <v>8220</v>
      </c>
    </row>
    <row r="166" spans="1:12" x14ac:dyDescent="0.35">
      <c r="A166" t="str">
        <f t="shared" si="2"/>
        <v>Distributable Cash Payout Ratio (Income Trusts)</v>
      </c>
      <c r="B166" t="s">
        <v>620</v>
      </c>
      <c r="C166" t="s">
        <v>2190</v>
      </c>
      <c r="D166" t="s">
        <v>2191</v>
      </c>
      <c r="E166" t="s">
        <v>2192</v>
      </c>
      <c r="F166" t="s">
        <v>2193</v>
      </c>
      <c r="G166" t="s">
        <v>2194</v>
      </c>
      <c r="H166" t="s">
        <v>2195</v>
      </c>
      <c r="I166" t="s">
        <v>2196</v>
      </c>
      <c r="J166" t="s">
        <v>2197</v>
      </c>
      <c r="K166" t="s">
        <v>2198</v>
      </c>
      <c r="L166" t="s">
        <v>8221</v>
      </c>
    </row>
    <row r="167" spans="1:12" x14ac:dyDescent="0.35">
      <c r="A167" t="str">
        <f t="shared" si="2"/>
        <v>Common Stock Dividend Declared</v>
      </c>
      <c r="B167" t="s">
        <v>578</v>
      </c>
      <c r="C167" t="s">
        <v>2199</v>
      </c>
      <c r="D167" t="s">
        <v>2199</v>
      </c>
      <c r="E167" t="s">
        <v>2200</v>
      </c>
      <c r="F167" t="s">
        <v>2201</v>
      </c>
      <c r="G167" t="s">
        <v>2202</v>
      </c>
      <c r="H167" t="s">
        <v>2203</v>
      </c>
      <c r="I167" t="s">
        <v>2204</v>
      </c>
      <c r="J167" t="s">
        <v>2205</v>
      </c>
      <c r="K167" t="s">
        <v>2206</v>
      </c>
      <c r="L167" t="s">
        <v>8222</v>
      </c>
    </row>
    <row r="168" spans="1:12" x14ac:dyDescent="0.35">
      <c r="A168" t="str">
        <f t="shared" si="2"/>
        <v>Effective Tax Rate (%)</v>
      </c>
      <c r="B168" t="s">
        <v>621</v>
      </c>
      <c r="C168" t="s">
        <v>2207</v>
      </c>
      <c r="D168" t="s">
        <v>2208</v>
      </c>
      <c r="E168" t="s">
        <v>2209</v>
      </c>
      <c r="F168" t="s">
        <v>2210</v>
      </c>
      <c r="G168" t="s">
        <v>2211</v>
      </c>
      <c r="H168" t="s">
        <v>2212</v>
      </c>
      <c r="I168" t="s">
        <v>2213</v>
      </c>
      <c r="J168" t="s">
        <v>2214</v>
      </c>
      <c r="K168" t="s">
        <v>2215</v>
      </c>
      <c r="L168" t="s">
        <v>8223</v>
      </c>
    </row>
    <row r="169" spans="1:12" x14ac:dyDescent="0.35">
      <c r="A169" t="str">
        <f t="shared" si="2"/>
        <v>Payout Ratio (%)</v>
      </c>
      <c r="B169" t="s">
        <v>622</v>
      </c>
      <c r="C169" t="s">
        <v>2216</v>
      </c>
      <c r="D169" t="s">
        <v>2216</v>
      </c>
      <c r="E169" t="s">
        <v>2217</v>
      </c>
      <c r="F169" t="s">
        <v>2218</v>
      </c>
      <c r="G169" t="s">
        <v>2219</v>
      </c>
      <c r="H169" t="s">
        <v>2220</v>
      </c>
      <c r="I169" t="s">
        <v>2221</v>
      </c>
      <c r="J169" t="s">
        <v>2222</v>
      </c>
      <c r="K169" t="s">
        <v>2223</v>
      </c>
      <c r="L169" t="s">
        <v>8224</v>
      </c>
    </row>
    <row r="170" spans="1:12" x14ac:dyDescent="0.35">
      <c r="A170" t="str">
        <f t="shared" si="2"/>
        <v>Debt Issuance Costs</v>
      </c>
      <c r="B170" t="s">
        <v>239</v>
      </c>
      <c r="C170" t="s">
        <v>2224</v>
      </c>
      <c r="D170" t="s">
        <v>2225</v>
      </c>
      <c r="E170" t="s">
        <v>2226</v>
      </c>
      <c r="F170" t="s">
        <v>2227</v>
      </c>
      <c r="G170" t="s">
        <v>2228</v>
      </c>
      <c r="H170" t="s">
        <v>2229</v>
      </c>
      <c r="I170" t="s">
        <v>2230</v>
      </c>
      <c r="J170" t="s">
        <v>2231</v>
      </c>
      <c r="K170" t="s">
        <v>2232</v>
      </c>
      <c r="L170" t="s">
        <v>8225</v>
      </c>
    </row>
    <row r="171" spans="1:12" x14ac:dyDescent="0.35">
      <c r="A171" t="str">
        <f t="shared" si="2"/>
        <v>Filing Currency</v>
      </c>
      <c r="B171" t="s">
        <v>624</v>
      </c>
      <c r="C171" t="s">
        <v>2233</v>
      </c>
      <c r="D171" t="s">
        <v>2234</v>
      </c>
      <c r="E171" t="s">
        <v>2235</v>
      </c>
      <c r="F171" t="s">
        <v>2236</v>
      </c>
      <c r="G171" t="s">
        <v>2237</v>
      </c>
      <c r="H171" t="s">
        <v>2238</v>
      </c>
      <c r="I171" t="s">
        <v>2239</v>
      </c>
      <c r="J171" t="s">
        <v>2240</v>
      </c>
      <c r="K171" t="s">
        <v>2241</v>
      </c>
      <c r="L171" t="s">
        <v>8226</v>
      </c>
    </row>
    <row r="172" spans="1:12" x14ac:dyDescent="0.35">
      <c r="A172" t="str">
        <f t="shared" si="2"/>
        <v>Period Length in Months</v>
      </c>
      <c r="B172" t="s">
        <v>623</v>
      </c>
      <c r="C172" t="s">
        <v>2242</v>
      </c>
      <c r="D172" t="s">
        <v>2243</v>
      </c>
      <c r="E172" t="s">
        <v>2244</v>
      </c>
      <c r="F172" t="s">
        <v>2245</v>
      </c>
      <c r="G172" t="s">
        <v>2246</v>
      </c>
      <c r="H172" t="s">
        <v>2247</v>
      </c>
      <c r="I172" t="s">
        <v>2248</v>
      </c>
      <c r="J172" t="s">
        <v>2249</v>
      </c>
      <c r="K172" t="s">
        <v>2250</v>
      </c>
      <c r="L172" t="s">
        <v>8227</v>
      </c>
    </row>
    <row r="173" spans="1:12" x14ac:dyDescent="0.35">
      <c r="A173" t="str">
        <f t="shared" si="2"/>
        <v>Filing Date</v>
      </c>
      <c r="B173" t="s">
        <v>58</v>
      </c>
      <c r="C173" t="s">
        <v>2251</v>
      </c>
      <c r="D173" t="s">
        <v>2252</v>
      </c>
      <c r="E173" t="s">
        <v>2253</v>
      </c>
      <c r="F173" t="s">
        <v>2254</v>
      </c>
      <c r="G173" t="s">
        <v>2255</v>
      </c>
      <c r="H173" t="s">
        <v>2256</v>
      </c>
      <c r="I173" t="s">
        <v>2257</v>
      </c>
      <c r="J173" t="s">
        <v>2258</v>
      </c>
      <c r="K173" t="s">
        <v>2259</v>
      </c>
      <c r="L173" t="s">
        <v>8228</v>
      </c>
    </row>
    <row r="174" spans="1:12" x14ac:dyDescent="0.35">
      <c r="A174" t="str">
        <f t="shared" si="2"/>
        <v>Period Date</v>
      </c>
      <c r="B174" t="s">
        <v>236</v>
      </c>
      <c r="C174" t="s">
        <v>2260</v>
      </c>
      <c r="D174" t="s">
        <v>2261</v>
      </c>
      <c r="E174" t="s">
        <v>2262</v>
      </c>
      <c r="F174" t="s">
        <v>2263</v>
      </c>
      <c r="G174" t="s">
        <v>2264</v>
      </c>
      <c r="H174" t="s">
        <v>2265</v>
      </c>
      <c r="I174" t="s">
        <v>2266</v>
      </c>
      <c r="J174" t="s">
        <v>2267</v>
      </c>
      <c r="K174" t="s">
        <v>2268</v>
      </c>
      <c r="L174" t="s">
        <v>8229</v>
      </c>
    </row>
    <row r="175" spans="1:12" x14ac:dyDescent="0.35">
      <c r="A175" t="str">
        <f t="shared" si="2"/>
        <v>Restatement Type</v>
      </c>
      <c r="B175" t="s">
        <v>59</v>
      </c>
      <c r="C175" t="s">
        <v>2269</v>
      </c>
      <c r="D175" t="s">
        <v>2270</v>
      </c>
      <c r="E175" t="s">
        <v>2271</v>
      </c>
      <c r="F175" t="s">
        <v>2272</v>
      </c>
      <c r="G175" t="s">
        <v>2273</v>
      </c>
      <c r="H175" t="s">
        <v>2274</v>
      </c>
      <c r="I175" t="s">
        <v>2275</v>
      </c>
      <c r="J175" t="s">
        <v>2276</v>
      </c>
      <c r="K175" t="s">
        <v>2277</v>
      </c>
      <c r="L175" t="s">
        <v>8230</v>
      </c>
    </row>
    <row r="176" spans="1:12" x14ac:dyDescent="0.35">
      <c r="A176" t="str">
        <f t="shared" si="2"/>
        <v>Calculation Type</v>
      </c>
      <c r="B176" t="s">
        <v>559</v>
      </c>
      <c r="C176" t="s">
        <v>2278</v>
      </c>
      <c r="D176" t="s">
        <v>2279</v>
      </c>
      <c r="E176" t="s">
        <v>2280</v>
      </c>
      <c r="F176" t="s">
        <v>2281</v>
      </c>
      <c r="G176" t="s">
        <v>2282</v>
      </c>
      <c r="H176" t="s">
        <v>2283</v>
      </c>
      <c r="I176" t="s">
        <v>2284</v>
      </c>
      <c r="J176" t="s">
        <v>2285</v>
      </c>
      <c r="K176" t="s">
        <v>2286</v>
      </c>
      <c r="L176" t="s">
        <v>8231</v>
      </c>
    </row>
    <row r="177" spans="1:12" x14ac:dyDescent="0.35">
      <c r="A177" t="str">
        <f t="shared" si="2"/>
        <v>Financial Accounting Standard</v>
      </c>
      <c r="B177" t="s">
        <v>220</v>
      </c>
      <c r="C177" t="s">
        <v>2287</v>
      </c>
      <c r="D177" t="s">
        <v>2288</v>
      </c>
      <c r="E177" t="s">
        <v>2289</v>
      </c>
      <c r="F177" t="s">
        <v>2290</v>
      </c>
      <c r="G177" t="s">
        <v>2291</v>
      </c>
      <c r="H177" t="s">
        <v>2292</v>
      </c>
      <c r="I177" t="s">
        <v>2293</v>
      </c>
      <c r="J177" t="s">
        <v>2294</v>
      </c>
      <c r="K177" t="s">
        <v>2295</v>
      </c>
      <c r="L177" t="s">
        <v>8232</v>
      </c>
    </row>
    <row r="178" spans="1:12" x14ac:dyDescent="0.35">
      <c r="A178" t="str">
        <f t="shared" si="2"/>
        <v>Supplemental Operating Expense Items</v>
      </c>
      <c r="B178" t="s">
        <v>560</v>
      </c>
      <c r="C178" t="s">
        <v>2296</v>
      </c>
      <c r="D178" t="s">
        <v>2297</v>
      </c>
      <c r="E178" t="s">
        <v>2298</v>
      </c>
      <c r="F178" t="s">
        <v>2299</v>
      </c>
      <c r="G178" t="s">
        <v>2300</v>
      </c>
      <c r="H178" t="s">
        <v>2301</v>
      </c>
      <c r="I178" t="s">
        <v>2302</v>
      </c>
      <c r="J178" t="s">
        <v>2303</v>
      </c>
      <c r="K178" t="s">
        <v>2304</v>
      </c>
      <c r="L178" t="s">
        <v>8233</v>
      </c>
    </row>
    <row r="179" spans="1:12" x14ac:dyDescent="0.35">
      <c r="A179" t="str">
        <f t="shared" si="2"/>
        <v>Advertising</v>
      </c>
      <c r="B179" t="s">
        <v>561</v>
      </c>
      <c r="C179" t="s">
        <v>2305</v>
      </c>
      <c r="D179" t="s">
        <v>2306</v>
      </c>
      <c r="E179" t="s">
        <v>2307</v>
      </c>
      <c r="F179" t="s">
        <v>2308</v>
      </c>
      <c r="G179" t="s">
        <v>2309</v>
      </c>
      <c r="H179" t="s">
        <v>2310</v>
      </c>
      <c r="I179" t="s">
        <v>2311</v>
      </c>
      <c r="J179" t="s">
        <v>2312</v>
      </c>
      <c r="K179" t="s">
        <v>2313</v>
      </c>
      <c r="L179" t="s">
        <v>10805</v>
      </c>
    </row>
    <row r="180" spans="1:12" x14ac:dyDescent="0.35">
      <c r="A180" t="str">
        <f t="shared" si="2"/>
        <v>Marketing Expense</v>
      </c>
      <c r="B180" t="s">
        <v>562</v>
      </c>
      <c r="C180" t="s">
        <v>2314</v>
      </c>
      <c r="D180" t="s">
        <v>2315</v>
      </c>
      <c r="E180" t="s">
        <v>2316</v>
      </c>
      <c r="F180" t="s">
        <v>2317</v>
      </c>
      <c r="G180" t="s">
        <v>2318</v>
      </c>
      <c r="H180" t="s">
        <v>2319</v>
      </c>
      <c r="I180" t="s">
        <v>2320</v>
      </c>
      <c r="J180" t="s">
        <v>2321</v>
      </c>
      <c r="K180" t="s">
        <v>2322</v>
      </c>
      <c r="L180" t="s">
        <v>8234</v>
      </c>
    </row>
    <row r="181" spans="1:12" x14ac:dyDescent="0.35">
      <c r="A181" t="str">
        <f t="shared" si="2"/>
        <v>Selling And Marketing Expense</v>
      </c>
      <c r="B181" t="s">
        <v>563</v>
      </c>
      <c r="C181" t="s">
        <v>2323</v>
      </c>
      <c r="D181" t="s">
        <v>2324</v>
      </c>
      <c r="E181" t="s">
        <v>2325</v>
      </c>
      <c r="F181" t="s">
        <v>2326</v>
      </c>
      <c r="G181" t="s">
        <v>2327</v>
      </c>
      <c r="H181" t="s">
        <v>2328</v>
      </c>
      <c r="I181" t="s">
        <v>2329</v>
      </c>
      <c r="J181" t="s">
        <v>2330</v>
      </c>
      <c r="K181" t="s">
        <v>2331</v>
      </c>
      <c r="L181" t="s">
        <v>8235</v>
      </c>
    </row>
    <row r="182" spans="1:12" x14ac:dyDescent="0.35">
      <c r="A182" t="str">
        <f t="shared" si="2"/>
        <v>General and Administrative Expense</v>
      </c>
      <c r="B182" t="s">
        <v>564</v>
      </c>
      <c r="C182" t="s">
        <v>2332</v>
      </c>
      <c r="D182" t="s">
        <v>2333</v>
      </c>
      <c r="E182" t="s">
        <v>2334</v>
      </c>
      <c r="F182" t="s">
        <v>2335</v>
      </c>
      <c r="G182" t="s">
        <v>2336</v>
      </c>
      <c r="H182" t="s">
        <v>2337</v>
      </c>
      <c r="I182" t="s">
        <v>2338</v>
      </c>
      <c r="J182" t="s">
        <v>2339</v>
      </c>
      <c r="K182" t="s">
        <v>2340</v>
      </c>
      <c r="L182" t="s">
        <v>8236</v>
      </c>
    </row>
    <row r="183" spans="1:12" x14ac:dyDescent="0.35">
      <c r="A183" t="str">
        <f t="shared" si="2"/>
        <v>R&amp;D Expense (footnotes)</v>
      </c>
      <c r="B183" t="s">
        <v>625</v>
      </c>
      <c r="C183" t="s">
        <v>7979</v>
      </c>
      <c r="D183" t="s">
        <v>7980</v>
      </c>
      <c r="E183" t="s">
        <v>7981</v>
      </c>
      <c r="F183" t="s">
        <v>7982</v>
      </c>
      <c r="G183" t="s">
        <v>7983</v>
      </c>
      <c r="H183" t="s">
        <v>7984</v>
      </c>
      <c r="I183" t="s">
        <v>7985</v>
      </c>
      <c r="J183" t="s">
        <v>7986</v>
      </c>
      <c r="K183" t="s">
        <v>7987</v>
      </c>
      <c r="L183" t="s">
        <v>10806</v>
      </c>
    </row>
    <row r="184" spans="1:12" x14ac:dyDescent="0.35">
      <c r="A184" t="str">
        <f t="shared" si="2"/>
        <v>Net Rental Expense, Total</v>
      </c>
      <c r="B184" t="s">
        <v>853</v>
      </c>
      <c r="C184" t="s">
        <v>2341</v>
      </c>
      <c r="D184" t="s">
        <v>2342</v>
      </c>
      <c r="E184" t="s">
        <v>2343</v>
      </c>
      <c r="F184" t="s">
        <v>2344</v>
      </c>
      <c r="G184" t="s">
        <v>2345</v>
      </c>
      <c r="H184" t="s">
        <v>2346</v>
      </c>
      <c r="I184" t="s">
        <v>2347</v>
      </c>
      <c r="J184" t="s">
        <v>2348</v>
      </c>
      <c r="K184" t="s">
        <v>2349</v>
      </c>
      <c r="L184" t="s">
        <v>8237</v>
      </c>
    </row>
    <row r="185" spans="1:12" x14ac:dyDescent="0.35">
      <c r="A185" t="str">
        <f t="shared" si="2"/>
        <v>Net Rental Expense</v>
      </c>
      <c r="B185" t="s">
        <v>854</v>
      </c>
      <c r="C185" t="s">
        <v>2350</v>
      </c>
      <c r="D185" t="s">
        <v>2351</v>
      </c>
      <c r="E185" t="s">
        <v>2352</v>
      </c>
      <c r="F185" t="s">
        <v>2353</v>
      </c>
      <c r="G185" t="s">
        <v>2354</v>
      </c>
      <c r="H185" t="s">
        <v>2355</v>
      </c>
      <c r="I185" t="s">
        <v>2356</v>
      </c>
      <c r="J185" t="s">
        <v>2357</v>
      </c>
      <c r="K185" t="s">
        <v>2358</v>
      </c>
      <c r="L185" t="s">
        <v>8238</v>
      </c>
    </row>
    <row r="186" spans="1:12" x14ac:dyDescent="0.35">
      <c r="A186" t="str">
        <f t="shared" si="2"/>
        <v>Net Rental Expense (Supple)</v>
      </c>
      <c r="B186" t="s">
        <v>855</v>
      </c>
      <c r="C186" t="s">
        <v>2359</v>
      </c>
      <c r="D186" t="s">
        <v>2360</v>
      </c>
      <c r="E186" t="s">
        <v>2361</v>
      </c>
      <c r="F186" t="s">
        <v>2362</v>
      </c>
      <c r="G186" t="s">
        <v>2363</v>
      </c>
      <c r="H186" t="s">
        <v>2364</v>
      </c>
      <c r="I186" t="s">
        <v>2365</v>
      </c>
      <c r="J186" t="s">
        <v>2366</v>
      </c>
      <c r="K186" t="s">
        <v>2367</v>
      </c>
      <c r="L186" t="s">
        <v>8239</v>
      </c>
    </row>
    <row r="187" spans="1:12" x14ac:dyDescent="0.35">
      <c r="A187" t="str">
        <f t="shared" si="2"/>
        <v>Contingent Rental Expense</v>
      </c>
      <c r="B187" t="s">
        <v>271</v>
      </c>
      <c r="C187" t="s">
        <v>2368</v>
      </c>
      <c r="D187" t="s">
        <v>2369</v>
      </c>
      <c r="E187" t="s">
        <v>2370</v>
      </c>
      <c r="F187" t="s">
        <v>2371</v>
      </c>
      <c r="G187" t="s">
        <v>2372</v>
      </c>
      <c r="H187" t="s">
        <v>2373</v>
      </c>
      <c r="I187" t="s">
        <v>2374</v>
      </c>
      <c r="J187" t="s">
        <v>2375</v>
      </c>
      <c r="K187" t="s">
        <v>2376</v>
      </c>
      <c r="L187" t="s">
        <v>8240</v>
      </c>
    </row>
    <row r="188" spans="1:12" x14ac:dyDescent="0.35">
      <c r="A188" t="str">
        <f t="shared" si="2"/>
        <v>Minimum Rental Expense</v>
      </c>
      <c r="B188" t="s">
        <v>129</v>
      </c>
      <c r="C188" t="s">
        <v>2377</v>
      </c>
      <c r="D188" t="s">
        <v>2378</v>
      </c>
      <c r="E188" t="s">
        <v>2379</v>
      </c>
      <c r="F188" t="s">
        <v>2380</v>
      </c>
      <c r="G188" t="s">
        <v>2381</v>
      </c>
      <c r="H188" t="s">
        <v>2382</v>
      </c>
      <c r="I188" t="s">
        <v>2383</v>
      </c>
      <c r="J188" t="s">
        <v>2384</v>
      </c>
      <c r="K188" t="s">
        <v>2385</v>
      </c>
      <c r="L188" t="s">
        <v>8241</v>
      </c>
    </row>
    <row r="189" spans="1:12" x14ac:dyDescent="0.35">
      <c r="A189" t="str">
        <f t="shared" si="2"/>
        <v>Other Rental Expense</v>
      </c>
      <c r="B189" t="s">
        <v>128</v>
      </c>
      <c r="C189" t="s">
        <v>2386</v>
      </c>
      <c r="D189" t="s">
        <v>2387</v>
      </c>
      <c r="E189" t="s">
        <v>2388</v>
      </c>
      <c r="F189" t="s">
        <v>2389</v>
      </c>
      <c r="G189" t="s">
        <v>2390</v>
      </c>
      <c r="H189" t="s">
        <v>2391</v>
      </c>
      <c r="I189" t="s">
        <v>2392</v>
      </c>
      <c r="J189" t="s">
        <v>2393</v>
      </c>
      <c r="K189" t="s">
        <v>2394</v>
      </c>
      <c r="L189" t="s">
        <v>8242</v>
      </c>
    </row>
    <row r="190" spans="1:12" x14ac:dyDescent="0.35">
      <c r="A190" t="str">
        <f t="shared" si="2"/>
        <v>Aircraft Rental Expense</v>
      </c>
      <c r="B190" t="s">
        <v>172</v>
      </c>
      <c r="C190" t="s">
        <v>2395</v>
      </c>
      <c r="D190" t="s">
        <v>2396</v>
      </c>
      <c r="E190" t="s">
        <v>2397</v>
      </c>
      <c r="F190" t="s">
        <v>2398</v>
      </c>
      <c r="G190" t="s">
        <v>2399</v>
      </c>
      <c r="H190" t="s">
        <v>2400</v>
      </c>
      <c r="I190" t="s">
        <v>2401</v>
      </c>
      <c r="J190" t="s">
        <v>2402</v>
      </c>
      <c r="K190" t="s">
        <v>2403</v>
      </c>
      <c r="L190" t="s">
        <v>8243</v>
      </c>
    </row>
    <row r="191" spans="1:12" x14ac:dyDescent="0.35">
      <c r="A191" t="str">
        <f t="shared" ref="A191:A253" si="3">INDEX($B191:$CW191,,$A$5)</f>
        <v>Depreciation of Rental Assets</v>
      </c>
      <c r="B191" t="s">
        <v>130</v>
      </c>
      <c r="C191" t="s">
        <v>2404</v>
      </c>
      <c r="D191" t="s">
        <v>2405</v>
      </c>
      <c r="E191" t="s">
        <v>2406</v>
      </c>
      <c r="F191" t="s">
        <v>2407</v>
      </c>
      <c r="G191" t="s">
        <v>2408</v>
      </c>
      <c r="H191" t="s">
        <v>2409</v>
      </c>
      <c r="I191" t="s">
        <v>2410</v>
      </c>
      <c r="J191" t="s">
        <v>2411</v>
      </c>
      <c r="K191" t="s">
        <v>2412</v>
      </c>
      <c r="L191" t="s">
        <v>8244</v>
      </c>
    </row>
    <row r="192" spans="1:12" x14ac:dyDescent="0.35">
      <c r="A192" t="str">
        <f t="shared" si="3"/>
        <v>Exploration/Drilling Exp.</v>
      </c>
      <c r="B192" t="s">
        <v>237</v>
      </c>
      <c r="C192" t="s">
        <v>1307</v>
      </c>
      <c r="D192" t="s">
        <v>1308</v>
      </c>
      <c r="E192" t="s">
        <v>2413</v>
      </c>
      <c r="F192" t="s">
        <v>2414</v>
      </c>
      <c r="G192" t="s">
        <v>2415</v>
      </c>
      <c r="H192" t="s">
        <v>1312</v>
      </c>
      <c r="I192" t="s">
        <v>2416</v>
      </c>
      <c r="J192" t="s">
        <v>2417</v>
      </c>
      <c r="K192" t="s">
        <v>1315</v>
      </c>
      <c r="L192" t="s">
        <v>8245</v>
      </c>
    </row>
    <row r="193" spans="1:12" x14ac:dyDescent="0.35">
      <c r="A193" t="str">
        <f t="shared" si="3"/>
        <v>Maintenance &amp; Repair Expenses</v>
      </c>
      <c r="B193" t="s">
        <v>57</v>
      </c>
      <c r="C193" t="s">
        <v>2418</v>
      </c>
      <c r="D193" t="s">
        <v>2419</v>
      </c>
      <c r="E193" t="s">
        <v>2420</v>
      </c>
      <c r="F193" t="s">
        <v>2421</v>
      </c>
      <c r="G193" t="s">
        <v>2422</v>
      </c>
      <c r="H193" t="s">
        <v>2423</v>
      </c>
      <c r="I193" t="s">
        <v>2424</v>
      </c>
      <c r="J193" t="s">
        <v>2425</v>
      </c>
      <c r="K193" t="s">
        <v>2426</v>
      </c>
      <c r="L193" t="s">
        <v>8246</v>
      </c>
    </row>
    <row r="194" spans="1:12" x14ac:dyDescent="0.35">
      <c r="A194" t="str">
        <f t="shared" si="3"/>
        <v>Imputed Oper. Lease Interest Exp</v>
      </c>
      <c r="B194" t="s">
        <v>565</v>
      </c>
      <c r="C194" t="s">
        <v>2427</v>
      </c>
      <c r="D194" t="s">
        <v>2428</v>
      </c>
      <c r="E194" t="s">
        <v>2429</v>
      </c>
      <c r="F194" t="s">
        <v>2430</v>
      </c>
      <c r="G194" t="s">
        <v>2431</v>
      </c>
      <c r="H194" t="s">
        <v>2432</v>
      </c>
      <c r="I194" t="s">
        <v>2433</v>
      </c>
      <c r="J194" t="s">
        <v>2434</v>
      </c>
      <c r="K194" t="s">
        <v>2435</v>
      </c>
      <c r="L194" t="s">
        <v>8247</v>
      </c>
    </row>
    <row r="195" spans="1:12" x14ac:dyDescent="0.35">
      <c r="A195" t="str">
        <f t="shared" si="3"/>
        <v>Imputed Oper. Lease Depreciation</v>
      </c>
      <c r="B195" t="s">
        <v>566</v>
      </c>
      <c r="C195" t="s">
        <v>2436</v>
      </c>
      <c r="D195" t="s">
        <v>2437</v>
      </c>
      <c r="E195" t="s">
        <v>2438</v>
      </c>
      <c r="F195" t="s">
        <v>2439</v>
      </c>
      <c r="G195" t="s">
        <v>2440</v>
      </c>
      <c r="H195" t="s">
        <v>2441</v>
      </c>
      <c r="I195" t="s">
        <v>2442</v>
      </c>
      <c r="J195" t="s">
        <v>2443</v>
      </c>
      <c r="K195" t="s">
        <v>2444</v>
      </c>
      <c r="L195" t="s">
        <v>8248</v>
      </c>
    </row>
    <row r="196" spans="1:12" x14ac:dyDescent="0.35">
      <c r="A196" t="str">
        <f t="shared" si="3"/>
        <v>Restructuring Charges (Supple)</v>
      </c>
      <c r="B196" t="s">
        <v>251</v>
      </c>
      <c r="C196" t="s">
        <v>2445</v>
      </c>
      <c r="D196" t="s">
        <v>2446</v>
      </c>
      <c r="E196" t="s">
        <v>2447</v>
      </c>
      <c r="F196" t="s">
        <v>2448</v>
      </c>
      <c r="G196" t="s">
        <v>2449</v>
      </c>
      <c r="H196" t="s">
        <v>2450</v>
      </c>
      <c r="I196" t="s">
        <v>2451</v>
      </c>
      <c r="J196" t="s">
        <v>2452</v>
      </c>
      <c r="K196" t="s">
        <v>2453</v>
      </c>
      <c r="L196" t="s">
        <v>8249</v>
      </c>
    </row>
    <row r="197" spans="1:12" x14ac:dyDescent="0.35">
      <c r="A197" t="str">
        <f t="shared" si="3"/>
        <v>Merger Expense (Supple)</v>
      </c>
      <c r="B197" t="s">
        <v>252</v>
      </c>
      <c r="C197" t="s">
        <v>8901</v>
      </c>
      <c r="D197" t="s">
        <v>8902</v>
      </c>
      <c r="E197" t="s">
        <v>8903</v>
      </c>
      <c r="F197" t="s">
        <v>8904</v>
      </c>
      <c r="G197" t="s">
        <v>8905</v>
      </c>
      <c r="H197" t="s">
        <v>8906</v>
      </c>
      <c r="I197" t="s">
        <v>8907</v>
      </c>
      <c r="J197" t="s">
        <v>8908</v>
      </c>
      <c r="K197" t="s">
        <v>8909</v>
      </c>
      <c r="L197" t="s">
        <v>8910</v>
      </c>
    </row>
    <row r="198" spans="1:12" x14ac:dyDescent="0.35">
      <c r="A198" t="str">
        <f t="shared" si="3"/>
        <v>Impairment of Goodwill, Total (Supple)</v>
      </c>
      <c r="B198" t="s">
        <v>253</v>
      </c>
      <c r="C198" t="s">
        <v>8911</v>
      </c>
      <c r="D198" t="s">
        <v>8912</v>
      </c>
      <c r="E198" t="s">
        <v>8913</v>
      </c>
      <c r="F198" t="s">
        <v>8914</v>
      </c>
      <c r="G198" t="s">
        <v>8915</v>
      </c>
      <c r="H198" t="s">
        <v>8916</v>
      </c>
      <c r="I198" t="s">
        <v>8917</v>
      </c>
      <c r="J198" t="s">
        <v>8918</v>
      </c>
      <c r="K198" t="s">
        <v>8919</v>
      </c>
      <c r="L198" t="s">
        <v>10919</v>
      </c>
    </row>
    <row r="199" spans="1:12" x14ac:dyDescent="0.35">
      <c r="A199" t="str">
        <f t="shared" si="3"/>
        <v>Assets Writedown, Total (Supple)</v>
      </c>
      <c r="B199" t="s">
        <v>254</v>
      </c>
      <c r="C199" t="s">
        <v>7916</v>
      </c>
      <c r="D199" t="s">
        <v>7917</v>
      </c>
      <c r="E199" t="s">
        <v>7918</v>
      </c>
      <c r="F199" t="s">
        <v>7919</v>
      </c>
      <c r="G199" t="s">
        <v>7920</v>
      </c>
      <c r="H199" t="s">
        <v>7921</v>
      </c>
      <c r="I199" t="s">
        <v>7922</v>
      </c>
      <c r="J199" t="s">
        <v>7923</v>
      </c>
      <c r="K199" t="s">
        <v>7924</v>
      </c>
      <c r="L199" t="s">
        <v>10878</v>
      </c>
    </row>
    <row r="200" spans="1:12" x14ac:dyDescent="0.35">
      <c r="A200" t="str">
        <f t="shared" si="3"/>
        <v>Gain on Bargain Acquisition</v>
      </c>
      <c r="B200" t="s">
        <v>937</v>
      </c>
      <c r="C200" t="s">
        <v>2454</v>
      </c>
      <c r="D200" t="s">
        <v>2455</v>
      </c>
      <c r="E200" t="s">
        <v>2456</v>
      </c>
      <c r="F200" t="s">
        <v>2457</v>
      </c>
      <c r="G200" t="s">
        <v>2458</v>
      </c>
      <c r="H200" t="s">
        <v>2459</v>
      </c>
      <c r="I200" t="s">
        <v>2460</v>
      </c>
      <c r="J200" t="s">
        <v>2461</v>
      </c>
      <c r="K200" t="s">
        <v>2462</v>
      </c>
      <c r="L200" t="s">
        <v>8250</v>
      </c>
    </row>
    <row r="201" spans="1:12" x14ac:dyDescent="0.35">
      <c r="A201" t="str">
        <f t="shared" si="3"/>
        <v>Gain on Bargain Acquisition - Supple</v>
      </c>
      <c r="B201" t="s">
        <v>997</v>
      </c>
      <c r="C201" t="s">
        <v>7907</v>
      </c>
      <c r="D201" t="s">
        <v>7908</v>
      </c>
      <c r="E201" t="s">
        <v>7909</v>
      </c>
      <c r="F201" t="s">
        <v>7910</v>
      </c>
      <c r="G201" t="s">
        <v>7911</v>
      </c>
      <c r="H201" t="s">
        <v>7912</v>
      </c>
      <c r="I201" t="s">
        <v>7913</v>
      </c>
      <c r="J201" t="s">
        <v>7914</v>
      </c>
      <c r="K201" t="s">
        <v>7915</v>
      </c>
      <c r="L201" t="s">
        <v>10880</v>
      </c>
    </row>
    <row r="202" spans="1:12" x14ac:dyDescent="0.35">
      <c r="A202" t="str">
        <f t="shared" si="3"/>
        <v>In Process R &amp; D Expenses (Supple)</v>
      </c>
      <c r="B202" t="s">
        <v>255</v>
      </c>
      <c r="C202" t="s">
        <v>7898</v>
      </c>
      <c r="D202" t="s">
        <v>7899</v>
      </c>
      <c r="E202" t="s">
        <v>7900</v>
      </c>
      <c r="F202" t="s">
        <v>7901</v>
      </c>
      <c r="G202" t="s">
        <v>7902</v>
      </c>
      <c r="H202" t="s">
        <v>7903</v>
      </c>
      <c r="I202" t="s">
        <v>7904</v>
      </c>
      <c r="J202" t="s">
        <v>7905</v>
      </c>
      <c r="K202" t="s">
        <v>7906</v>
      </c>
      <c r="L202" t="s">
        <v>10881</v>
      </c>
    </row>
    <row r="203" spans="1:12" x14ac:dyDescent="0.35">
      <c r="A203" t="str">
        <f t="shared" si="3"/>
        <v>Insurance Settlement (Supple)</v>
      </c>
      <c r="B203" t="s">
        <v>256</v>
      </c>
      <c r="C203" t="s">
        <v>7880</v>
      </c>
      <c r="D203" t="s">
        <v>7881</v>
      </c>
      <c r="E203" t="s">
        <v>7882</v>
      </c>
      <c r="F203" t="s">
        <v>7883</v>
      </c>
      <c r="G203" t="s">
        <v>7884</v>
      </c>
      <c r="H203" t="s">
        <v>7885</v>
      </c>
      <c r="I203" t="s">
        <v>7886</v>
      </c>
      <c r="J203" t="s">
        <v>7887</v>
      </c>
      <c r="K203" t="s">
        <v>7888</v>
      </c>
      <c r="L203" t="s">
        <v>10882</v>
      </c>
    </row>
    <row r="204" spans="1:12" x14ac:dyDescent="0.35">
      <c r="A204" t="str">
        <f t="shared" si="3"/>
        <v>Legal Settlement (Supple)</v>
      </c>
      <c r="B204" t="s">
        <v>257</v>
      </c>
      <c r="C204" t="s">
        <v>7889</v>
      </c>
      <c r="D204" t="s">
        <v>7890</v>
      </c>
      <c r="E204" t="s">
        <v>7891</v>
      </c>
      <c r="F204" t="s">
        <v>7892</v>
      </c>
      <c r="G204" t="s">
        <v>7893</v>
      </c>
      <c r="H204" t="s">
        <v>7894</v>
      </c>
      <c r="I204" t="s">
        <v>7895</v>
      </c>
      <c r="J204" t="s">
        <v>7896</v>
      </c>
      <c r="K204" t="s">
        <v>7897</v>
      </c>
      <c r="L204" t="s">
        <v>10883</v>
      </c>
    </row>
    <row r="205" spans="1:12" x14ac:dyDescent="0.35">
      <c r="A205" t="str">
        <f t="shared" si="3"/>
        <v>Other Unusual Items (Supple)</v>
      </c>
      <c r="B205" t="s">
        <v>258</v>
      </c>
      <c r="C205" t="s">
        <v>2463</v>
      </c>
      <c r="D205" t="s">
        <v>2464</v>
      </c>
      <c r="E205" t="s">
        <v>2465</v>
      </c>
      <c r="F205" t="s">
        <v>2466</v>
      </c>
      <c r="G205" t="s">
        <v>2467</v>
      </c>
      <c r="H205" t="s">
        <v>2468</v>
      </c>
      <c r="I205" t="s">
        <v>2469</v>
      </c>
      <c r="J205" t="s">
        <v>2470</v>
      </c>
      <c r="K205" t="s">
        <v>2471</v>
      </c>
      <c r="L205" t="s">
        <v>8251</v>
      </c>
    </row>
    <row r="206" spans="1:12" x14ac:dyDescent="0.35">
      <c r="A206" t="str">
        <f t="shared" si="3"/>
        <v>Unusual Items, Total (Supple)</v>
      </c>
      <c r="B206" t="s">
        <v>259</v>
      </c>
      <c r="C206" t="s">
        <v>2472</v>
      </c>
      <c r="D206" t="s">
        <v>2473</v>
      </c>
      <c r="E206" t="s">
        <v>2474</v>
      </c>
      <c r="F206" t="s">
        <v>2475</v>
      </c>
      <c r="G206" t="s">
        <v>2476</v>
      </c>
      <c r="H206" t="s">
        <v>2477</v>
      </c>
      <c r="I206" t="s">
        <v>2478</v>
      </c>
      <c r="J206" t="s">
        <v>2479</v>
      </c>
      <c r="K206" t="s">
        <v>2480</v>
      </c>
      <c r="L206" t="s">
        <v>8252</v>
      </c>
    </row>
    <row r="207" spans="1:12" x14ac:dyDescent="0.35">
      <c r="A207" t="str">
        <f t="shared" si="3"/>
        <v>Amortization of Negative Goodwill</v>
      </c>
      <c r="B207" t="s">
        <v>856</v>
      </c>
      <c r="C207" t="s">
        <v>2481</v>
      </c>
      <c r="D207" t="s">
        <v>2482</v>
      </c>
      <c r="E207" t="s">
        <v>2483</v>
      </c>
      <c r="F207" t="s">
        <v>2484</v>
      </c>
      <c r="G207" t="s">
        <v>2485</v>
      </c>
      <c r="H207" t="s">
        <v>2486</v>
      </c>
      <c r="I207" t="s">
        <v>2487</v>
      </c>
      <c r="J207" t="s">
        <v>2488</v>
      </c>
      <c r="K207" t="s">
        <v>2489</v>
      </c>
      <c r="L207" t="s">
        <v>8253</v>
      </c>
    </row>
    <row r="208" spans="1:12" x14ac:dyDescent="0.35">
      <c r="A208" t="str">
        <f t="shared" si="3"/>
        <v>Amortization of Negative Goodwill - After Tax</v>
      </c>
      <c r="B208" t="s">
        <v>86</v>
      </c>
      <c r="C208" t="s">
        <v>2490</v>
      </c>
      <c r="D208" t="s">
        <v>2491</v>
      </c>
      <c r="E208" t="s">
        <v>2492</v>
      </c>
      <c r="F208" t="s">
        <v>2493</v>
      </c>
      <c r="G208" t="s">
        <v>2494</v>
      </c>
      <c r="H208" t="s">
        <v>2495</v>
      </c>
      <c r="I208" t="s">
        <v>2496</v>
      </c>
      <c r="J208" t="s">
        <v>2497</v>
      </c>
      <c r="K208" t="s">
        <v>2498</v>
      </c>
      <c r="L208" t="s">
        <v>8254</v>
      </c>
    </row>
    <row r="209" spans="1:12" x14ac:dyDescent="0.35">
      <c r="A209" t="str">
        <f t="shared" si="3"/>
        <v>Stock-Based Comp., COGS</v>
      </c>
      <c r="B209" t="s">
        <v>569</v>
      </c>
      <c r="C209" t="s">
        <v>2499</v>
      </c>
      <c r="D209" t="s">
        <v>2500</v>
      </c>
      <c r="E209" t="s">
        <v>2501</v>
      </c>
      <c r="F209" t="s">
        <v>2502</v>
      </c>
      <c r="G209" t="s">
        <v>2503</v>
      </c>
      <c r="H209" t="s">
        <v>2504</v>
      </c>
      <c r="I209" t="s">
        <v>2505</v>
      </c>
      <c r="J209" t="s">
        <v>2506</v>
      </c>
      <c r="K209" t="s">
        <v>2507</v>
      </c>
      <c r="L209" t="s">
        <v>8255</v>
      </c>
    </row>
    <row r="210" spans="1:12" x14ac:dyDescent="0.35">
      <c r="A210" t="str">
        <f t="shared" si="3"/>
        <v>Stock-Based Comp., R&amp;D Exp</v>
      </c>
      <c r="B210" t="s">
        <v>570</v>
      </c>
      <c r="C210" t="s">
        <v>2508</v>
      </c>
      <c r="D210" t="s">
        <v>2509</v>
      </c>
      <c r="E210" t="s">
        <v>2510</v>
      </c>
      <c r="F210" t="s">
        <v>2511</v>
      </c>
      <c r="G210" t="s">
        <v>2512</v>
      </c>
      <c r="H210" t="s">
        <v>2513</v>
      </c>
      <c r="I210" t="s">
        <v>2514</v>
      </c>
      <c r="J210" t="s">
        <v>2515</v>
      </c>
      <c r="K210" t="s">
        <v>2516</v>
      </c>
      <c r="L210" t="s">
        <v>8256</v>
      </c>
    </row>
    <row r="211" spans="1:12" x14ac:dyDescent="0.35">
      <c r="A211" t="str">
        <f t="shared" si="3"/>
        <v>Stock-Based Comp., S&amp;M Exp</v>
      </c>
      <c r="B211" t="s">
        <v>571</v>
      </c>
      <c r="C211" t="s">
        <v>2517</v>
      </c>
      <c r="D211" t="s">
        <v>2518</v>
      </c>
      <c r="E211" t="s">
        <v>2519</v>
      </c>
      <c r="F211" t="s">
        <v>2520</v>
      </c>
      <c r="G211" t="s">
        <v>2521</v>
      </c>
      <c r="H211" t="s">
        <v>2522</v>
      </c>
      <c r="I211" t="s">
        <v>2523</v>
      </c>
      <c r="J211" t="s">
        <v>2524</v>
      </c>
      <c r="K211" t="s">
        <v>2525</v>
      </c>
      <c r="L211" t="s">
        <v>8257</v>
      </c>
    </row>
    <row r="212" spans="1:12" x14ac:dyDescent="0.35">
      <c r="A212" t="str">
        <f t="shared" si="3"/>
        <v>Stock-Based Comp., G&amp;A Exp</v>
      </c>
      <c r="B212" t="s">
        <v>572</v>
      </c>
      <c r="C212" t="s">
        <v>2526</v>
      </c>
      <c r="D212" t="s">
        <v>2527</v>
      </c>
      <c r="E212" t="s">
        <v>2528</v>
      </c>
      <c r="F212" t="s">
        <v>2529</v>
      </c>
      <c r="G212" t="s">
        <v>2530</v>
      </c>
      <c r="H212" t="s">
        <v>2531</v>
      </c>
      <c r="I212" t="s">
        <v>2532</v>
      </c>
      <c r="J212" t="s">
        <v>2533</v>
      </c>
      <c r="K212" t="s">
        <v>2534</v>
      </c>
      <c r="L212" t="s">
        <v>8258</v>
      </c>
    </row>
    <row r="213" spans="1:12" x14ac:dyDescent="0.35">
      <c r="A213" t="str">
        <f t="shared" si="3"/>
        <v>Stock-Based Comp., SG&amp;A Exp</v>
      </c>
      <c r="B213" t="s">
        <v>573</v>
      </c>
      <c r="C213" t="s">
        <v>2535</v>
      </c>
      <c r="D213" t="s">
        <v>2536</v>
      </c>
      <c r="E213" t="s">
        <v>2537</v>
      </c>
      <c r="F213" t="s">
        <v>2538</v>
      </c>
      <c r="G213" t="s">
        <v>2539</v>
      </c>
      <c r="H213" t="s">
        <v>2540</v>
      </c>
      <c r="I213" t="s">
        <v>2541</v>
      </c>
      <c r="J213" t="s">
        <v>2542</v>
      </c>
      <c r="K213" t="s">
        <v>2543</v>
      </c>
      <c r="L213" t="s">
        <v>8259</v>
      </c>
    </row>
    <row r="214" spans="1:12" x14ac:dyDescent="0.35">
      <c r="A214" t="str">
        <f t="shared" si="3"/>
        <v>Stock-Based Comp. Exploration/Drilling Exp</v>
      </c>
      <c r="B214" t="s">
        <v>238</v>
      </c>
      <c r="C214" t="s">
        <v>7925</v>
      </c>
      <c r="D214" t="s">
        <v>7926</v>
      </c>
      <c r="E214" t="s">
        <v>7927</v>
      </c>
      <c r="F214" t="s">
        <v>7928</v>
      </c>
      <c r="G214" t="s">
        <v>7929</v>
      </c>
      <c r="H214" t="s">
        <v>7930</v>
      </c>
      <c r="I214" t="s">
        <v>7931</v>
      </c>
      <c r="J214" t="s">
        <v>7932</v>
      </c>
      <c r="K214" t="s">
        <v>7933</v>
      </c>
      <c r="L214" t="s">
        <v>10884</v>
      </c>
    </row>
    <row r="215" spans="1:12" x14ac:dyDescent="0.35">
      <c r="A215" t="str">
        <f t="shared" si="3"/>
        <v>Stock-Based Comp., Unallocated</v>
      </c>
      <c r="B215" t="s">
        <v>574</v>
      </c>
      <c r="C215" t="s">
        <v>2544</v>
      </c>
      <c r="D215" t="s">
        <v>2545</v>
      </c>
      <c r="E215" t="s">
        <v>2546</v>
      </c>
      <c r="F215" t="s">
        <v>2547</v>
      </c>
      <c r="G215" t="s">
        <v>2548</v>
      </c>
      <c r="H215" t="s">
        <v>2549</v>
      </c>
      <c r="I215" t="s">
        <v>2550</v>
      </c>
      <c r="J215" t="s">
        <v>2551</v>
      </c>
      <c r="K215" t="s">
        <v>2552</v>
      </c>
      <c r="L215" t="s">
        <v>8260</v>
      </c>
    </row>
    <row r="216" spans="1:12" x14ac:dyDescent="0.35">
      <c r="A216" t="str">
        <f t="shared" si="3"/>
        <v>Stock-Based Comp., After-Tax</v>
      </c>
      <c r="B216" t="s">
        <v>575</v>
      </c>
      <c r="C216" t="s">
        <v>2553</v>
      </c>
      <c r="D216" t="s">
        <v>2554</v>
      </c>
      <c r="E216" t="s">
        <v>2555</v>
      </c>
      <c r="F216" t="s">
        <v>2556</v>
      </c>
      <c r="G216" t="s">
        <v>2557</v>
      </c>
      <c r="H216" t="s">
        <v>2558</v>
      </c>
      <c r="I216" t="s">
        <v>2559</v>
      </c>
      <c r="J216" t="s">
        <v>2560</v>
      </c>
      <c r="K216" t="s">
        <v>2561</v>
      </c>
      <c r="L216" t="s">
        <v>8261</v>
      </c>
    </row>
    <row r="217" spans="1:12" x14ac:dyDescent="0.35">
      <c r="A217" t="str">
        <f t="shared" si="3"/>
        <v>Stock-Based Comp., Total</v>
      </c>
      <c r="B217" t="s">
        <v>576</v>
      </c>
      <c r="C217" t="s">
        <v>2562</v>
      </c>
      <c r="D217" t="s">
        <v>2563</v>
      </c>
      <c r="E217" t="s">
        <v>2564</v>
      </c>
      <c r="F217" t="s">
        <v>2565</v>
      </c>
      <c r="G217" t="s">
        <v>2566</v>
      </c>
      <c r="H217" t="s">
        <v>2567</v>
      </c>
      <c r="I217" t="s">
        <v>2568</v>
      </c>
      <c r="J217" t="s">
        <v>2569</v>
      </c>
      <c r="K217" t="s">
        <v>2570</v>
      </c>
      <c r="L217" t="s">
        <v>8262</v>
      </c>
    </row>
    <row r="218" spans="1:12" x14ac:dyDescent="0.35">
      <c r="A218" t="str">
        <f t="shared" si="3"/>
        <v>Salaries and Other Employee Benefits</v>
      </c>
      <c r="B218" t="s">
        <v>191</v>
      </c>
      <c r="C218" t="s">
        <v>2571</v>
      </c>
      <c r="D218" t="s">
        <v>2572</v>
      </c>
      <c r="E218" t="s">
        <v>2573</v>
      </c>
      <c r="F218" t="s">
        <v>2574</v>
      </c>
      <c r="G218" t="s">
        <v>2575</v>
      </c>
      <c r="H218" t="s">
        <v>2576</v>
      </c>
      <c r="I218" t="s">
        <v>2577</v>
      </c>
      <c r="J218" t="s">
        <v>2578</v>
      </c>
      <c r="K218" t="s">
        <v>2579</v>
      </c>
      <c r="L218" t="s">
        <v>8263</v>
      </c>
    </row>
    <row r="219" spans="1:12" x14ac:dyDescent="0.35">
      <c r="A219" t="str">
        <f t="shared" si="3"/>
        <v>ASSETS</v>
      </c>
      <c r="B219" t="s">
        <v>60</v>
      </c>
      <c r="C219" t="s">
        <v>2580</v>
      </c>
      <c r="D219" t="s">
        <v>2581</v>
      </c>
      <c r="E219" t="s">
        <v>2582</v>
      </c>
      <c r="F219" t="s">
        <v>2583</v>
      </c>
      <c r="G219" t="s">
        <v>2584</v>
      </c>
      <c r="H219" t="s">
        <v>2585</v>
      </c>
      <c r="I219" t="s">
        <v>2586</v>
      </c>
      <c r="J219" t="s">
        <v>2587</v>
      </c>
      <c r="K219" t="s">
        <v>2588</v>
      </c>
      <c r="L219" t="s">
        <v>8264</v>
      </c>
    </row>
    <row r="220" spans="1:12" x14ac:dyDescent="0.35">
      <c r="A220" t="str">
        <f t="shared" si="3"/>
        <v>Cash And Equivalents</v>
      </c>
      <c r="B220" t="s">
        <v>70</v>
      </c>
      <c r="C220" t="s">
        <v>2589</v>
      </c>
      <c r="D220" t="s">
        <v>2590</v>
      </c>
      <c r="E220" t="s">
        <v>2591</v>
      </c>
      <c r="F220" t="s">
        <v>2592</v>
      </c>
      <c r="G220" t="s">
        <v>2593</v>
      </c>
      <c r="H220" t="s">
        <v>2594</v>
      </c>
      <c r="I220" t="s">
        <v>2595</v>
      </c>
      <c r="J220" t="s">
        <v>2596</v>
      </c>
      <c r="K220" t="s">
        <v>2597</v>
      </c>
      <c r="L220" t="s">
        <v>8265</v>
      </c>
    </row>
    <row r="221" spans="1:12" x14ac:dyDescent="0.35">
      <c r="A221" t="str">
        <f t="shared" si="3"/>
        <v>Short Term Investments</v>
      </c>
      <c r="B221" t="s">
        <v>71</v>
      </c>
      <c r="C221" t="s">
        <v>2598</v>
      </c>
      <c r="D221" t="s">
        <v>2599</v>
      </c>
      <c r="E221" t="s">
        <v>2600</v>
      </c>
      <c r="F221" t="s">
        <v>2601</v>
      </c>
      <c r="G221" t="s">
        <v>2602</v>
      </c>
      <c r="H221" t="s">
        <v>2603</v>
      </c>
      <c r="I221" t="s">
        <v>2604</v>
      </c>
      <c r="J221" t="s">
        <v>2605</v>
      </c>
      <c r="K221" t="s">
        <v>2606</v>
      </c>
      <c r="L221" t="s">
        <v>8266</v>
      </c>
    </row>
    <row r="222" spans="1:12" x14ac:dyDescent="0.35">
      <c r="A222" t="str">
        <f t="shared" si="3"/>
        <v>Trading Asset Securities</v>
      </c>
      <c r="B222" t="s">
        <v>104</v>
      </c>
      <c r="C222" t="s">
        <v>2607</v>
      </c>
      <c r="D222" t="s">
        <v>2608</v>
      </c>
      <c r="E222" t="s">
        <v>2609</v>
      </c>
      <c r="F222" t="s">
        <v>2610</v>
      </c>
      <c r="G222" t="s">
        <v>2611</v>
      </c>
      <c r="H222" t="s">
        <v>2612</v>
      </c>
      <c r="I222" t="s">
        <v>2613</v>
      </c>
      <c r="J222" t="s">
        <v>2614</v>
      </c>
      <c r="K222" t="s">
        <v>2615</v>
      </c>
      <c r="L222" t="s">
        <v>8267</v>
      </c>
    </row>
    <row r="223" spans="1:12" x14ac:dyDescent="0.35">
      <c r="A223" t="str">
        <f t="shared" si="3"/>
        <v>Total Cash &amp; ST Investments</v>
      </c>
      <c r="B223" t="s">
        <v>499</v>
      </c>
      <c r="C223" t="s">
        <v>2616</v>
      </c>
      <c r="D223" t="s">
        <v>2617</v>
      </c>
      <c r="E223" t="s">
        <v>2618</v>
      </c>
      <c r="F223" t="s">
        <v>2619</v>
      </c>
      <c r="G223" t="s">
        <v>2620</v>
      </c>
      <c r="H223" t="s">
        <v>2621</v>
      </c>
      <c r="I223" t="s">
        <v>2622</v>
      </c>
      <c r="J223" t="s">
        <v>2623</v>
      </c>
      <c r="K223" t="s">
        <v>2624</v>
      </c>
      <c r="L223" t="s">
        <v>8268</v>
      </c>
    </row>
    <row r="224" spans="1:12" x14ac:dyDescent="0.35">
      <c r="A224" t="str">
        <f t="shared" si="3"/>
        <v>Accounts Receivable</v>
      </c>
      <c r="B224" t="s">
        <v>72</v>
      </c>
      <c r="C224" t="s">
        <v>2625</v>
      </c>
      <c r="D224" t="s">
        <v>2626</v>
      </c>
      <c r="E224" t="s">
        <v>2627</v>
      </c>
      <c r="F224" t="s">
        <v>2628</v>
      </c>
      <c r="G224" t="s">
        <v>2629</v>
      </c>
      <c r="H224" t="s">
        <v>2630</v>
      </c>
      <c r="I224" t="s">
        <v>2631</v>
      </c>
      <c r="J224" t="s">
        <v>2632</v>
      </c>
      <c r="K224" t="s">
        <v>2633</v>
      </c>
      <c r="L224" t="s">
        <v>8269</v>
      </c>
    </row>
    <row r="225" spans="1:12" x14ac:dyDescent="0.35">
      <c r="A225" t="str">
        <f t="shared" si="3"/>
        <v>Other Receivables</v>
      </c>
      <c r="B225" t="s">
        <v>105</v>
      </c>
      <c r="C225" t="s">
        <v>2634</v>
      </c>
      <c r="D225" t="s">
        <v>2635</v>
      </c>
      <c r="E225" t="s">
        <v>2636</v>
      </c>
      <c r="F225" t="s">
        <v>2637</v>
      </c>
      <c r="G225" t="s">
        <v>2638</v>
      </c>
      <c r="H225" t="s">
        <v>2639</v>
      </c>
      <c r="I225" t="s">
        <v>2640</v>
      </c>
      <c r="J225" t="s">
        <v>2641</v>
      </c>
      <c r="K225" t="s">
        <v>2642</v>
      </c>
      <c r="L225" t="s">
        <v>8270</v>
      </c>
    </row>
    <row r="226" spans="1:12" x14ac:dyDescent="0.35">
      <c r="A226" t="str">
        <f t="shared" si="3"/>
        <v>Notes Receivable</v>
      </c>
      <c r="B226" t="s">
        <v>106</v>
      </c>
      <c r="C226" t="s">
        <v>2643</v>
      </c>
      <c r="D226" t="s">
        <v>2644</v>
      </c>
      <c r="E226" t="s">
        <v>2645</v>
      </c>
      <c r="F226" t="s">
        <v>2646</v>
      </c>
      <c r="G226" t="s">
        <v>2647</v>
      </c>
      <c r="H226" t="s">
        <v>2648</v>
      </c>
      <c r="I226" t="s">
        <v>2649</v>
      </c>
      <c r="J226" t="s">
        <v>2650</v>
      </c>
      <c r="K226" t="s">
        <v>2651</v>
      </c>
      <c r="L226" t="s">
        <v>8271</v>
      </c>
    </row>
    <row r="227" spans="1:12" x14ac:dyDescent="0.35">
      <c r="A227" t="str">
        <f t="shared" si="3"/>
        <v>Total Receivables</v>
      </c>
      <c r="B227" t="s">
        <v>107</v>
      </c>
      <c r="C227" t="s">
        <v>2652</v>
      </c>
      <c r="D227" t="s">
        <v>2653</v>
      </c>
      <c r="E227" t="s">
        <v>2654</v>
      </c>
      <c r="F227" t="s">
        <v>2655</v>
      </c>
      <c r="G227" t="s">
        <v>2656</v>
      </c>
      <c r="H227" t="s">
        <v>2657</v>
      </c>
      <c r="I227" t="s">
        <v>2658</v>
      </c>
      <c r="J227" t="s">
        <v>2659</v>
      </c>
      <c r="K227" t="s">
        <v>2660</v>
      </c>
      <c r="L227" t="s">
        <v>8272</v>
      </c>
    </row>
    <row r="228" spans="1:12" x14ac:dyDescent="0.35">
      <c r="A228" t="str">
        <f t="shared" si="3"/>
        <v>Inventory</v>
      </c>
      <c r="B228" t="s">
        <v>73</v>
      </c>
      <c r="C228" t="s">
        <v>2661</v>
      </c>
      <c r="D228" t="s">
        <v>2662</v>
      </c>
      <c r="E228" t="s">
        <v>2663</v>
      </c>
      <c r="F228" t="s">
        <v>2664</v>
      </c>
      <c r="G228" t="s">
        <v>2665</v>
      </c>
      <c r="H228" t="s">
        <v>2666</v>
      </c>
      <c r="I228" t="s">
        <v>2667</v>
      </c>
      <c r="J228" t="s">
        <v>2665</v>
      </c>
      <c r="K228" t="s">
        <v>2668</v>
      </c>
      <c r="L228" t="s">
        <v>8273</v>
      </c>
    </row>
    <row r="229" spans="1:12" x14ac:dyDescent="0.35">
      <c r="A229" t="str">
        <f t="shared" si="3"/>
        <v>Prepaid Exp.</v>
      </c>
      <c r="B229" t="s">
        <v>74</v>
      </c>
      <c r="C229" t="s">
        <v>2669</v>
      </c>
      <c r="D229" t="s">
        <v>2670</v>
      </c>
      <c r="E229" t="s">
        <v>2671</v>
      </c>
      <c r="F229" t="s">
        <v>2672</v>
      </c>
      <c r="G229" t="s">
        <v>2673</v>
      </c>
      <c r="H229" t="s">
        <v>2674</v>
      </c>
      <c r="I229" t="s">
        <v>2675</v>
      </c>
      <c r="J229" t="s">
        <v>2676</v>
      </c>
      <c r="K229" t="s">
        <v>2677</v>
      </c>
      <c r="L229" t="s">
        <v>8274</v>
      </c>
    </row>
    <row r="230" spans="1:12" x14ac:dyDescent="0.35">
      <c r="A230" t="str">
        <f t="shared" si="3"/>
        <v>Finance Div. Loans and Leases, ST</v>
      </c>
      <c r="B230" t="s">
        <v>108</v>
      </c>
      <c r="C230" t="s">
        <v>2678</v>
      </c>
      <c r="D230" t="s">
        <v>2679</v>
      </c>
      <c r="E230" t="s">
        <v>2680</v>
      </c>
      <c r="F230" t="s">
        <v>2681</v>
      </c>
      <c r="G230" t="s">
        <v>2682</v>
      </c>
      <c r="H230" t="s">
        <v>2683</v>
      </c>
      <c r="I230" t="s">
        <v>2684</v>
      </c>
      <c r="J230" t="s">
        <v>2685</v>
      </c>
      <c r="K230" t="s">
        <v>2686</v>
      </c>
      <c r="L230" t="s">
        <v>8275</v>
      </c>
    </row>
    <row r="231" spans="1:12" x14ac:dyDescent="0.35">
      <c r="A231" t="str">
        <f t="shared" si="3"/>
        <v>Finance Div. Other Curr. Assets</v>
      </c>
      <c r="B231" t="s">
        <v>109</v>
      </c>
      <c r="C231" t="s">
        <v>2687</v>
      </c>
      <c r="D231" t="s">
        <v>2688</v>
      </c>
      <c r="E231" t="s">
        <v>2689</v>
      </c>
      <c r="F231" t="s">
        <v>2690</v>
      </c>
      <c r="G231" t="s">
        <v>2691</v>
      </c>
      <c r="H231" t="s">
        <v>2692</v>
      </c>
      <c r="I231" t="s">
        <v>2693</v>
      </c>
      <c r="J231" t="s">
        <v>2694</v>
      </c>
      <c r="K231" t="s">
        <v>2695</v>
      </c>
      <c r="L231" t="s">
        <v>8276</v>
      </c>
    </row>
    <row r="232" spans="1:12" x14ac:dyDescent="0.35">
      <c r="A232" t="str">
        <f t="shared" si="3"/>
        <v>Loans Held For Sale</v>
      </c>
      <c r="B232" t="s">
        <v>110</v>
      </c>
      <c r="C232" t="s">
        <v>2696</v>
      </c>
      <c r="D232" t="s">
        <v>2697</v>
      </c>
      <c r="E232" t="s">
        <v>2698</v>
      </c>
      <c r="F232" t="s">
        <v>2699</v>
      </c>
      <c r="G232" t="s">
        <v>2700</v>
      </c>
      <c r="H232" t="s">
        <v>2701</v>
      </c>
      <c r="I232" t="s">
        <v>2702</v>
      </c>
      <c r="J232" t="s">
        <v>2703</v>
      </c>
      <c r="K232" t="s">
        <v>2704</v>
      </c>
      <c r="L232" t="s">
        <v>8277</v>
      </c>
    </row>
    <row r="233" spans="1:12" x14ac:dyDescent="0.35">
      <c r="A233" t="str">
        <f t="shared" si="3"/>
        <v>Deferred Tax Assets, Curr.</v>
      </c>
      <c r="B233" t="s">
        <v>111</v>
      </c>
      <c r="C233" t="s">
        <v>2705</v>
      </c>
      <c r="D233" t="s">
        <v>2706</v>
      </c>
      <c r="E233" t="s">
        <v>2707</v>
      </c>
      <c r="F233" t="s">
        <v>2708</v>
      </c>
      <c r="G233" t="s">
        <v>2709</v>
      </c>
      <c r="H233" t="s">
        <v>2710</v>
      </c>
      <c r="I233" t="s">
        <v>2711</v>
      </c>
      <c r="J233" t="s">
        <v>2712</v>
      </c>
      <c r="K233" t="s">
        <v>2713</v>
      </c>
      <c r="L233" t="s">
        <v>8278</v>
      </c>
    </row>
    <row r="234" spans="1:12" x14ac:dyDescent="0.35">
      <c r="A234" t="str">
        <f t="shared" si="3"/>
        <v>Restricted Cash</v>
      </c>
      <c r="B234" t="s">
        <v>112</v>
      </c>
      <c r="C234" t="s">
        <v>2714</v>
      </c>
      <c r="D234" t="s">
        <v>2715</v>
      </c>
      <c r="E234" t="s">
        <v>2716</v>
      </c>
      <c r="F234" t="s">
        <v>2717</v>
      </c>
      <c r="G234" t="s">
        <v>2718</v>
      </c>
      <c r="H234" t="s">
        <v>2719</v>
      </c>
      <c r="I234" t="s">
        <v>2720</v>
      </c>
      <c r="J234" t="s">
        <v>2721</v>
      </c>
      <c r="K234" t="s">
        <v>2722</v>
      </c>
      <c r="L234" t="s">
        <v>8279</v>
      </c>
    </row>
    <row r="235" spans="1:12" x14ac:dyDescent="0.35">
      <c r="A235" t="str">
        <f t="shared" si="3"/>
        <v>Other Current Assets</v>
      </c>
      <c r="B235" t="s">
        <v>75</v>
      </c>
      <c r="C235" t="s">
        <v>2723</v>
      </c>
      <c r="D235" t="s">
        <v>2724</v>
      </c>
      <c r="E235" t="s">
        <v>2725</v>
      </c>
      <c r="F235" t="s">
        <v>2726</v>
      </c>
      <c r="G235" t="s">
        <v>2727</v>
      </c>
      <c r="H235" t="s">
        <v>2728</v>
      </c>
      <c r="I235" t="s">
        <v>2729</v>
      </c>
      <c r="J235" t="s">
        <v>2730</v>
      </c>
      <c r="K235" t="s">
        <v>2731</v>
      </c>
      <c r="L235" t="s">
        <v>8280</v>
      </c>
    </row>
    <row r="236" spans="1:12" x14ac:dyDescent="0.35">
      <c r="A236" t="str">
        <f t="shared" si="3"/>
        <v>Total Current Assets</v>
      </c>
      <c r="B236" t="s">
        <v>113</v>
      </c>
      <c r="C236" t="s">
        <v>2732</v>
      </c>
      <c r="D236" t="s">
        <v>2733</v>
      </c>
      <c r="E236" t="s">
        <v>2734</v>
      </c>
      <c r="F236" t="s">
        <v>2735</v>
      </c>
      <c r="G236" t="s">
        <v>2736</v>
      </c>
      <c r="H236" t="s">
        <v>2737</v>
      </c>
      <c r="I236" t="s">
        <v>2738</v>
      </c>
      <c r="J236" t="s">
        <v>2739</v>
      </c>
      <c r="K236" t="s">
        <v>2740</v>
      </c>
      <c r="L236" t="s">
        <v>8281</v>
      </c>
    </row>
    <row r="237" spans="1:12" x14ac:dyDescent="0.35">
      <c r="A237" t="str">
        <f t="shared" si="3"/>
        <v>Gross Property, Plant &amp; Equipment</v>
      </c>
      <c r="B237" t="s">
        <v>76</v>
      </c>
      <c r="C237" t="s">
        <v>2741</v>
      </c>
      <c r="D237" t="s">
        <v>2742</v>
      </c>
      <c r="E237" t="s">
        <v>2743</v>
      </c>
      <c r="F237" t="s">
        <v>2744</v>
      </c>
      <c r="G237" t="s">
        <v>2745</v>
      </c>
      <c r="H237" t="s">
        <v>2746</v>
      </c>
      <c r="I237" t="s">
        <v>2747</v>
      </c>
      <c r="J237" t="s">
        <v>2748</v>
      </c>
      <c r="K237" t="s">
        <v>2749</v>
      </c>
      <c r="L237" t="s">
        <v>8282</v>
      </c>
    </row>
    <row r="238" spans="1:12" x14ac:dyDescent="0.35">
      <c r="A238" t="str">
        <f t="shared" si="3"/>
        <v>Accumulated Depreciation</v>
      </c>
      <c r="B238" t="s">
        <v>77</v>
      </c>
      <c r="C238" t="s">
        <v>2750</v>
      </c>
      <c r="D238" t="s">
        <v>2751</v>
      </c>
      <c r="E238" t="s">
        <v>2752</v>
      </c>
      <c r="F238" t="s">
        <v>2753</v>
      </c>
      <c r="G238" t="s">
        <v>2754</v>
      </c>
      <c r="H238" t="s">
        <v>2755</v>
      </c>
      <c r="I238" t="s">
        <v>2756</v>
      </c>
      <c r="J238" t="s">
        <v>2757</v>
      </c>
      <c r="K238" t="s">
        <v>2758</v>
      </c>
      <c r="L238" t="s">
        <v>8283</v>
      </c>
    </row>
    <row r="239" spans="1:12" x14ac:dyDescent="0.35">
      <c r="A239" t="str">
        <f t="shared" si="3"/>
        <v>Net Property, Plant &amp; Equipment</v>
      </c>
      <c r="B239" t="s">
        <v>114</v>
      </c>
      <c r="C239" t="s">
        <v>2759</v>
      </c>
      <c r="D239" t="s">
        <v>2760</v>
      </c>
      <c r="E239" t="s">
        <v>2761</v>
      </c>
      <c r="F239" t="s">
        <v>2762</v>
      </c>
      <c r="G239" t="s">
        <v>2763</v>
      </c>
      <c r="H239" t="s">
        <v>2764</v>
      </c>
      <c r="I239" t="s">
        <v>2765</v>
      </c>
      <c r="J239" t="s">
        <v>2766</v>
      </c>
      <c r="K239" t="s">
        <v>2767</v>
      </c>
      <c r="L239" t="s">
        <v>8284</v>
      </c>
    </row>
    <row r="240" spans="1:12" x14ac:dyDescent="0.35">
      <c r="A240" t="str">
        <f t="shared" si="3"/>
        <v>Long-term Investments</v>
      </c>
      <c r="B240" t="s">
        <v>78</v>
      </c>
      <c r="C240" t="s">
        <v>2768</v>
      </c>
      <c r="D240" t="s">
        <v>2769</v>
      </c>
      <c r="E240" t="s">
        <v>2770</v>
      </c>
      <c r="F240" t="s">
        <v>2771</v>
      </c>
      <c r="G240" t="s">
        <v>2772</v>
      </c>
      <c r="H240" t="s">
        <v>2769</v>
      </c>
      <c r="I240" t="s">
        <v>2773</v>
      </c>
      <c r="J240" t="s">
        <v>2774</v>
      </c>
      <c r="K240" t="s">
        <v>2775</v>
      </c>
      <c r="L240" t="s">
        <v>8285</v>
      </c>
    </row>
    <row r="241" spans="1:12" x14ac:dyDescent="0.35">
      <c r="A241" t="str">
        <f t="shared" si="3"/>
        <v>Goodwill</v>
      </c>
      <c r="B241" t="s">
        <v>79</v>
      </c>
      <c r="C241" t="s">
        <v>2776</v>
      </c>
      <c r="D241" t="s">
        <v>2777</v>
      </c>
      <c r="E241" t="s">
        <v>2778</v>
      </c>
      <c r="F241" t="s">
        <v>79</v>
      </c>
      <c r="G241" t="s">
        <v>2779</v>
      </c>
      <c r="H241" t="s">
        <v>2780</v>
      </c>
      <c r="I241" t="s">
        <v>2781</v>
      </c>
      <c r="J241" t="s">
        <v>2782</v>
      </c>
      <c r="K241" t="s">
        <v>2783</v>
      </c>
      <c r="L241" t="s">
        <v>79</v>
      </c>
    </row>
    <row r="242" spans="1:12" x14ac:dyDescent="0.35">
      <c r="A242" t="str">
        <f t="shared" si="3"/>
        <v>Other Intangibles</v>
      </c>
      <c r="B242" t="s">
        <v>80</v>
      </c>
      <c r="C242" t="s">
        <v>2784</v>
      </c>
      <c r="D242" t="s">
        <v>2785</v>
      </c>
      <c r="E242" t="s">
        <v>2786</v>
      </c>
      <c r="F242" t="s">
        <v>2787</v>
      </c>
      <c r="G242" t="s">
        <v>2788</v>
      </c>
      <c r="H242" t="s">
        <v>2789</v>
      </c>
      <c r="I242" t="s">
        <v>2790</v>
      </c>
      <c r="J242" t="s">
        <v>2791</v>
      </c>
      <c r="K242" t="s">
        <v>2792</v>
      </c>
      <c r="L242" t="s">
        <v>8286</v>
      </c>
    </row>
    <row r="243" spans="1:12" x14ac:dyDescent="0.35">
      <c r="A243" t="str">
        <f t="shared" si="3"/>
        <v>Finance Div. Loans and Leases, LT</v>
      </c>
      <c r="B243" t="s">
        <v>115</v>
      </c>
      <c r="C243" t="s">
        <v>2793</v>
      </c>
      <c r="D243" t="s">
        <v>2794</v>
      </c>
      <c r="E243" t="s">
        <v>2795</v>
      </c>
      <c r="F243" t="s">
        <v>2796</v>
      </c>
      <c r="G243" t="s">
        <v>2797</v>
      </c>
      <c r="H243" t="s">
        <v>2798</v>
      </c>
      <c r="I243" t="s">
        <v>2799</v>
      </c>
      <c r="J243" t="s">
        <v>2800</v>
      </c>
      <c r="K243" t="s">
        <v>2801</v>
      </c>
      <c r="L243" t="s">
        <v>8287</v>
      </c>
    </row>
    <row r="244" spans="1:12" x14ac:dyDescent="0.35">
      <c r="A244" t="str">
        <f t="shared" si="3"/>
        <v>Finance Div. Other LT Assets</v>
      </c>
      <c r="B244" t="s">
        <v>116</v>
      </c>
      <c r="C244" t="s">
        <v>2802</v>
      </c>
      <c r="D244" t="s">
        <v>2803</v>
      </c>
      <c r="E244" t="s">
        <v>2804</v>
      </c>
      <c r="F244" t="s">
        <v>2805</v>
      </c>
      <c r="G244" t="s">
        <v>2806</v>
      </c>
      <c r="H244" t="s">
        <v>2807</v>
      </c>
      <c r="I244" t="s">
        <v>2808</v>
      </c>
      <c r="J244" t="s">
        <v>2809</v>
      </c>
      <c r="K244" t="s">
        <v>2810</v>
      </c>
      <c r="L244" t="s">
        <v>8288</v>
      </c>
    </row>
    <row r="245" spans="1:12" x14ac:dyDescent="0.35">
      <c r="A245" t="str">
        <f t="shared" si="3"/>
        <v>Accounts Receivable Long-Term</v>
      </c>
      <c r="B245" t="s">
        <v>81</v>
      </c>
      <c r="C245" t="s">
        <v>2811</v>
      </c>
      <c r="D245" t="s">
        <v>2812</v>
      </c>
      <c r="E245" t="s">
        <v>2813</v>
      </c>
      <c r="F245" t="s">
        <v>2814</v>
      </c>
      <c r="G245" t="s">
        <v>2815</v>
      </c>
      <c r="H245" t="s">
        <v>2816</v>
      </c>
      <c r="I245" t="s">
        <v>2817</v>
      </c>
      <c r="J245" t="s">
        <v>2818</v>
      </c>
      <c r="K245" t="s">
        <v>2819</v>
      </c>
      <c r="L245" t="s">
        <v>8289</v>
      </c>
    </row>
    <row r="246" spans="1:12" x14ac:dyDescent="0.35">
      <c r="A246" t="str">
        <f t="shared" si="3"/>
        <v>Loans Receivable Long-Term</v>
      </c>
      <c r="B246" t="s">
        <v>117</v>
      </c>
      <c r="C246" t="s">
        <v>2820</v>
      </c>
      <c r="D246" t="s">
        <v>2821</v>
      </c>
      <c r="E246" t="s">
        <v>2822</v>
      </c>
      <c r="F246" t="s">
        <v>2823</v>
      </c>
      <c r="G246" t="s">
        <v>2815</v>
      </c>
      <c r="H246" t="s">
        <v>2824</v>
      </c>
      <c r="I246" t="s">
        <v>2825</v>
      </c>
      <c r="J246" t="s">
        <v>2826</v>
      </c>
      <c r="K246" t="s">
        <v>2827</v>
      </c>
      <c r="L246" t="s">
        <v>8290</v>
      </c>
    </row>
    <row r="247" spans="1:12" x14ac:dyDescent="0.35">
      <c r="A247" t="str">
        <f t="shared" si="3"/>
        <v>Deferred Tax Assets, LT</v>
      </c>
      <c r="B247" t="s">
        <v>82</v>
      </c>
      <c r="C247" t="s">
        <v>2828</v>
      </c>
      <c r="D247" t="s">
        <v>2829</v>
      </c>
      <c r="E247" t="s">
        <v>2830</v>
      </c>
      <c r="F247" t="s">
        <v>2831</v>
      </c>
      <c r="G247" t="s">
        <v>2832</v>
      </c>
      <c r="H247" t="s">
        <v>2833</v>
      </c>
      <c r="I247" t="s">
        <v>2834</v>
      </c>
      <c r="J247" t="s">
        <v>2835</v>
      </c>
      <c r="K247" t="s">
        <v>2836</v>
      </c>
      <c r="L247" t="s">
        <v>8291</v>
      </c>
    </row>
    <row r="248" spans="1:12" x14ac:dyDescent="0.35">
      <c r="A248" t="str">
        <f t="shared" si="3"/>
        <v>Deferred Charges, LT</v>
      </c>
      <c r="B248" t="s">
        <v>118</v>
      </c>
      <c r="C248" t="s">
        <v>2837</v>
      </c>
      <c r="D248" t="s">
        <v>2838</v>
      </c>
      <c r="E248" t="s">
        <v>2839</v>
      </c>
      <c r="F248" t="s">
        <v>2840</v>
      </c>
      <c r="G248" t="s">
        <v>2841</v>
      </c>
      <c r="H248" t="s">
        <v>2842</v>
      </c>
      <c r="I248" t="s">
        <v>2843</v>
      </c>
      <c r="J248" t="s">
        <v>2844</v>
      </c>
      <c r="K248" t="s">
        <v>2845</v>
      </c>
      <c r="L248" t="s">
        <v>8292</v>
      </c>
    </row>
    <row r="249" spans="1:12" x14ac:dyDescent="0.35">
      <c r="A249" t="str">
        <f t="shared" si="3"/>
        <v>Other Long-Term Assets</v>
      </c>
      <c r="B249" t="s">
        <v>83</v>
      </c>
      <c r="C249" t="s">
        <v>2846</v>
      </c>
      <c r="D249" t="s">
        <v>2847</v>
      </c>
      <c r="E249" t="s">
        <v>2848</v>
      </c>
      <c r="F249" t="s">
        <v>2849</v>
      </c>
      <c r="G249" t="s">
        <v>2850</v>
      </c>
      <c r="H249" t="s">
        <v>2851</v>
      </c>
      <c r="I249" t="s">
        <v>2852</v>
      </c>
      <c r="J249" t="s">
        <v>2853</v>
      </c>
      <c r="K249" t="s">
        <v>2854</v>
      </c>
      <c r="L249" t="s">
        <v>8293</v>
      </c>
    </row>
    <row r="250" spans="1:12" x14ac:dyDescent="0.35">
      <c r="A250" t="str">
        <f t="shared" si="3"/>
        <v>LIABILITIES</v>
      </c>
      <c r="B250" t="s">
        <v>84</v>
      </c>
      <c r="C250" t="s">
        <v>2855</v>
      </c>
      <c r="D250" t="s">
        <v>2856</v>
      </c>
      <c r="E250" t="s">
        <v>2857</v>
      </c>
      <c r="F250" t="s">
        <v>2858</v>
      </c>
      <c r="G250" t="s">
        <v>2859</v>
      </c>
      <c r="H250" t="s">
        <v>2856</v>
      </c>
      <c r="I250" t="s">
        <v>2860</v>
      </c>
      <c r="J250" t="s">
        <v>2861</v>
      </c>
      <c r="K250" t="s">
        <v>2862</v>
      </c>
      <c r="L250" t="s">
        <v>8294</v>
      </c>
    </row>
    <row r="251" spans="1:12" x14ac:dyDescent="0.35">
      <c r="A251" t="str">
        <f t="shared" si="3"/>
        <v>Accounts Payable</v>
      </c>
      <c r="B251" t="s">
        <v>85</v>
      </c>
      <c r="C251" t="s">
        <v>2863</v>
      </c>
      <c r="D251" t="s">
        <v>2864</v>
      </c>
      <c r="E251" t="s">
        <v>2865</v>
      </c>
      <c r="F251" t="s">
        <v>2866</v>
      </c>
      <c r="G251" t="s">
        <v>2867</v>
      </c>
      <c r="H251" t="s">
        <v>2868</v>
      </c>
      <c r="I251" t="s">
        <v>2869</v>
      </c>
      <c r="J251" t="s">
        <v>2870</v>
      </c>
      <c r="K251" t="s">
        <v>2871</v>
      </c>
      <c r="L251" t="s">
        <v>8295</v>
      </c>
    </row>
    <row r="252" spans="1:12" x14ac:dyDescent="0.35">
      <c r="A252" t="str">
        <f t="shared" si="3"/>
        <v>Accrued Exp.</v>
      </c>
      <c r="B252" t="s">
        <v>857</v>
      </c>
      <c r="C252" t="s">
        <v>2872</v>
      </c>
      <c r="D252" t="s">
        <v>2873</v>
      </c>
      <c r="E252" t="s">
        <v>2874</v>
      </c>
      <c r="F252" t="s">
        <v>2875</v>
      </c>
      <c r="G252" t="s">
        <v>2876</v>
      </c>
      <c r="H252" t="s">
        <v>2877</v>
      </c>
      <c r="I252" t="s">
        <v>2878</v>
      </c>
      <c r="J252" t="s">
        <v>2879</v>
      </c>
      <c r="K252" t="s">
        <v>2880</v>
      </c>
      <c r="L252" t="s">
        <v>8296</v>
      </c>
    </row>
    <row r="253" spans="1:12" x14ac:dyDescent="0.35">
      <c r="A253" t="str">
        <f t="shared" si="3"/>
        <v>Short-term Borrowings</v>
      </c>
      <c r="B253" t="s">
        <v>858</v>
      </c>
      <c r="C253" t="s">
        <v>2881</v>
      </c>
      <c r="D253" t="s">
        <v>2882</v>
      </c>
      <c r="E253" t="s">
        <v>2883</v>
      </c>
      <c r="F253" t="s">
        <v>2884</v>
      </c>
      <c r="G253" t="s">
        <v>2885</v>
      </c>
      <c r="H253" t="s">
        <v>2886</v>
      </c>
      <c r="I253" t="s">
        <v>2887</v>
      </c>
      <c r="J253" t="s">
        <v>2888</v>
      </c>
      <c r="K253" t="s">
        <v>2889</v>
      </c>
      <c r="L253" t="s">
        <v>8297</v>
      </c>
    </row>
    <row r="254" spans="1:12" x14ac:dyDescent="0.35">
      <c r="A254" t="str">
        <f t="shared" ref="A254:A317" si="4">INDEX($B254:$CW254,,$A$5)</f>
        <v>Current Portion of Long Term Debt</v>
      </c>
      <c r="B254" t="s">
        <v>119</v>
      </c>
      <c r="C254" t="s">
        <v>2890</v>
      </c>
      <c r="D254" t="s">
        <v>2891</v>
      </c>
      <c r="E254" t="s">
        <v>2892</v>
      </c>
      <c r="F254" t="s">
        <v>2893</v>
      </c>
      <c r="G254" t="s">
        <v>2894</v>
      </c>
      <c r="H254" t="s">
        <v>2895</v>
      </c>
      <c r="I254" t="s">
        <v>2896</v>
      </c>
      <c r="J254" t="s">
        <v>2897</v>
      </c>
      <c r="K254" t="s">
        <v>2898</v>
      </c>
      <c r="L254" t="s">
        <v>8298</v>
      </c>
    </row>
    <row r="255" spans="1:12" x14ac:dyDescent="0.35">
      <c r="A255" t="str">
        <f t="shared" si="4"/>
        <v>Current Portion of Leases</v>
      </c>
      <c r="B255" t="s">
        <v>949</v>
      </c>
      <c r="C255" t="s">
        <v>2899</v>
      </c>
      <c r="D255" t="s">
        <v>2900</v>
      </c>
      <c r="E255" t="s">
        <v>2901</v>
      </c>
      <c r="F255" t="s">
        <v>2902</v>
      </c>
      <c r="G255" t="s">
        <v>2903</v>
      </c>
      <c r="H255" t="s">
        <v>2904</v>
      </c>
      <c r="I255" t="s">
        <v>2905</v>
      </c>
      <c r="J255" t="s">
        <v>2906</v>
      </c>
      <c r="K255" t="s">
        <v>2907</v>
      </c>
      <c r="L255" t="s">
        <v>8299</v>
      </c>
    </row>
    <row r="256" spans="1:12" x14ac:dyDescent="0.35">
      <c r="A256" t="str">
        <f t="shared" si="4"/>
        <v>Finance Div. Debt Current</v>
      </c>
      <c r="B256" t="s">
        <v>120</v>
      </c>
      <c r="C256" t="s">
        <v>2908</v>
      </c>
      <c r="D256" t="s">
        <v>2909</v>
      </c>
      <c r="E256" t="s">
        <v>2910</v>
      </c>
      <c r="F256" t="s">
        <v>2911</v>
      </c>
      <c r="G256" t="s">
        <v>2912</v>
      </c>
      <c r="H256" t="s">
        <v>2913</v>
      </c>
      <c r="I256" t="s">
        <v>2914</v>
      </c>
      <c r="J256" t="s">
        <v>2915</v>
      </c>
      <c r="K256" t="s">
        <v>2916</v>
      </c>
      <c r="L256" t="s">
        <v>8300</v>
      </c>
    </row>
    <row r="257" spans="1:12" x14ac:dyDescent="0.35">
      <c r="A257" t="str">
        <f t="shared" si="4"/>
        <v>Finance Div. Other Curr. Liab.</v>
      </c>
      <c r="B257" t="s">
        <v>121</v>
      </c>
      <c r="C257" t="s">
        <v>2917</v>
      </c>
      <c r="D257" t="s">
        <v>2918</v>
      </c>
      <c r="E257" t="s">
        <v>2919</v>
      </c>
      <c r="F257" t="s">
        <v>2920</v>
      </c>
      <c r="G257" t="s">
        <v>2921</v>
      </c>
      <c r="H257" t="s">
        <v>2922</v>
      </c>
      <c r="I257" t="s">
        <v>2923</v>
      </c>
      <c r="J257" t="s">
        <v>2924</v>
      </c>
      <c r="K257" t="s">
        <v>2925</v>
      </c>
      <c r="L257" t="s">
        <v>8301</v>
      </c>
    </row>
    <row r="258" spans="1:12" x14ac:dyDescent="0.35">
      <c r="A258" t="str">
        <f t="shared" si="4"/>
        <v>Curr. Income Taxes Payable</v>
      </c>
      <c r="B258" t="s">
        <v>859</v>
      </c>
      <c r="C258" t="s">
        <v>2926</v>
      </c>
      <c r="D258" t="s">
        <v>2927</v>
      </c>
      <c r="E258" t="s">
        <v>2928</v>
      </c>
      <c r="F258" t="s">
        <v>2929</v>
      </c>
      <c r="G258" t="s">
        <v>2930</v>
      </c>
      <c r="H258" t="s">
        <v>2931</v>
      </c>
      <c r="I258" t="s">
        <v>2932</v>
      </c>
      <c r="J258" t="s">
        <v>2933</v>
      </c>
      <c r="K258" t="s">
        <v>2934</v>
      </c>
      <c r="L258" t="s">
        <v>8302</v>
      </c>
    </row>
    <row r="259" spans="1:12" x14ac:dyDescent="0.35">
      <c r="A259" t="str">
        <f t="shared" si="4"/>
        <v>Unearned Revenue, Current</v>
      </c>
      <c r="B259" t="s">
        <v>860</v>
      </c>
      <c r="C259" t="s">
        <v>2935</v>
      </c>
      <c r="D259" t="s">
        <v>2936</v>
      </c>
      <c r="E259" t="s">
        <v>2937</v>
      </c>
      <c r="F259" t="s">
        <v>2938</v>
      </c>
      <c r="G259" t="s">
        <v>2939</v>
      </c>
      <c r="H259" t="s">
        <v>2940</v>
      </c>
      <c r="I259" t="s">
        <v>2941</v>
      </c>
      <c r="J259" t="s">
        <v>2942</v>
      </c>
      <c r="K259" t="s">
        <v>2943</v>
      </c>
      <c r="L259" t="s">
        <v>8303</v>
      </c>
    </row>
    <row r="260" spans="1:12" x14ac:dyDescent="0.35">
      <c r="A260" t="str">
        <f t="shared" si="4"/>
        <v>Def. Tax Liability, Curr.</v>
      </c>
      <c r="B260" t="s">
        <v>122</v>
      </c>
      <c r="C260" t="s">
        <v>2944</v>
      </c>
      <c r="D260" t="s">
        <v>2945</v>
      </c>
      <c r="E260" t="s">
        <v>2946</v>
      </c>
      <c r="F260" t="s">
        <v>2947</v>
      </c>
      <c r="G260" t="s">
        <v>2948</v>
      </c>
      <c r="H260" t="s">
        <v>2949</v>
      </c>
      <c r="I260" t="s">
        <v>2950</v>
      </c>
      <c r="J260" t="s">
        <v>2951</v>
      </c>
      <c r="K260" t="s">
        <v>2952</v>
      </c>
      <c r="L260" t="s">
        <v>8304</v>
      </c>
    </row>
    <row r="261" spans="1:12" x14ac:dyDescent="0.35">
      <c r="A261" t="str">
        <f t="shared" si="4"/>
        <v>Other Current Liabilities</v>
      </c>
      <c r="B261" t="s">
        <v>861</v>
      </c>
      <c r="C261" t="s">
        <v>2953</v>
      </c>
      <c r="D261" t="s">
        <v>2954</v>
      </c>
      <c r="E261" t="s">
        <v>2955</v>
      </c>
      <c r="F261" t="s">
        <v>2956</v>
      </c>
      <c r="G261" t="s">
        <v>2957</v>
      </c>
      <c r="H261" t="s">
        <v>2958</v>
      </c>
      <c r="I261" t="s">
        <v>2959</v>
      </c>
      <c r="J261" t="s">
        <v>2960</v>
      </c>
      <c r="K261" t="s">
        <v>2961</v>
      </c>
      <c r="L261" t="s">
        <v>8305</v>
      </c>
    </row>
    <row r="262" spans="1:12" x14ac:dyDescent="0.35">
      <c r="A262" t="str">
        <f t="shared" si="4"/>
        <v>Total Current Liabilities</v>
      </c>
      <c r="B262" t="s">
        <v>123</v>
      </c>
      <c r="C262" t="s">
        <v>2962</v>
      </c>
      <c r="D262" t="s">
        <v>2963</v>
      </c>
      <c r="E262" t="s">
        <v>2964</v>
      </c>
      <c r="F262" t="s">
        <v>2965</v>
      </c>
      <c r="G262" t="s">
        <v>2966</v>
      </c>
      <c r="H262" t="s">
        <v>2967</v>
      </c>
      <c r="I262" t="s">
        <v>2968</v>
      </c>
      <c r="J262" t="s">
        <v>2969</v>
      </c>
      <c r="K262" t="s">
        <v>2970</v>
      </c>
      <c r="L262" t="s">
        <v>8306</v>
      </c>
    </row>
    <row r="263" spans="1:12" x14ac:dyDescent="0.35">
      <c r="A263" t="str">
        <f t="shared" si="4"/>
        <v>Long-Term Debt</v>
      </c>
      <c r="B263" t="s">
        <v>862</v>
      </c>
      <c r="C263" t="s">
        <v>2971</v>
      </c>
      <c r="D263" t="s">
        <v>2972</v>
      </c>
      <c r="E263" t="s">
        <v>2973</v>
      </c>
      <c r="F263" t="s">
        <v>2974</v>
      </c>
      <c r="G263" t="s">
        <v>2975</v>
      </c>
      <c r="H263" t="s">
        <v>2976</v>
      </c>
      <c r="I263" t="s">
        <v>2977</v>
      </c>
      <c r="J263" t="s">
        <v>2978</v>
      </c>
      <c r="K263" t="s">
        <v>2979</v>
      </c>
      <c r="L263" t="s">
        <v>8307</v>
      </c>
    </row>
    <row r="264" spans="1:12" x14ac:dyDescent="0.35">
      <c r="A264" t="str">
        <f t="shared" si="4"/>
        <v>Long-Term Leases</v>
      </c>
      <c r="B264" t="s">
        <v>948</v>
      </c>
      <c r="C264" t="s">
        <v>2980</v>
      </c>
      <c r="D264" t="s">
        <v>2981</v>
      </c>
      <c r="E264" t="s">
        <v>2982</v>
      </c>
      <c r="F264" t="s">
        <v>2983</v>
      </c>
      <c r="G264" t="s">
        <v>2984</v>
      </c>
      <c r="H264" t="s">
        <v>2985</v>
      </c>
      <c r="I264" t="s">
        <v>2986</v>
      </c>
      <c r="J264" t="s">
        <v>2987</v>
      </c>
      <c r="K264" t="s">
        <v>2988</v>
      </c>
      <c r="L264" t="s">
        <v>8308</v>
      </c>
    </row>
    <row r="265" spans="1:12" x14ac:dyDescent="0.35">
      <c r="A265" t="str">
        <f t="shared" si="4"/>
        <v>Finance Div. Debt Non-Curr.</v>
      </c>
      <c r="B265" t="s">
        <v>124</v>
      </c>
      <c r="C265" t="s">
        <v>2989</v>
      </c>
      <c r="D265" t="s">
        <v>2990</v>
      </c>
      <c r="E265" t="s">
        <v>2991</v>
      </c>
      <c r="F265" t="s">
        <v>2992</v>
      </c>
      <c r="G265" t="s">
        <v>2993</v>
      </c>
      <c r="H265" t="s">
        <v>2994</v>
      </c>
      <c r="I265" t="s">
        <v>2995</v>
      </c>
      <c r="J265" t="s">
        <v>2996</v>
      </c>
      <c r="K265" t="s">
        <v>2997</v>
      </c>
      <c r="L265" t="s">
        <v>8309</v>
      </c>
    </row>
    <row r="266" spans="1:12" x14ac:dyDescent="0.35">
      <c r="A266" t="str">
        <f t="shared" si="4"/>
        <v>Finance Div. Other Non-Curr. Liab.</v>
      </c>
      <c r="B266" t="s">
        <v>125</v>
      </c>
      <c r="C266" t="s">
        <v>2998</v>
      </c>
      <c r="D266" t="s">
        <v>2999</v>
      </c>
      <c r="E266" t="s">
        <v>3000</v>
      </c>
      <c r="F266" t="s">
        <v>3001</v>
      </c>
      <c r="G266" t="s">
        <v>3002</v>
      </c>
      <c r="H266" t="s">
        <v>3003</v>
      </c>
      <c r="I266" t="s">
        <v>3004</v>
      </c>
      <c r="J266" t="s">
        <v>3005</v>
      </c>
      <c r="K266" t="s">
        <v>3006</v>
      </c>
      <c r="L266" t="s">
        <v>8310</v>
      </c>
    </row>
    <row r="267" spans="1:12" x14ac:dyDescent="0.35">
      <c r="A267" t="str">
        <f t="shared" si="4"/>
        <v>Unearned Revenue, Non-Current</v>
      </c>
      <c r="B267" t="s">
        <v>126</v>
      </c>
      <c r="C267" t="s">
        <v>3007</v>
      </c>
      <c r="D267" t="s">
        <v>3008</v>
      </c>
      <c r="E267" t="s">
        <v>3009</v>
      </c>
      <c r="F267" t="s">
        <v>3010</v>
      </c>
      <c r="G267" t="s">
        <v>3011</v>
      </c>
      <c r="H267" t="s">
        <v>3012</v>
      </c>
      <c r="I267" t="s">
        <v>3013</v>
      </c>
      <c r="J267" t="s">
        <v>3014</v>
      </c>
      <c r="K267" t="s">
        <v>3015</v>
      </c>
      <c r="L267" t="s">
        <v>8311</v>
      </c>
    </row>
    <row r="268" spans="1:12" x14ac:dyDescent="0.35">
      <c r="A268" t="str">
        <f t="shared" si="4"/>
        <v>Pension &amp; Other Post-Retire. Benefits</v>
      </c>
      <c r="B268" t="s">
        <v>127</v>
      </c>
      <c r="C268" t="s">
        <v>3016</v>
      </c>
      <c r="D268" t="s">
        <v>3017</v>
      </c>
      <c r="E268" t="s">
        <v>3018</v>
      </c>
      <c r="F268" t="s">
        <v>3019</v>
      </c>
      <c r="G268" t="s">
        <v>3020</v>
      </c>
      <c r="H268" t="s">
        <v>3021</v>
      </c>
      <c r="I268" t="s">
        <v>3022</v>
      </c>
      <c r="J268" t="s">
        <v>3023</v>
      </c>
      <c r="K268" t="s">
        <v>3024</v>
      </c>
      <c r="L268" t="s">
        <v>8312</v>
      </c>
    </row>
    <row r="269" spans="1:12" x14ac:dyDescent="0.35">
      <c r="A269" t="str">
        <f t="shared" si="4"/>
        <v>Def. Tax Liability, Non-Curr.</v>
      </c>
      <c r="B269" t="s">
        <v>863</v>
      </c>
      <c r="C269" t="s">
        <v>3025</v>
      </c>
      <c r="D269" t="s">
        <v>3026</v>
      </c>
      <c r="E269" t="s">
        <v>3027</v>
      </c>
      <c r="F269" t="s">
        <v>3028</v>
      </c>
      <c r="G269" t="s">
        <v>3029</v>
      </c>
      <c r="H269" t="s">
        <v>3030</v>
      </c>
      <c r="I269" t="s">
        <v>3031</v>
      </c>
      <c r="J269" t="s">
        <v>3032</v>
      </c>
      <c r="K269" t="s">
        <v>3033</v>
      </c>
      <c r="L269" t="s">
        <v>8313</v>
      </c>
    </row>
    <row r="270" spans="1:12" x14ac:dyDescent="0.35">
      <c r="A270" t="str">
        <f t="shared" si="4"/>
        <v>Other Non-Current Liabilities</v>
      </c>
      <c r="B270" t="s">
        <v>304</v>
      </c>
      <c r="C270" t="s">
        <v>3034</v>
      </c>
      <c r="D270" t="s">
        <v>3035</v>
      </c>
      <c r="E270" t="s">
        <v>3036</v>
      </c>
      <c r="F270" t="s">
        <v>3037</v>
      </c>
      <c r="G270" t="s">
        <v>3038</v>
      </c>
      <c r="H270" t="s">
        <v>3039</v>
      </c>
      <c r="I270" t="s">
        <v>3040</v>
      </c>
      <c r="J270" t="s">
        <v>3041</v>
      </c>
      <c r="K270" t="s">
        <v>3042</v>
      </c>
      <c r="L270" t="s">
        <v>8314</v>
      </c>
    </row>
    <row r="271" spans="1:12" x14ac:dyDescent="0.35">
      <c r="A271" t="str">
        <f t="shared" si="4"/>
        <v>Total Liabilities</v>
      </c>
      <c r="B271" s="19" t="s">
        <v>992</v>
      </c>
      <c r="C271" t="s">
        <v>3043</v>
      </c>
      <c r="D271" t="s">
        <v>3044</v>
      </c>
      <c r="E271" t="s">
        <v>3045</v>
      </c>
      <c r="F271" t="s">
        <v>3046</v>
      </c>
      <c r="G271" t="s">
        <v>3047</v>
      </c>
      <c r="H271" t="s">
        <v>3048</v>
      </c>
      <c r="I271" t="s">
        <v>3049</v>
      </c>
      <c r="J271" t="s">
        <v>3050</v>
      </c>
      <c r="K271" t="s">
        <v>3051</v>
      </c>
      <c r="L271" t="s">
        <v>8315</v>
      </c>
    </row>
    <row r="272" spans="1:12" x14ac:dyDescent="0.35">
      <c r="A272" t="str">
        <f t="shared" si="4"/>
        <v>Pref. Stock, Redeemable</v>
      </c>
      <c r="B272" t="s">
        <v>305</v>
      </c>
      <c r="C272" t="s">
        <v>3052</v>
      </c>
      <c r="D272" t="s">
        <v>3053</v>
      </c>
      <c r="E272" t="s">
        <v>3054</v>
      </c>
      <c r="F272" t="s">
        <v>3055</v>
      </c>
      <c r="G272" t="s">
        <v>3056</v>
      </c>
      <c r="H272" t="s">
        <v>3057</v>
      </c>
      <c r="I272" t="s">
        <v>3058</v>
      </c>
      <c r="J272" t="s">
        <v>3059</v>
      </c>
      <c r="K272" t="s">
        <v>3060</v>
      </c>
      <c r="L272" t="s">
        <v>8316</v>
      </c>
    </row>
    <row r="273" spans="1:12" x14ac:dyDescent="0.35">
      <c r="A273" t="str">
        <f t="shared" si="4"/>
        <v>Pref. Stock, Non-Redeem.</v>
      </c>
      <c r="B273" t="s">
        <v>132</v>
      </c>
      <c r="C273" t="s">
        <v>3061</v>
      </c>
      <c r="D273" t="s">
        <v>3062</v>
      </c>
      <c r="E273" t="s">
        <v>3063</v>
      </c>
      <c r="F273" t="s">
        <v>3064</v>
      </c>
      <c r="G273" t="s">
        <v>3065</v>
      </c>
      <c r="H273" t="s">
        <v>3066</v>
      </c>
      <c r="I273" t="s">
        <v>3067</v>
      </c>
      <c r="J273" t="s">
        <v>3068</v>
      </c>
      <c r="K273" t="s">
        <v>3069</v>
      </c>
      <c r="L273" t="s">
        <v>8317</v>
      </c>
    </row>
    <row r="274" spans="1:12" x14ac:dyDescent="0.35">
      <c r="A274" t="str">
        <f t="shared" si="4"/>
        <v>Pref. Stock, Convertible</v>
      </c>
      <c r="B274" t="s">
        <v>133</v>
      </c>
      <c r="C274" t="s">
        <v>3070</v>
      </c>
      <c r="D274" t="s">
        <v>3071</v>
      </c>
      <c r="E274" t="s">
        <v>3072</v>
      </c>
      <c r="F274" t="s">
        <v>3073</v>
      </c>
      <c r="G274" t="s">
        <v>3074</v>
      </c>
      <c r="H274" t="s">
        <v>3075</v>
      </c>
      <c r="I274" t="s">
        <v>3076</v>
      </c>
      <c r="J274" t="s">
        <v>3077</v>
      </c>
      <c r="K274" t="s">
        <v>3078</v>
      </c>
      <c r="L274" t="s">
        <v>8318</v>
      </c>
    </row>
    <row r="275" spans="1:12" x14ac:dyDescent="0.35">
      <c r="A275" t="str">
        <f t="shared" si="4"/>
        <v>Pref. Stock, Other</v>
      </c>
      <c r="B275" t="s">
        <v>134</v>
      </c>
      <c r="C275" t="s">
        <v>3079</v>
      </c>
      <c r="D275" t="s">
        <v>3080</v>
      </c>
      <c r="E275" t="s">
        <v>3081</v>
      </c>
      <c r="F275" t="s">
        <v>3082</v>
      </c>
      <c r="G275" t="s">
        <v>3083</v>
      </c>
      <c r="H275" t="s">
        <v>3084</v>
      </c>
      <c r="I275" t="s">
        <v>3085</v>
      </c>
      <c r="J275" t="s">
        <v>3086</v>
      </c>
      <c r="K275" t="s">
        <v>3087</v>
      </c>
      <c r="L275" t="s">
        <v>8319</v>
      </c>
    </row>
    <row r="276" spans="1:12" x14ac:dyDescent="0.35">
      <c r="A276" t="str">
        <f t="shared" si="4"/>
        <v>Total Pref. Equity</v>
      </c>
      <c r="B276" s="19" t="s">
        <v>993</v>
      </c>
      <c r="C276" t="s">
        <v>3088</v>
      </c>
      <c r="D276" t="s">
        <v>3089</v>
      </c>
      <c r="E276" t="s">
        <v>3090</v>
      </c>
      <c r="F276" t="s">
        <v>3091</v>
      </c>
      <c r="G276" t="s">
        <v>3092</v>
      </c>
      <c r="H276" t="s">
        <v>3093</v>
      </c>
      <c r="I276" t="s">
        <v>3094</v>
      </c>
      <c r="J276" t="s">
        <v>3095</v>
      </c>
      <c r="K276" t="s">
        <v>3096</v>
      </c>
      <c r="L276" t="s">
        <v>8320</v>
      </c>
    </row>
    <row r="277" spans="1:12" x14ac:dyDescent="0.35">
      <c r="A277" t="str">
        <f t="shared" si="4"/>
        <v>Common Stock</v>
      </c>
      <c r="B277" t="s">
        <v>306</v>
      </c>
      <c r="C277" t="s">
        <v>3097</v>
      </c>
      <c r="D277" t="s">
        <v>3097</v>
      </c>
      <c r="E277" t="s">
        <v>3098</v>
      </c>
      <c r="F277" t="s">
        <v>3099</v>
      </c>
      <c r="G277" t="s">
        <v>3100</v>
      </c>
      <c r="H277" t="s">
        <v>3101</v>
      </c>
      <c r="I277" t="s">
        <v>3102</v>
      </c>
      <c r="J277" t="s">
        <v>3103</v>
      </c>
      <c r="K277" t="s">
        <v>3104</v>
      </c>
      <c r="L277" t="s">
        <v>8321</v>
      </c>
    </row>
    <row r="278" spans="1:12" x14ac:dyDescent="0.35">
      <c r="A278" t="str">
        <f t="shared" si="4"/>
        <v>Additional Paid In Capital</v>
      </c>
      <c r="B278" t="s">
        <v>307</v>
      </c>
      <c r="C278" t="s">
        <v>3105</v>
      </c>
      <c r="D278" t="s">
        <v>3106</v>
      </c>
      <c r="E278" t="s">
        <v>3107</v>
      </c>
      <c r="F278" t="s">
        <v>3108</v>
      </c>
      <c r="G278" t="s">
        <v>3109</v>
      </c>
      <c r="H278" t="s">
        <v>3110</v>
      </c>
      <c r="I278" t="s">
        <v>3111</v>
      </c>
      <c r="J278" t="s">
        <v>3112</v>
      </c>
      <c r="K278" t="s">
        <v>3113</v>
      </c>
      <c r="L278" t="s">
        <v>8322</v>
      </c>
    </row>
    <row r="279" spans="1:12" x14ac:dyDescent="0.35">
      <c r="A279" t="str">
        <f t="shared" si="4"/>
        <v>Retained Earnings</v>
      </c>
      <c r="B279" t="s">
        <v>308</v>
      </c>
      <c r="C279" t="s">
        <v>3114</v>
      </c>
      <c r="D279" t="s">
        <v>3114</v>
      </c>
      <c r="E279" t="s">
        <v>3115</v>
      </c>
      <c r="F279" t="s">
        <v>3116</v>
      </c>
      <c r="G279" t="s">
        <v>3117</v>
      </c>
      <c r="H279" t="s">
        <v>3118</v>
      </c>
      <c r="I279" t="s">
        <v>3119</v>
      </c>
      <c r="J279" t="s">
        <v>3120</v>
      </c>
      <c r="K279" t="s">
        <v>3121</v>
      </c>
      <c r="L279" t="s">
        <v>8323</v>
      </c>
    </row>
    <row r="280" spans="1:12" x14ac:dyDescent="0.35">
      <c r="A280" t="str">
        <f t="shared" si="4"/>
        <v>Treasury Stock</v>
      </c>
      <c r="B280" t="s">
        <v>309</v>
      </c>
      <c r="C280" t="s">
        <v>3122</v>
      </c>
      <c r="D280" t="s">
        <v>3123</v>
      </c>
      <c r="E280" t="s">
        <v>3124</v>
      </c>
      <c r="F280" t="s">
        <v>3125</v>
      </c>
      <c r="G280" t="s">
        <v>3126</v>
      </c>
      <c r="H280" t="s">
        <v>3127</v>
      </c>
      <c r="I280" t="s">
        <v>3128</v>
      </c>
      <c r="J280" t="s">
        <v>3129</v>
      </c>
      <c r="K280" t="s">
        <v>3130</v>
      </c>
      <c r="L280" t="s">
        <v>8324</v>
      </c>
    </row>
    <row r="281" spans="1:12" x14ac:dyDescent="0.35">
      <c r="A281" t="str">
        <f t="shared" si="4"/>
        <v>Comprehensive Inc. and Other</v>
      </c>
      <c r="B281" t="s">
        <v>310</v>
      </c>
      <c r="C281" t="s">
        <v>3131</v>
      </c>
      <c r="D281" t="s">
        <v>3132</v>
      </c>
      <c r="E281" t="s">
        <v>3133</v>
      </c>
      <c r="F281" t="s">
        <v>3134</v>
      </c>
      <c r="G281" t="s">
        <v>3135</v>
      </c>
      <c r="H281" t="s">
        <v>3136</v>
      </c>
      <c r="I281" t="s">
        <v>3137</v>
      </c>
      <c r="J281" t="s">
        <v>3138</v>
      </c>
      <c r="K281" t="s">
        <v>3139</v>
      </c>
      <c r="L281" t="s">
        <v>8325</v>
      </c>
    </row>
    <row r="282" spans="1:12" x14ac:dyDescent="0.35">
      <c r="A282" t="str">
        <f t="shared" si="4"/>
        <v>Total Common Equity</v>
      </c>
      <c r="B282" t="s">
        <v>478</v>
      </c>
      <c r="C282" t="s">
        <v>3140</v>
      </c>
      <c r="D282" t="s">
        <v>3141</v>
      </c>
      <c r="E282" t="s">
        <v>3142</v>
      </c>
      <c r="F282" t="s">
        <v>3143</v>
      </c>
      <c r="G282" t="s">
        <v>3144</v>
      </c>
      <c r="H282" t="s">
        <v>3145</v>
      </c>
      <c r="I282" t="s">
        <v>3146</v>
      </c>
      <c r="J282" t="s">
        <v>3147</v>
      </c>
      <c r="K282" t="s">
        <v>3148</v>
      </c>
      <c r="L282" t="s">
        <v>8326</v>
      </c>
    </row>
    <row r="283" spans="1:12" x14ac:dyDescent="0.35">
      <c r="A283" t="str">
        <f t="shared" si="4"/>
        <v>Minority Interest</v>
      </c>
      <c r="B283" t="s">
        <v>479</v>
      </c>
      <c r="C283" t="s">
        <v>3149</v>
      </c>
      <c r="D283" t="s">
        <v>3150</v>
      </c>
      <c r="E283" t="s">
        <v>3151</v>
      </c>
      <c r="F283" t="s">
        <v>3152</v>
      </c>
      <c r="G283" t="s">
        <v>3153</v>
      </c>
      <c r="H283" t="s">
        <v>3154</v>
      </c>
      <c r="I283" t="s">
        <v>3155</v>
      </c>
      <c r="J283" t="s">
        <v>3156</v>
      </c>
      <c r="K283" t="s">
        <v>3157</v>
      </c>
      <c r="L283" t="s">
        <v>8327</v>
      </c>
    </row>
    <row r="284" spans="1:12" x14ac:dyDescent="0.35">
      <c r="A284" t="str">
        <f t="shared" si="4"/>
        <v>Total Equity</v>
      </c>
      <c r="B284" t="s">
        <v>311</v>
      </c>
      <c r="C284" t="s">
        <v>3158</v>
      </c>
      <c r="D284" t="s">
        <v>3159</v>
      </c>
      <c r="E284" t="s">
        <v>3160</v>
      </c>
      <c r="F284" t="s">
        <v>3161</v>
      </c>
      <c r="G284" t="s">
        <v>3162</v>
      </c>
      <c r="H284" t="s">
        <v>3163</v>
      </c>
      <c r="I284" t="s">
        <v>3164</v>
      </c>
      <c r="J284" t="s">
        <v>3165</v>
      </c>
      <c r="K284" t="s">
        <v>3166</v>
      </c>
      <c r="L284" t="s">
        <v>8328</v>
      </c>
    </row>
    <row r="285" spans="1:12" x14ac:dyDescent="0.35">
      <c r="A285" t="str">
        <f t="shared" si="4"/>
        <v>Total Liabilities And Equity</v>
      </c>
      <c r="B285" t="s">
        <v>312</v>
      </c>
      <c r="C285" t="s">
        <v>3167</v>
      </c>
      <c r="D285" t="s">
        <v>3168</v>
      </c>
      <c r="E285" t="s">
        <v>3169</v>
      </c>
      <c r="F285" t="s">
        <v>3170</v>
      </c>
      <c r="G285" t="s">
        <v>3171</v>
      </c>
      <c r="H285" t="s">
        <v>3172</v>
      </c>
      <c r="I285" t="s">
        <v>3173</v>
      </c>
      <c r="J285" t="s">
        <v>3174</v>
      </c>
      <c r="K285" t="s">
        <v>3175</v>
      </c>
      <c r="L285" t="s">
        <v>8329</v>
      </c>
    </row>
    <row r="286" spans="1:12" x14ac:dyDescent="0.35">
      <c r="A286" t="str">
        <f t="shared" si="4"/>
        <v>IFRS 16 / ASC 842 Items</v>
      </c>
      <c r="B286" t="s">
        <v>954</v>
      </c>
      <c r="C286" t="s">
        <v>3176</v>
      </c>
      <c r="D286" t="s">
        <v>3177</v>
      </c>
      <c r="E286" t="s">
        <v>3178</v>
      </c>
      <c r="F286" t="s">
        <v>3179</v>
      </c>
      <c r="G286" t="s">
        <v>3180</v>
      </c>
      <c r="H286" t="s">
        <v>3181</v>
      </c>
      <c r="I286" t="s">
        <v>3182</v>
      </c>
      <c r="J286" t="s">
        <v>3183</v>
      </c>
      <c r="K286" t="s">
        <v>3184</v>
      </c>
      <c r="L286" t="s">
        <v>8330</v>
      </c>
    </row>
    <row r="287" spans="1:12" x14ac:dyDescent="0.35">
      <c r="A287" t="str">
        <f t="shared" si="4"/>
        <v>Right-of-Use Asset-Gross</v>
      </c>
      <c r="B287" t="s">
        <v>907</v>
      </c>
      <c r="C287" t="s">
        <v>3185</v>
      </c>
      <c r="D287" t="s">
        <v>3186</v>
      </c>
      <c r="E287" t="s">
        <v>3187</v>
      </c>
      <c r="F287" t="s">
        <v>3188</v>
      </c>
      <c r="G287" t="s">
        <v>3189</v>
      </c>
      <c r="H287" t="s">
        <v>3190</v>
      </c>
      <c r="I287" t="s">
        <v>3191</v>
      </c>
      <c r="J287" t="s">
        <v>3192</v>
      </c>
      <c r="K287" t="s">
        <v>3193</v>
      </c>
      <c r="L287" t="s">
        <v>8331</v>
      </c>
    </row>
    <row r="288" spans="1:12" x14ac:dyDescent="0.35">
      <c r="A288" t="str">
        <f t="shared" si="4"/>
        <v>Right-of-Use Asset-Accumulated Depreciation</v>
      </c>
      <c r="B288" t="s">
        <v>908</v>
      </c>
      <c r="C288" t="s">
        <v>3194</v>
      </c>
      <c r="D288" t="s">
        <v>3195</v>
      </c>
      <c r="E288" t="s">
        <v>3196</v>
      </c>
      <c r="F288" t="s">
        <v>3197</v>
      </c>
      <c r="G288" t="s">
        <v>3198</v>
      </c>
      <c r="H288" t="s">
        <v>3199</v>
      </c>
      <c r="I288" t="s">
        <v>3200</v>
      </c>
      <c r="J288" t="s">
        <v>3201</v>
      </c>
      <c r="K288" t="s">
        <v>3202</v>
      </c>
      <c r="L288" t="s">
        <v>8332</v>
      </c>
    </row>
    <row r="289" spans="1:12" x14ac:dyDescent="0.35">
      <c r="A289" t="str">
        <f t="shared" si="4"/>
        <v>Right-of-Use Asset-Net</v>
      </c>
      <c r="B289" t="s">
        <v>909</v>
      </c>
      <c r="C289" t="s">
        <v>3203</v>
      </c>
      <c r="D289" t="s">
        <v>3204</v>
      </c>
      <c r="E289" t="s">
        <v>3205</v>
      </c>
      <c r="F289" t="s">
        <v>3206</v>
      </c>
      <c r="G289" t="s">
        <v>3207</v>
      </c>
      <c r="H289" t="s">
        <v>3208</v>
      </c>
      <c r="I289" t="s">
        <v>3209</v>
      </c>
      <c r="J289" t="s">
        <v>3210</v>
      </c>
      <c r="K289" t="s">
        <v>3211</v>
      </c>
      <c r="L289" t="s">
        <v>8333</v>
      </c>
    </row>
    <row r="290" spans="1:12" x14ac:dyDescent="0.35">
      <c r="A290" t="str">
        <f t="shared" si="4"/>
        <v>Right-of-Use Asset-Capital Lease-Gross</v>
      </c>
      <c r="B290" t="s">
        <v>910</v>
      </c>
      <c r="C290" t="s">
        <v>3212</v>
      </c>
      <c r="D290" t="s">
        <v>3213</v>
      </c>
      <c r="E290" t="s">
        <v>3214</v>
      </c>
      <c r="F290" t="s">
        <v>3215</v>
      </c>
      <c r="G290" t="s">
        <v>3216</v>
      </c>
      <c r="H290" t="s">
        <v>3217</v>
      </c>
      <c r="I290" t="s">
        <v>3218</v>
      </c>
      <c r="J290" t="s">
        <v>3219</v>
      </c>
      <c r="K290" t="s">
        <v>3220</v>
      </c>
      <c r="L290" t="s">
        <v>8334</v>
      </c>
    </row>
    <row r="291" spans="1:12" x14ac:dyDescent="0.35">
      <c r="A291" t="str">
        <f t="shared" si="4"/>
        <v>Right-of-Use Asset-Capital Lease-Accumulated Depreciation</v>
      </c>
      <c r="B291" t="s">
        <v>911</v>
      </c>
      <c r="C291" t="s">
        <v>3221</v>
      </c>
      <c r="D291" t="s">
        <v>3222</v>
      </c>
      <c r="E291" t="s">
        <v>3223</v>
      </c>
      <c r="F291" t="s">
        <v>3224</v>
      </c>
      <c r="G291" t="s">
        <v>3225</v>
      </c>
      <c r="H291" t="s">
        <v>3226</v>
      </c>
      <c r="I291" t="s">
        <v>3227</v>
      </c>
      <c r="J291" t="s">
        <v>3228</v>
      </c>
      <c r="K291" t="s">
        <v>3229</v>
      </c>
      <c r="L291" t="s">
        <v>8335</v>
      </c>
    </row>
    <row r="292" spans="1:12" x14ac:dyDescent="0.35">
      <c r="A292" t="str">
        <f t="shared" si="4"/>
        <v>Right-of-Use Asset-Capital Lease-Net</v>
      </c>
      <c r="B292" t="s">
        <v>912</v>
      </c>
      <c r="C292" t="s">
        <v>3230</v>
      </c>
      <c r="D292" t="s">
        <v>3231</v>
      </c>
      <c r="E292" t="s">
        <v>3232</v>
      </c>
      <c r="F292" t="s">
        <v>3233</v>
      </c>
      <c r="G292" t="s">
        <v>3234</v>
      </c>
      <c r="H292" t="s">
        <v>3235</v>
      </c>
      <c r="I292" t="s">
        <v>3236</v>
      </c>
      <c r="J292" t="s">
        <v>3237</v>
      </c>
      <c r="K292" t="s">
        <v>3238</v>
      </c>
      <c r="L292" t="s">
        <v>8336</v>
      </c>
    </row>
    <row r="293" spans="1:12" x14ac:dyDescent="0.35">
      <c r="A293" t="str">
        <f t="shared" si="4"/>
        <v>Right-of-Use Asset-Operating Lease-Gross</v>
      </c>
      <c r="B293" t="s">
        <v>913</v>
      </c>
      <c r="C293" t="s">
        <v>3239</v>
      </c>
      <c r="D293" t="s">
        <v>3240</v>
      </c>
      <c r="E293" t="s">
        <v>3241</v>
      </c>
      <c r="F293" t="s">
        <v>3242</v>
      </c>
      <c r="G293" t="s">
        <v>3243</v>
      </c>
      <c r="H293" t="s">
        <v>3244</v>
      </c>
      <c r="I293" t="s">
        <v>3245</v>
      </c>
      <c r="J293" t="s">
        <v>3246</v>
      </c>
      <c r="K293" t="s">
        <v>3247</v>
      </c>
      <c r="L293" t="s">
        <v>8337</v>
      </c>
    </row>
    <row r="294" spans="1:12" x14ac:dyDescent="0.35">
      <c r="A294" t="str">
        <f t="shared" si="4"/>
        <v>Right-of-Use Asset-Operating Lease-Accumulated Depreciation</v>
      </c>
      <c r="B294" t="s">
        <v>914</v>
      </c>
      <c r="C294" t="s">
        <v>3248</v>
      </c>
      <c r="D294" t="s">
        <v>3249</v>
      </c>
      <c r="E294" t="s">
        <v>3250</v>
      </c>
      <c r="F294" t="s">
        <v>3251</v>
      </c>
      <c r="G294" t="s">
        <v>3252</v>
      </c>
      <c r="H294" t="s">
        <v>3253</v>
      </c>
      <c r="I294" t="s">
        <v>3254</v>
      </c>
      <c r="J294" t="s">
        <v>3255</v>
      </c>
      <c r="K294" t="s">
        <v>3256</v>
      </c>
      <c r="L294" t="s">
        <v>8338</v>
      </c>
    </row>
    <row r="295" spans="1:12" x14ac:dyDescent="0.35">
      <c r="A295" t="str">
        <f t="shared" si="4"/>
        <v>Right-of-Use Asset-Operating Lease-Net</v>
      </c>
      <c r="B295" t="s">
        <v>915</v>
      </c>
      <c r="C295" t="s">
        <v>3257</v>
      </c>
      <c r="D295" t="s">
        <v>3258</v>
      </c>
      <c r="E295" t="s">
        <v>3259</v>
      </c>
      <c r="F295" t="s">
        <v>3260</v>
      </c>
      <c r="G295" t="s">
        <v>3261</v>
      </c>
      <c r="H295" t="s">
        <v>3262</v>
      </c>
      <c r="I295" t="s">
        <v>3263</v>
      </c>
      <c r="J295" t="s">
        <v>3264</v>
      </c>
      <c r="K295" t="s">
        <v>3265</v>
      </c>
      <c r="L295" t="s">
        <v>8339</v>
      </c>
    </row>
    <row r="296" spans="1:12" x14ac:dyDescent="0.35">
      <c r="A296" t="str">
        <f t="shared" si="4"/>
        <v>Gross PP&amp;E, Excl. Operating Leases</v>
      </c>
      <c r="B296" t="s">
        <v>919</v>
      </c>
      <c r="C296" t="s">
        <v>3266</v>
      </c>
      <c r="D296" t="s">
        <v>3267</v>
      </c>
      <c r="E296" t="s">
        <v>3268</v>
      </c>
      <c r="F296" t="s">
        <v>3269</v>
      </c>
      <c r="G296" t="s">
        <v>3270</v>
      </c>
      <c r="H296" t="s">
        <v>3271</v>
      </c>
      <c r="I296" t="s">
        <v>3272</v>
      </c>
      <c r="J296" t="s">
        <v>3273</v>
      </c>
      <c r="K296" t="s">
        <v>3274</v>
      </c>
      <c r="L296" t="s">
        <v>8340</v>
      </c>
    </row>
    <row r="297" spans="1:12" x14ac:dyDescent="0.35">
      <c r="A297" t="str">
        <f t="shared" si="4"/>
        <v>Accumulated Depreciation, Excl. Operating Leases</v>
      </c>
      <c r="B297" t="s">
        <v>920</v>
      </c>
      <c r="C297" t="s">
        <v>3275</v>
      </c>
      <c r="D297" t="s">
        <v>3276</v>
      </c>
      <c r="E297" t="s">
        <v>3277</v>
      </c>
      <c r="F297" t="s">
        <v>3278</v>
      </c>
      <c r="G297" t="s">
        <v>3279</v>
      </c>
      <c r="H297" t="s">
        <v>3280</v>
      </c>
      <c r="I297" t="s">
        <v>3281</v>
      </c>
      <c r="J297" t="s">
        <v>3282</v>
      </c>
      <c r="K297" t="s">
        <v>3283</v>
      </c>
      <c r="L297" t="s">
        <v>8341</v>
      </c>
    </row>
    <row r="298" spans="1:12" x14ac:dyDescent="0.35">
      <c r="A298" t="str">
        <f t="shared" si="4"/>
        <v>Net PP&amp;E, Excl. Operating Leases</v>
      </c>
      <c r="B298" t="s">
        <v>921</v>
      </c>
      <c r="C298" t="s">
        <v>3284</v>
      </c>
      <c r="D298" t="s">
        <v>3285</v>
      </c>
      <c r="E298" t="s">
        <v>3286</v>
      </c>
      <c r="F298" t="s">
        <v>3287</v>
      </c>
      <c r="G298" t="s">
        <v>3288</v>
      </c>
      <c r="H298" t="s">
        <v>3289</v>
      </c>
      <c r="I298" t="s">
        <v>3290</v>
      </c>
      <c r="J298" t="s">
        <v>3291</v>
      </c>
      <c r="K298" t="s">
        <v>3292</v>
      </c>
      <c r="L298" t="s">
        <v>8342</v>
      </c>
    </row>
    <row r="299" spans="1:12" x14ac:dyDescent="0.35">
      <c r="A299" t="str">
        <f t="shared" si="4"/>
        <v>Finance Leases, Current</v>
      </c>
      <c r="B299" t="s">
        <v>922</v>
      </c>
      <c r="C299" t="s">
        <v>3293</v>
      </c>
      <c r="D299" t="s">
        <v>3294</v>
      </c>
      <c r="E299" t="s">
        <v>3295</v>
      </c>
      <c r="F299" t="s">
        <v>3296</v>
      </c>
      <c r="G299" t="s">
        <v>3297</v>
      </c>
      <c r="H299" t="s">
        <v>3298</v>
      </c>
      <c r="I299" t="s">
        <v>3299</v>
      </c>
      <c r="J299" t="s">
        <v>3300</v>
      </c>
      <c r="K299" t="s">
        <v>3301</v>
      </c>
      <c r="L299" t="s">
        <v>8343</v>
      </c>
    </row>
    <row r="300" spans="1:12" x14ac:dyDescent="0.35">
      <c r="A300" t="str">
        <f t="shared" si="4"/>
        <v>Finance Leases, Long Term</v>
      </c>
      <c r="B300" t="s">
        <v>923</v>
      </c>
      <c r="C300" t="s">
        <v>3302</v>
      </c>
      <c r="D300" t="s">
        <v>3303</v>
      </c>
      <c r="E300" t="s">
        <v>3304</v>
      </c>
      <c r="F300" t="s">
        <v>3305</v>
      </c>
      <c r="G300" t="s">
        <v>3306</v>
      </c>
      <c r="H300" t="s">
        <v>3307</v>
      </c>
      <c r="I300" t="s">
        <v>3308</v>
      </c>
      <c r="J300" t="s">
        <v>3309</v>
      </c>
      <c r="K300" t="s">
        <v>3310</v>
      </c>
      <c r="L300" t="s">
        <v>8344</v>
      </c>
    </row>
    <row r="301" spans="1:12" x14ac:dyDescent="0.35">
      <c r="A301" t="str">
        <f t="shared" si="4"/>
        <v>Total Finance Leases</v>
      </c>
      <c r="B301" t="s">
        <v>924</v>
      </c>
      <c r="C301" t="s">
        <v>3311</v>
      </c>
      <c r="D301" t="s">
        <v>3312</v>
      </c>
      <c r="E301" t="s">
        <v>3313</v>
      </c>
      <c r="F301" t="s">
        <v>3314</v>
      </c>
      <c r="G301" t="s">
        <v>3315</v>
      </c>
      <c r="H301" t="s">
        <v>3316</v>
      </c>
      <c r="I301" t="s">
        <v>3317</v>
      </c>
      <c r="J301" t="s">
        <v>3318</v>
      </c>
      <c r="K301" t="s">
        <v>3319</v>
      </c>
      <c r="L301" t="s">
        <v>8345</v>
      </c>
    </row>
    <row r="302" spans="1:12" x14ac:dyDescent="0.35">
      <c r="A302" t="str">
        <f t="shared" si="4"/>
        <v>Current Portion of Operating Lease Liabilities</v>
      </c>
      <c r="B302" t="s">
        <v>953</v>
      </c>
      <c r="C302" t="s">
        <v>3320</v>
      </c>
      <c r="D302" t="s">
        <v>3321</v>
      </c>
      <c r="E302" t="s">
        <v>3322</v>
      </c>
      <c r="F302" t="s">
        <v>3323</v>
      </c>
      <c r="G302" t="s">
        <v>3324</v>
      </c>
      <c r="H302" t="s">
        <v>3325</v>
      </c>
      <c r="I302" t="s">
        <v>3326</v>
      </c>
      <c r="J302" t="s">
        <v>3327</v>
      </c>
      <c r="K302" t="s">
        <v>3328</v>
      </c>
      <c r="L302" t="s">
        <v>8346</v>
      </c>
    </row>
    <row r="303" spans="1:12" x14ac:dyDescent="0.35">
      <c r="A303" t="str">
        <f t="shared" si="4"/>
        <v>Long-Term Portion of Operating Lease Liabilities</v>
      </c>
      <c r="B303" t="s">
        <v>952</v>
      </c>
      <c r="C303" t="s">
        <v>3329</v>
      </c>
      <c r="D303" t="s">
        <v>3330</v>
      </c>
      <c r="E303" t="s">
        <v>3331</v>
      </c>
      <c r="F303" t="s">
        <v>3332</v>
      </c>
      <c r="G303" t="s">
        <v>3333</v>
      </c>
      <c r="H303" t="s">
        <v>3334</v>
      </c>
      <c r="I303" t="s">
        <v>3335</v>
      </c>
      <c r="J303" t="s">
        <v>3336</v>
      </c>
      <c r="K303" t="s">
        <v>3337</v>
      </c>
      <c r="L303" t="s">
        <v>8347</v>
      </c>
    </row>
    <row r="304" spans="1:12" x14ac:dyDescent="0.35">
      <c r="A304" t="str">
        <f t="shared" si="4"/>
        <v>Total Operating Leases</v>
      </c>
      <c r="B304" t="s">
        <v>925</v>
      </c>
      <c r="C304" t="s">
        <v>3338</v>
      </c>
      <c r="D304" t="s">
        <v>3339</v>
      </c>
      <c r="E304" t="s">
        <v>3340</v>
      </c>
      <c r="F304" t="s">
        <v>3341</v>
      </c>
      <c r="G304" t="s">
        <v>3342</v>
      </c>
      <c r="H304" t="s">
        <v>3343</v>
      </c>
      <c r="I304" t="s">
        <v>3344</v>
      </c>
      <c r="J304" t="s">
        <v>3345</v>
      </c>
      <c r="K304" t="s">
        <v>3346</v>
      </c>
      <c r="L304" t="s">
        <v>8348</v>
      </c>
    </row>
    <row r="305" spans="1:12" x14ac:dyDescent="0.35">
      <c r="A305" t="str">
        <f t="shared" si="4"/>
        <v>Total Leases</v>
      </c>
      <c r="B305" t="s">
        <v>926</v>
      </c>
      <c r="C305" t="s">
        <v>3347</v>
      </c>
      <c r="D305" t="s">
        <v>3348</v>
      </c>
      <c r="E305" t="s">
        <v>3349</v>
      </c>
      <c r="F305" t="s">
        <v>3350</v>
      </c>
      <c r="G305" t="s">
        <v>2656</v>
      </c>
      <c r="H305" t="s">
        <v>3351</v>
      </c>
      <c r="I305" t="s">
        <v>3352</v>
      </c>
      <c r="J305" t="s">
        <v>3353</v>
      </c>
      <c r="K305" t="s">
        <v>3354</v>
      </c>
      <c r="L305" t="s">
        <v>8349</v>
      </c>
    </row>
    <row r="306" spans="1:12" x14ac:dyDescent="0.35">
      <c r="A306" t="str">
        <f t="shared" si="4"/>
        <v>Current Financing Obligations, Excl. Operating Leases</v>
      </c>
      <c r="B306" t="s">
        <v>932</v>
      </c>
      <c r="C306" t="s">
        <v>3355</v>
      </c>
      <c r="D306" t="s">
        <v>3356</v>
      </c>
      <c r="E306" t="s">
        <v>3357</v>
      </c>
      <c r="F306" t="s">
        <v>3358</v>
      </c>
      <c r="G306" t="s">
        <v>3359</v>
      </c>
      <c r="H306" t="s">
        <v>3360</v>
      </c>
      <c r="I306" t="s">
        <v>3361</v>
      </c>
      <c r="J306" t="s">
        <v>3362</v>
      </c>
      <c r="K306" t="s">
        <v>3363</v>
      </c>
      <c r="L306" t="s">
        <v>8350</v>
      </c>
    </row>
    <row r="307" spans="1:12" x14ac:dyDescent="0.35">
      <c r="A307" t="str">
        <f t="shared" si="4"/>
        <v>Non-Current Financing Obligations Excl. Operating Leases</v>
      </c>
      <c r="B307" t="s">
        <v>933</v>
      </c>
      <c r="C307" t="s">
        <v>3364</v>
      </c>
      <c r="D307" t="s">
        <v>3365</v>
      </c>
      <c r="E307" t="s">
        <v>3366</v>
      </c>
      <c r="F307" t="s">
        <v>3367</v>
      </c>
      <c r="G307" t="s">
        <v>3368</v>
      </c>
      <c r="H307" t="s">
        <v>3369</v>
      </c>
      <c r="I307" t="s">
        <v>3370</v>
      </c>
      <c r="J307" t="s">
        <v>3371</v>
      </c>
      <c r="K307" t="s">
        <v>3372</v>
      </c>
      <c r="L307" t="s">
        <v>8351</v>
      </c>
    </row>
    <row r="308" spans="1:12" x14ac:dyDescent="0.35">
      <c r="A308" t="str">
        <f t="shared" si="4"/>
        <v>Total Debt, Excl. Operating Leases</v>
      </c>
      <c r="B308" t="s">
        <v>927</v>
      </c>
      <c r="C308" t="s">
        <v>3373</v>
      </c>
      <c r="D308" t="s">
        <v>3374</v>
      </c>
      <c r="E308" t="s">
        <v>3375</v>
      </c>
      <c r="F308" t="s">
        <v>3376</v>
      </c>
      <c r="G308" t="s">
        <v>3377</v>
      </c>
      <c r="H308" t="s">
        <v>3378</v>
      </c>
      <c r="I308" t="s">
        <v>3379</v>
      </c>
      <c r="J308" t="s">
        <v>3380</v>
      </c>
      <c r="K308" t="s">
        <v>3381</v>
      </c>
      <c r="L308" t="s">
        <v>8352</v>
      </c>
    </row>
    <row r="309" spans="1:12" x14ac:dyDescent="0.35">
      <c r="A309" t="str">
        <f t="shared" si="4"/>
        <v>Total Debt, Excl. Leases</v>
      </c>
      <c r="B309" t="s">
        <v>928</v>
      </c>
      <c r="C309" t="s">
        <v>3382</v>
      </c>
      <c r="D309" t="s">
        <v>3383</v>
      </c>
      <c r="E309" t="s">
        <v>3384</v>
      </c>
      <c r="F309" t="s">
        <v>3385</v>
      </c>
      <c r="G309" t="s">
        <v>3386</v>
      </c>
      <c r="H309" t="s">
        <v>3387</v>
      </c>
      <c r="I309" t="s">
        <v>3388</v>
      </c>
      <c r="J309" t="s">
        <v>3389</v>
      </c>
      <c r="K309" t="s">
        <v>3390</v>
      </c>
      <c r="L309" t="s">
        <v>8353</v>
      </c>
    </row>
    <row r="310" spans="1:12" x14ac:dyDescent="0.35">
      <c r="A310" t="str">
        <f t="shared" si="4"/>
        <v>Total Shares Out. on Filing Cover</v>
      </c>
      <c r="B310" t="s">
        <v>313</v>
      </c>
      <c r="C310" t="s">
        <v>8920</v>
      </c>
      <c r="D310" t="s">
        <v>8921</v>
      </c>
      <c r="E310" t="s">
        <v>8922</v>
      </c>
      <c r="F310" t="s">
        <v>8923</v>
      </c>
      <c r="G310" t="s">
        <v>8924</v>
      </c>
      <c r="H310" t="s">
        <v>8925</v>
      </c>
      <c r="I310" t="s">
        <v>8926</v>
      </c>
      <c r="J310" t="s">
        <v>8927</v>
      </c>
      <c r="K310" t="s">
        <v>8928</v>
      </c>
      <c r="L310" t="s">
        <v>10920</v>
      </c>
    </row>
    <row r="311" spans="1:12" x14ac:dyDescent="0.35">
      <c r="A311" t="str">
        <f t="shared" si="4"/>
        <v>Total Shares Out. on Balance Sheet Date</v>
      </c>
      <c r="B311" t="s">
        <v>362</v>
      </c>
      <c r="C311" t="s">
        <v>3391</v>
      </c>
      <c r="D311" t="s">
        <v>3392</v>
      </c>
      <c r="E311" t="s">
        <v>3393</v>
      </c>
      <c r="F311" t="s">
        <v>3394</v>
      </c>
      <c r="G311" t="s">
        <v>3395</v>
      </c>
      <c r="H311" t="s">
        <v>3396</v>
      </c>
      <c r="I311" t="s">
        <v>3397</v>
      </c>
      <c r="J311" t="s">
        <v>3398</v>
      </c>
      <c r="K311" t="s">
        <v>3399</v>
      </c>
      <c r="L311" t="s">
        <v>8354</v>
      </c>
    </row>
    <row r="312" spans="1:12" x14ac:dyDescent="0.35">
      <c r="A312" t="str">
        <f t="shared" si="4"/>
        <v>Book Value/Share</v>
      </c>
      <c r="B312" t="s">
        <v>851</v>
      </c>
      <c r="C312" t="s">
        <v>3400</v>
      </c>
      <c r="D312" t="s">
        <v>3401</v>
      </c>
      <c r="E312" t="s">
        <v>3402</v>
      </c>
      <c r="F312" t="s">
        <v>3403</v>
      </c>
      <c r="G312" t="s">
        <v>3404</v>
      </c>
      <c r="H312" t="s">
        <v>3405</v>
      </c>
      <c r="I312" t="s">
        <v>3406</v>
      </c>
      <c r="J312" t="s">
        <v>3407</v>
      </c>
      <c r="K312" t="s">
        <v>3408</v>
      </c>
      <c r="L312" t="s">
        <v>8355</v>
      </c>
    </row>
    <row r="313" spans="1:12" x14ac:dyDescent="0.35">
      <c r="A313" t="str">
        <f t="shared" si="4"/>
        <v>Book Value/Share (Reported)</v>
      </c>
      <c r="B313" t="s">
        <v>417</v>
      </c>
      <c r="C313" t="s">
        <v>3409</v>
      </c>
      <c r="D313" t="s">
        <v>3410</v>
      </c>
      <c r="E313" t="s">
        <v>3411</v>
      </c>
      <c r="F313" t="s">
        <v>3412</v>
      </c>
      <c r="G313" t="s">
        <v>3413</v>
      </c>
      <c r="H313" t="s">
        <v>3414</v>
      </c>
      <c r="I313" t="s">
        <v>3415</v>
      </c>
      <c r="J313" t="s">
        <v>3416</v>
      </c>
      <c r="K313" t="s">
        <v>3417</v>
      </c>
      <c r="L313" t="s">
        <v>8356</v>
      </c>
    </row>
    <row r="314" spans="1:12" x14ac:dyDescent="0.35">
      <c r="A314" t="str">
        <f t="shared" si="4"/>
        <v>Tangible Book Value/Share</v>
      </c>
      <c r="B314" t="s">
        <v>626</v>
      </c>
      <c r="C314" t="s">
        <v>3418</v>
      </c>
      <c r="D314" t="s">
        <v>3419</v>
      </c>
      <c r="E314" t="s">
        <v>3420</v>
      </c>
      <c r="F314" t="s">
        <v>3421</v>
      </c>
      <c r="G314" t="s">
        <v>3422</v>
      </c>
      <c r="H314" t="s">
        <v>3423</v>
      </c>
      <c r="I314" t="s">
        <v>3424</v>
      </c>
      <c r="J314" t="s">
        <v>3425</v>
      </c>
      <c r="K314" t="s">
        <v>3426</v>
      </c>
      <c r="L314" t="s">
        <v>8357</v>
      </c>
    </row>
    <row r="315" spans="1:12" x14ac:dyDescent="0.35">
      <c r="A315" t="str">
        <f t="shared" si="4"/>
        <v>Tangible Book Value Per Share (Reported)</v>
      </c>
      <c r="B315" t="s">
        <v>269</v>
      </c>
      <c r="C315" t="s">
        <v>3427</v>
      </c>
      <c r="D315" t="s">
        <v>3428</v>
      </c>
      <c r="E315" t="s">
        <v>3429</v>
      </c>
      <c r="F315" t="s">
        <v>3430</v>
      </c>
      <c r="G315" t="s">
        <v>3431</v>
      </c>
      <c r="H315" t="s">
        <v>3432</v>
      </c>
      <c r="I315" t="s">
        <v>3433</v>
      </c>
      <c r="J315" t="s">
        <v>3434</v>
      </c>
      <c r="K315" t="s">
        <v>3435</v>
      </c>
      <c r="L315" t="s">
        <v>8358</v>
      </c>
    </row>
    <row r="316" spans="1:12" x14ac:dyDescent="0.35">
      <c r="A316" t="str">
        <f t="shared" si="4"/>
        <v>Tangible Book Value</v>
      </c>
      <c r="B316" t="s">
        <v>363</v>
      </c>
      <c r="C316" t="s">
        <v>3436</v>
      </c>
      <c r="D316" t="s">
        <v>3437</v>
      </c>
      <c r="E316" t="s">
        <v>3438</v>
      </c>
      <c r="F316" t="s">
        <v>3439</v>
      </c>
      <c r="G316" t="s">
        <v>3440</v>
      </c>
      <c r="H316" t="s">
        <v>3441</v>
      </c>
      <c r="I316" t="s">
        <v>3442</v>
      </c>
      <c r="J316" t="s">
        <v>3443</v>
      </c>
      <c r="K316" t="s">
        <v>3444</v>
      </c>
      <c r="L316" t="s">
        <v>8359</v>
      </c>
    </row>
    <row r="317" spans="1:12" x14ac:dyDescent="0.35">
      <c r="A317" t="str">
        <f t="shared" si="4"/>
        <v>Total Intangibles</v>
      </c>
      <c r="B317" t="s">
        <v>270</v>
      </c>
      <c r="C317" t="s">
        <v>3445</v>
      </c>
      <c r="D317" t="s">
        <v>3446</v>
      </c>
      <c r="E317" t="s">
        <v>3447</v>
      </c>
      <c r="F317" t="s">
        <v>3448</v>
      </c>
      <c r="G317" t="s">
        <v>3449</v>
      </c>
      <c r="H317" t="s">
        <v>3450</v>
      </c>
      <c r="I317" t="s">
        <v>3451</v>
      </c>
      <c r="J317" t="s">
        <v>3452</v>
      </c>
      <c r="K317" t="s">
        <v>3453</v>
      </c>
      <c r="L317" t="s">
        <v>8360</v>
      </c>
    </row>
    <row r="318" spans="1:12" x14ac:dyDescent="0.35">
      <c r="A318" t="str">
        <f t="shared" ref="A318:A381" si="5">INDEX($B318:$CW318,,$A$5)</f>
        <v>Cash per Share</v>
      </c>
      <c r="B318" t="s">
        <v>627</v>
      </c>
      <c r="C318" t="s">
        <v>3454</v>
      </c>
      <c r="D318" t="s">
        <v>3455</v>
      </c>
      <c r="E318" t="s">
        <v>3456</v>
      </c>
      <c r="F318" t="s">
        <v>3457</v>
      </c>
      <c r="G318" t="s">
        <v>3458</v>
      </c>
      <c r="H318" t="s">
        <v>3459</v>
      </c>
      <c r="I318" t="s">
        <v>3460</v>
      </c>
      <c r="J318" t="s">
        <v>3461</v>
      </c>
      <c r="K318" t="s">
        <v>3462</v>
      </c>
      <c r="L318" t="s">
        <v>8361</v>
      </c>
    </row>
    <row r="319" spans="1:12" x14ac:dyDescent="0.35">
      <c r="A319" t="str">
        <f t="shared" si="5"/>
        <v>Total Debt</v>
      </c>
      <c r="B319" t="s">
        <v>364</v>
      </c>
      <c r="C319" t="s">
        <v>3463</v>
      </c>
      <c r="D319" t="s">
        <v>3464</v>
      </c>
      <c r="E319" t="s">
        <v>3465</v>
      </c>
      <c r="F319" t="s">
        <v>3466</v>
      </c>
      <c r="G319" t="s">
        <v>3467</v>
      </c>
      <c r="H319" t="s">
        <v>3468</v>
      </c>
      <c r="I319" t="s">
        <v>3469</v>
      </c>
      <c r="J319" t="s">
        <v>3470</v>
      </c>
      <c r="K319" t="s">
        <v>3471</v>
      </c>
      <c r="L319" t="s">
        <v>8362</v>
      </c>
    </row>
    <row r="320" spans="1:12" x14ac:dyDescent="0.35">
      <c r="A320" t="str">
        <f t="shared" si="5"/>
        <v>Total Debt Current</v>
      </c>
      <c r="B320" t="s">
        <v>221</v>
      </c>
      <c r="C320" t="s">
        <v>3472</v>
      </c>
      <c r="D320" t="s">
        <v>3473</v>
      </c>
      <c r="E320" t="s">
        <v>3474</v>
      </c>
      <c r="F320" t="s">
        <v>3475</v>
      </c>
      <c r="G320" t="s">
        <v>3476</v>
      </c>
      <c r="H320" t="s">
        <v>3477</v>
      </c>
      <c r="I320" t="s">
        <v>3478</v>
      </c>
      <c r="J320" t="s">
        <v>3479</v>
      </c>
      <c r="K320" t="s">
        <v>3480</v>
      </c>
      <c r="L320" t="s">
        <v>8363</v>
      </c>
    </row>
    <row r="321" spans="1:12" x14ac:dyDescent="0.35">
      <c r="A321" t="str">
        <f t="shared" si="5"/>
        <v>Total Non-Current Debt</v>
      </c>
      <c r="B321" t="s">
        <v>998</v>
      </c>
      <c r="C321" t="s">
        <v>3481</v>
      </c>
      <c r="D321" t="s">
        <v>3482</v>
      </c>
      <c r="E321" t="s">
        <v>3483</v>
      </c>
      <c r="F321" t="s">
        <v>3484</v>
      </c>
      <c r="G321" t="s">
        <v>3485</v>
      </c>
      <c r="H321" t="s">
        <v>3486</v>
      </c>
      <c r="I321" t="s">
        <v>3487</v>
      </c>
      <c r="J321" t="s">
        <v>3488</v>
      </c>
      <c r="K321" t="s">
        <v>3489</v>
      </c>
      <c r="L321" t="s">
        <v>8364</v>
      </c>
    </row>
    <row r="322" spans="1:12" x14ac:dyDescent="0.35">
      <c r="A322" t="str">
        <f t="shared" si="5"/>
        <v>Net Debt</v>
      </c>
      <c r="B322" t="s">
        <v>365</v>
      </c>
      <c r="C322" t="s">
        <v>3490</v>
      </c>
      <c r="D322" t="s">
        <v>3491</v>
      </c>
      <c r="E322" t="s">
        <v>3492</v>
      </c>
      <c r="F322" t="s">
        <v>3493</v>
      </c>
      <c r="G322" t="s">
        <v>3494</v>
      </c>
      <c r="H322" t="s">
        <v>3495</v>
      </c>
      <c r="I322" t="s">
        <v>3496</v>
      </c>
      <c r="J322" t="s">
        <v>3497</v>
      </c>
      <c r="K322" t="s">
        <v>3498</v>
      </c>
      <c r="L322" t="s">
        <v>8365</v>
      </c>
    </row>
    <row r="323" spans="1:12" x14ac:dyDescent="0.35">
      <c r="A323" t="str">
        <f t="shared" si="5"/>
        <v>Minority Interest, Total</v>
      </c>
      <c r="B323" t="s">
        <v>628</v>
      </c>
      <c r="C323" t="s">
        <v>3499</v>
      </c>
      <c r="D323" t="s">
        <v>3500</v>
      </c>
      <c r="E323" t="s">
        <v>3501</v>
      </c>
      <c r="F323" t="s">
        <v>3502</v>
      </c>
      <c r="G323" t="s">
        <v>3503</v>
      </c>
      <c r="H323" t="s">
        <v>3154</v>
      </c>
      <c r="I323" t="s">
        <v>3504</v>
      </c>
      <c r="J323" t="s">
        <v>3505</v>
      </c>
      <c r="K323" t="s">
        <v>3506</v>
      </c>
      <c r="L323" t="s">
        <v>8366</v>
      </c>
    </row>
    <row r="324" spans="1:12" x14ac:dyDescent="0.35">
      <c r="A324" t="str">
        <f t="shared" si="5"/>
        <v>Total Capitalization</v>
      </c>
      <c r="B324" t="s">
        <v>135</v>
      </c>
      <c r="C324" t="s">
        <v>3507</v>
      </c>
      <c r="D324" t="s">
        <v>3508</v>
      </c>
      <c r="E324" t="s">
        <v>3509</v>
      </c>
      <c r="F324" t="s">
        <v>3510</v>
      </c>
      <c r="G324" t="s">
        <v>3511</v>
      </c>
      <c r="H324" t="s">
        <v>3512</v>
      </c>
      <c r="I324" t="s">
        <v>3513</v>
      </c>
      <c r="J324" t="s">
        <v>3514</v>
      </c>
      <c r="K324" t="s">
        <v>3515</v>
      </c>
      <c r="L324" t="s">
        <v>8367</v>
      </c>
    </row>
    <row r="325" spans="1:12" x14ac:dyDescent="0.35">
      <c r="A325" t="str">
        <f t="shared" si="5"/>
        <v>Working Capital</v>
      </c>
      <c r="B325" t="s">
        <v>581</v>
      </c>
      <c r="C325" t="s">
        <v>3516</v>
      </c>
      <c r="D325" t="s">
        <v>3517</v>
      </c>
      <c r="E325" t="s">
        <v>3518</v>
      </c>
      <c r="F325" t="s">
        <v>3519</v>
      </c>
      <c r="G325" t="s">
        <v>3520</v>
      </c>
      <c r="H325" t="s">
        <v>3521</v>
      </c>
      <c r="I325" t="s">
        <v>3522</v>
      </c>
      <c r="J325" t="s">
        <v>3523</v>
      </c>
      <c r="K325" t="s">
        <v>3524</v>
      </c>
      <c r="L325" t="s">
        <v>8368</v>
      </c>
    </row>
    <row r="326" spans="1:12" x14ac:dyDescent="0.35">
      <c r="A326" t="str">
        <f t="shared" si="5"/>
        <v>Net Working Capital</v>
      </c>
      <c r="B326" t="s">
        <v>629</v>
      </c>
      <c r="C326" t="s">
        <v>3525</v>
      </c>
      <c r="D326" t="s">
        <v>3526</v>
      </c>
      <c r="E326" t="s">
        <v>3527</v>
      </c>
      <c r="F326" t="s">
        <v>3528</v>
      </c>
      <c r="G326" t="s">
        <v>3529</v>
      </c>
      <c r="H326" t="s">
        <v>3530</v>
      </c>
      <c r="I326" t="s">
        <v>3531</v>
      </c>
      <c r="J326" t="s">
        <v>3532</v>
      </c>
      <c r="K326" t="s">
        <v>3533</v>
      </c>
      <c r="L326" t="s">
        <v>8369</v>
      </c>
    </row>
    <row r="327" spans="1:12" x14ac:dyDescent="0.35">
      <c r="A327" t="str">
        <f t="shared" si="5"/>
        <v>Equity Method Investments</v>
      </c>
      <c r="B327" t="s">
        <v>366</v>
      </c>
      <c r="C327" t="s">
        <v>3534</v>
      </c>
      <c r="D327" t="s">
        <v>3535</v>
      </c>
      <c r="E327" t="s">
        <v>3536</v>
      </c>
      <c r="F327" t="s">
        <v>3537</v>
      </c>
      <c r="G327" t="s">
        <v>3538</v>
      </c>
      <c r="H327" t="s">
        <v>3539</v>
      </c>
      <c r="I327" t="s">
        <v>3540</v>
      </c>
      <c r="J327" t="s">
        <v>3541</v>
      </c>
      <c r="K327" t="s">
        <v>3542</v>
      </c>
      <c r="L327" t="s">
        <v>8370</v>
      </c>
    </row>
    <row r="328" spans="1:12" x14ac:dyDescent="0.35">
      <c r="A328" t="str">
        <f t="shared" si="5"/>
        <v>Accounts Receivables - Unbilled</v>
      </c>
      <c r="B328" t="s">
        <v>87</v>
      </c>
      <c r="C328" t="s">
        <v>3543</v>
      </c>
      <c r="D328" t="s">
        <v>3544</v>
      </c>
      <c r="E328" t="s">
        <v>3545</v>
      </c>
      <c r="F328" t="s">
        <v>3546</v>
      </c>
      <c r="G328" t="s">
        <v>3547</v>
      </c>
      <c r="H328" t="s">
        <v>3548</v>
      </c>
      <c r="I328" t="s">
        <v>3549</v>
      </c>
      <c r="J328" t="s">
        <v>3550</v>
      </c>
      <c r="K328" t="s">
        <v>3551</v>
      </c>
      <c r="L328" t="s">
        <v>8371</v>
      </c>
    </row>
    <row r="329" spans="1:12" x14ac:dyDescent="0.35">
      <c r="A329" t="str">
        <f t="shared" si="5"/>
        <v>Inventory Method</v>
      </c>
      <c r="B329" t="s">
        <v>367</v>
      </c>
      <c r="C329" t="s">
        <v>3552</v>
      </c>
      <c r="D329" t="s">
        <v>3553</v>
      </c>
      <c r="E329" t="s">
        <v>3554</v>
      </c>
      <c r="F329" t="s">
        <v>3555</v>
      </c>
      <c r="G329" t="s">
        <v>3556</v>
      </c>
      <c r="H329" t="s">
        <v>3557</v>
      </c>
      <c r="I329" t="s">
        <v>3558</v>
      </c>
      <c r="J329" t="s">
        <v>3559</v>
      </c>
      <c r="K329" t="s">
        <v>3560</v>
      </c>
      <c r="L329" t="s">
        <v>8372</v>
      </c>
    </row>
    <row r="330" spans="1:12" x14ac:dyDescent="0.35">
      <c r="A330" t="str">
        <f t="shared" si="5"/>
        <v>LIFO Reserve</v>
      </c>
      <c r="B330" t="s">
        <v>368</v>
      </c>
      <c r="C330" t="s">
        <v>3561</v>
      </c>
      <c r="D330" t="s">
        <v>3562</v>
      </c>
      <c r="E330" t="s">
        <v>3563</v>
      </c>
      <c r="F330" t="s">
        <v>3564</v>
      </c>
      <c r="G330" t="s">
        <v>3565</v>
      </c>
      <c r="H330" t="s">
        <v>3566</v>
      </c>
      <c r="I330" t="s">
        <v>3567</v>
      </c>
      <c r="J330" t="s">
        <v>3568</v>
      </c>
      <c r="K330" t="s">
        <v>3569</v>
      </c>
      <c r="L330" t="s">
        <v>8373</v>
      </c>
    </row>
    <row r="331" spans="1:12" x14ac:dyDescent="0.35">
      <c r="A331" t="str">
        <f t="shared" si="5"/>
        <v>Raw Materials Inventory</v>
      </c>
      <c r="B331" t="s">
        <v>369</v>
      </c>
      <c r="C331" t="s">
        <v>3570</v>
      </c>
      <c r="D331" t="s">
        <v>3571</v>
      </c>
      <c r="E331" t="s">
        <v>3572</v>
      </c>
      <c r="F331" t="s">
        <v>3573</v>
      </c>
      <c r="G331" t="s">
        <v>3574</v>
      </c>
      <c r="H331" t="s">
        <v>3575</v>
      </c>
      <c r="I331" t="s">
        <v>3576</v>
      </c>
      <c r="J331" t="s">
        <v>3577</v>
      </c>
      <c r="K331" t="s">
        <v>3578</v>
      </c>
      <c r="L331" t="s">
        <v>8374</v>
      </c>
    </row>
    <row r="332" spans="1:12" x14ac:dyDescent="0.35">
      <c r="A332" t="str">
        <f t="shared" si="5"/>
        <v>Work in Progress Inventory</v>
      </c>
      <c r="B332" t="s">
        <v>370</v>
      </c>
      <c r="C332" t="s">
        <v>3579</v>
      </c>
      <c r="D332" t="s">
        <v>3580</v>
      </c>
      <c r="E332" t="s">
        <v>3581</v>
      </c>
      <c r="F332" t="s">
        <v>3582</v>
      </c>
      <c r="G332" t="s">
        <v>3583</v>
      </c>
      <c r="H332" t="s">
        <v>3584</v>
      </c>
      <c r="I332" t="s">
        <v>3585</v>
      </c>
      <c r="J332" t="s">
        <v>3586</v>
      </c>
      <c r="K332" t="s">
        <v>3587</v>
      </c>
      <c r="L332" t="s">
        <v>8375</v>
      </c>
    </row>
    <row r="333" spans="1:12" x14ac:dyDescent="0.35">
      <c r="A333" t="str">
        <f t="shared" si="5"/>
        <v>Finished Goods Inventory</v>
      </c>
      <c r="B333" t="s">
        <v>371</v>
      </c>
      <c r="C333" t="s">
        <v>3588</v>
      </c>
      <c r="D333" t="s">
        <v>3589</v>
      </c>
      <c r="E333" t="s">
        <v>3590</v>
      </c>
      <c r="F333" t="s">
        <v>3591</v>
      </c>
      <c r="G333" t="s">
        <v>3592</v>
      </c>
      <c r="H333" t="s">
        <v>3593</v>
      </c>
      <c r="I333" t="s">
        <v>3594</v>
      </c>
      <c r="J333" t="s">
        <v>3595</v>
      </c>
      <c r="K333" t="s">
        <v>3596</v>
      </c>
      <c r="L333" t="s">
        <v>8376</v>
      </c>
    </row>
    <row r="334" spans="1:12" x14ac:dyDescent="0.35">
      <c r="A334" t="str">
        <f t="shared" si="5"/>
        <v>Other Inventory Accounts</v>
      </c>
      <c r="B334" t="s">
        <v>630</v>
      </c>
      <c r="C334" t="s">
        <v>3597</v>
      </c>
      <c r="D334" t="s">
        <v>3598</v>
      </c>
      <c r="E334" t="s">
        <v>3599</v>
      </c>
      <c r="F334" t="s">
        <v>3600</v>
      </c>
      <c r="G334" t="s">
        <v>3601</v>
      </c>
      <c r="H334" t="s">
        <v>3602</v>
      </c>
      <c r="I334" t="s">
        <v>3603</v>
      </c>
      <c r="J334" t="s">
        <v>3604</v>
      </c>
      <c r="K334" t="s">
        <v>3605</v>
      </c>
      <c r="L334" t="s">
        <v>8377</v>
      </c>
    </row>
    <row r="335" spans="1:12" x14ac:dyDescent="0.35">
      <c r="A335" t="str">
        <f t="shared" si="5"/>
        <v>Land</v>
      </c>
      <c r="B335" t="s">
        <v>372</v>
      </c>
      <c r="C335" t="s">
        <v>3606</v>
      </c>
      <c r="D335" t="s">
        <v>3606</v>
      </c>
      <c r="E335" t="s">
        <v>3607</v>
      </c>
      <c r="F335" t="s">
        <v>372</v>
      </c>
      <c r="G335" t="s">
        <v>3608</v>
      </c>
      <c r="H335" t="s">
        <v>3606</v>
      </c>
      <c r="I335" t="s">
        <v>3609</v>
      </c>
      <c r="J335" t="s">
        <v>3610</v>
      </c>
      <c r="K335" t="s">
        <v>3611</v>
      </c>
      <c r="L335" t="s">
        <v>8378</v>
      </c>
    </row>
    <row r="336" spans="1:12" x14ac:dyDescent="0.35">
      <c r="A336" t="str">
        <f t="shared" si="5"/>
        <v>Buildings</v>
      </c>
      <c r="B336" t="s">
        <v>373</v>
      </c>
      <c r="C336" t="s">
        <v>3612</v>
      </c>
      <c r="D336" t="s">
        <v>3613</v>
      </c>
      <c r="E336" t="s">
        <v>3614</v>
      </c>
      <c r="F336" t="s">
        <v>3615</v>
      </c>
      <c r="G336" t="s">
        <v>3616</v>
      </c>
      <c r="H336" t="s">
        <v>3617</v>
      </c>
      <c r="I336" t="s">
        <v>3618</v>
      </c>
      <c r="J336" t="s">
        <v>3619</v>
      </c>
      <c r="K336" t="s">
        <v>3620</v>
      </c>
      <c r="L336" t="s">
        <v>8379</v>
      </c>
    </row>
    <row r="337" spans="1:12" x14ac:dyDescent="0.35">
      <c r="A337" t="str">
        <f t="shared" si="5"/>
        <v>Machinery</v>
      </c>
      <c r="B337" t="s">
        <v>374</v>
      </c>
      <c r="C337" t="s">
        <v>3621</v>
      </c>
      <c r="D337" t="s">
        <v>3622</v>
      </c>
      <c r="E337" t="s">
        <v>3623</v>
      </c>
      <c r="F337" t="s">
        <v>3624</v>
      </c>
      <c r="G337" t="s">
        <v>3625</v>
      </c>
      <c r="H337" t="s">
        <v>3626</v>
      </c>
      <c r="I337" t="s">
        <v>3627</v>
      </c>
      <c r="J337" t="s">
        <v>3628</v>
      </c>
      <c r="K337" t="s">
        <v>3629</v>
      </c>
      <c r="L337" t="s">
        <v>8380</v>
      </c>
    </row>
    <row r="338" spans="1:12" x14ac:dyDescent="0.35">
      <c r="A338" t="str">
        <f t="shared" si="5"/>
        <v>Capitalized/Purchased Software</v>
      </c>
      <c r="B338" t="s">
        <v>526</v>
      </c>
      <c r="C338" t="s">
        <v>3630</v>
      </c>
      <c r="D338" t="s">
        <v>3631</v>
      </c>
      <c r="E338" t="s">
        <v>3632</v>
      </c>
      <c r="F338" t="s">
        <v>3633</v>
      </c>
      <c r="G338" t="s">
        <v>3634</v>
      </c>
      <c r="H338" t="s">
        <v>3635</v>
      </c>
      <c r="I338" t="s">
        <v>3636</v>
      </c>
      <c r="J338" t="s">
        <v>3637</v>
      </c>
      <c r="K338" t="s">
        <v>3638</v>
      </c>
      <c r="L338" t="s">
        <v>8381</v>
      </c>
    </row>
    <row r="339" spans="1:12" x14ac:dyDescent="0.35">
      <c r="A339" t="str">
        <f t="shared" si="5"/>
        <v>Natural Resources, at Cost</v>
      </c>
      <c r="B339" t="s">
        <v>999</v>
      </c>
      <c r="C339" t="s">
        <v>3639</v>
      </c>
      <c r="D339" t="s">
        <v>3640</v>
      </c>
      <c r="E339" t="s">
        <v>3641</v>
      </c>
      <c r="F339" t="s">
        <v>3642</v>
      </c>
      <c r="G339" t="s">
        <v>3643</v>
      </c>
      <c r="H339" t="s">
        <v>3644</v>
      </c>
      <c r="I339" t="s">
        <v>3645</v>
      </c>
      <c r="J339" t="s">
        <v>3646</v>
      </c>
      <c r="K339" t="s">
        <v>3647</v>
      </c>
      <c r="L339" t="s">
        <v>8382</v>
      </c>
    </row>
    <row r="340" spans="1:12" x14ac:dyDescent="0.35">
      <c r="A340" t="str">
        <f t="shared" si="5"/>
        <v>Construction in Progress</v>
      </c>
      <c r="B340" t="s">
        <v>273</v>
      </c>
      <c r="C340" t="s">
        <v>3648</v>
      </c>
      <c r="D340" t="s">
        <v>3648</v>
      </c>
      <c r="E340" t="s">
        <v>3649</v>
      </c>
      <c r="F340" t="s">
        <v>3650</v>
      </c>
      <c r="G340" t="s">
        <v>3651</v>
      </c>
      <c r="H340" t="s">
        <v>3652</v>
      </c>
      <c r="I340" t="s">
        <v>3653</v>
      </c>
      <c r="J340" t="s">
        <v>3654</v>
      </c>
      <c r="K340" t="s">
        <v>3655</v>
      </c>
      <c r="L340" t="s">
        <v>8383</v>
      </c>
    </row>
    <row r="341" spans="1:12" x14ac:dyDescent="0.35">
      <c r="A341" t="str">
        <f t="shared" si="5"/>
        <v>Leasehold Improvements</v>
      </c>
      <c r="B341" t="s">
        <v>274</v>
      </c>
      <c r="C341" t="s">
        <v>3656</v>
      </c>
      <c r="D341" t="s">
        <v>3657</v>
      </c>
      <c r="E341" t="s">
        <v>3658</v>
      </c>
      <c r="F341" t="s">
        <v>3659</v>
      </c>
      <c r="G341" t="s">
        <v>3660</v>
      </c>
      <c r="H341" t="s">
        <v>3661</v>
      </c>
      <c r="I341" t="s">
        <v>3662</v>
      </c>
      <c r="J341" t="s">
        <v>3663</v>
      </c>
      <c r="K341" t="s">
        <v>3664</v>
      </c>
      <c r="L341" t="s">
        <v>8384</v>
      </c>
    </row>
    <row r="342" spans="1:12" x14ac:dyDescent="0.35">
      <c r="A342" t="str">
        <f t="shared" si="5"/>
        <v>Redeemable Minority Interest</v>
      </c>
      <c r="B342" t="s">
        <v>656</v>
      </c>
      <c r="C342" t="s">
        <v>3665</v>
      </c>
      <c r="D342" t="s">
        <v>3666</v>
      </c>
      <c r="E342" t="s">
        <v>3667</v>
      </c>
      <c r="F342" t="s">
        <v>3668</v>
      </c>
      <c r="G342" t="s">
        <v>3669</v>
      </c>
      <c r="H342" t="s">
        <v>3670</v>
      </c>
      <c r="I342" t="s">
        <v>3671</v>
      </c>
      <c r="J342" t="s">
        <v>3672</v>
      </c>
      <c r="K342" t="s">
        <v>3673</v>
      </c>
      <c r="L342" t="s">
        <v>8385</v>
      </c>
    </row>
    <row r="343" spans="1:12" x14ac:dyDescent="0.35">
      <c r="A343" t="str">
        <f t="shared" si="5"/>
        <v>Finance Division Redeemable Minority Interest</v>
      </c>
      <c r="B343" t="s">
        <v>657</v>
      </c>
      <c r="C343" t="s">
        <v>3674</v>
      </c>
      <c r="D343" t="s">
        <v>3675</v>
      </c>
      <c r="E343" t="s">
        <v>3676</v>
      </c>
      <c r="F343" t="s">
        <v>3677</v>
      </c>
      <c r="G343" t="s">
        <v>3678</v>
      </c>
      <c r="H343" t="s">
        <v>3679</v>
      </c>
      <c r="I343" t="s">
        <v>3680</v>
      </c>
      <c r="J343" t="s">
        <v>3681</v>
      </c>
      <c r="K343" t="s">
        <v>3682</v>
      </c>
      <c r="L343" t="s">
        <v>8386</v>
      </c>
    </row>
    <row r="344" spans="1:12" x14ac:dyDescent="0.35">
      <c r="A344" t="str">
        <f t="shared" si="5"/>
        <v>Total Redeemable Minority Interest</v>
      </c>
      <c r="B344" t="s">
        <v>658</v>
      </c>
      <c r="C344" t="s">
        <v>3683</v>
      </c>
      <c r="D344" t="s">
        <v>3684</v>
      </c>
      <c r="E344" t="s">
        <v>3685</v>
      </c>
      <c r="F344" t="s">
        <v>3686</v>
      </c>
      <c r="G344" t="s">
        <v>3687</v>
      </c>
      <c r="H344" t="s">
        <v>3688</v>
      </c>
      <c r="I344" t="s">
        <v>3689</v>
      </c>
      <c r="J344" t="s">
        <v>3690</v>
      </c>
      <c r="K344" t="s">
        <v>3691</v>
      </c>
      <c r="L344" t="s">
        <v>8387</v>
      </c>
    </row>
    <row r="345" spans="1:12" x14ac:dyDescent="0.35">
      <c r="A345" t="str">
        <f t="shared" si="5"/>
        <v>Finance Division Minority Interest</v>
      </c>
      <c r="B345" t="s">
        <v>659</v>
      </c>
      <c r="C345" t="s">
        <v>3692</v>
      </c>
      <c r="D345" t="s">
        <v>3693</v>
      </c>
      <c r="E345" t="s">
        <v>3694</v>
      </c>
      <c r="F345" t="s">
        <v>3695</v>
      </c>
      <c r="G345" t="s">
        <v>3696</v>
      </c>
      <c r="H345" t="s">
        <v>3697</v>
      </c>
      <c r="I345" t="s">
        <v>3698</v>
      </c>
      <c r="J345" t="s">
        <v>3699</v>
      </c>
      <c r="K345" t="s">
        <v>3700</v>
      </c>
      <c r="L345" t="s">
        <v>8388</v>
      </c>
    </row>
    <row r="346" spans="1:12" x14ac:dyDescent="0.35">
      <c r="A346" t="str">
        <f t="shared" si="5"/>
        <v>Deferred Tax Valuation Allowance</v>
      </c>
      <c r="B346" t="s">
        <v>891</v>
      </c>
      <c r="C346" t="s">
        <v>3701</v>
      </c>
      <c r="D346" t="s">
        <v>3702</v>
      </c>
      <c r="E346" t="s">
        <v>3703</v>
      </c>
      <c r="F346" t="s">
        <v>3704</v>
      </c>
      <c r="G346" t="s">
        <v>3705</v>
      </c>
      <c r="H346" t="s">
        <v>3706</v>
      </c>
      <c r="I346" t="s">
        <v>3707</v>
      </c>
      <c r="J346" t="s">
        <v>3708</v>
      </c>
      <c r="K346" t="s">
        <v>3709</v>
      </c>
      <c r="L346" t="s">
        <v>8389</v>
      </c>
    </row>
    <row r="347" spans="1:12" x14ac:dyDescent="0.35">
      <c r="A347" t="str">
        <f t="shared" si="5"/>
        <v>General Partner - Common Equity</v>
      </c>
      <c r="B347" t="s">
        <v>62</v>
      </c>
      <c r="C347" t="s">
        <v>3710</v>
      </c>
      <c r="D347" t="s">
        <v>3711</v>
      </c>
      <c r="E347" t="s">
        <v>3712</v>
      </c>
      <c r="F347" t="s">
        <v>3713</v>
      </c>
      <c r="G347" t="s">
        <v>3714</v>
      </c>
      <c r="H347" t="s">
        <v>3715</v>
      </c>
      <c r="I347" t="s">
        <v>3716</v>
      </c>
      <c r="J347" t="s">
        <v>3717</v>
      </c>
      <c r="K347" t="s">
        <v>3718</v>
      </c>
      <c r="L347" t="s">
        <v>8390</v>
      </c>
    </row>
    <row r="348" spans="1:12" x14ac:dyDescent="0.35">
      <c r="A348" t="str">
        <f t="shared" si="5"/>
        <v>General Partner - Preferred Equity</v>
      </c>
      <c r="B348" t="s">
        <v>63</v>
      </c>
      <c r="C348" t="s">
        <v>3719</v>
      </c>
      <c r="D348" t="s">
        <v>3720</v>
      </c>
      <c r="E348" t="s">
        <v>3721</v>
      </c>
      <c r="F348" t="s">
        <v>3722</v>
      </c>
      <c r="G348" t="s">
        <v>3723</v>
      </c>
      <c r="H348" t="s">
        <v>3724</v>
      </c>
      <c r="I348" t="s">
        <v>3725</v>
      </c>
      <c r="J348" t="s">
        <v>3726</v>
      </c>
      <c r="K348" t="s">
        <v>3727</v>
      </c>
      <c r="L348" t="s">
        <v>8391</v>
      </c>
    </row>
    <row r="349" spans="1:12" x14ac:dyDescent="0.35">
      <c r="A349" t="str">
        <f t="shared" si="5"/>
        <v>General Partner - Minority Interest</v>
      </c>
      <c r="B349" t="s">
        <v>64</v>
      </c>
      <c r="C349" t="s">
        <v>3728</v>
      </c>
      <c r="D349" t="s">
        <v>3729</v>
      </c>
      <c r="E349" t="s">
        <v>3730</v>
      </c>
      <c r="F349" t="s">
        <v>3731</v>
      </c>
      <c r="G349" t="s">
        <v>3732</v>
      </c>
      <c r="H349" t="s">
        <v>3733</v>
      </c>
      <c r="I349" t="s">
        <v>3734</v>
      </c>
      <c r="J349" t="s">
        <v>3735</v>
      </c>
      <c r="K349" t="s">
        <v>3736</v>
      </c>
      <c r="L349" t="s">
        <v>8392</v>
      </c>
    </row>
    <row r="350" spans="1:12" x14ac:dyDescent="0.35">
      <c r="A350" t="str">
        <f t="shared" si="5"/>
        <v>General Partner Interest (Supple)</v>
      </c>
      <c r="B350" t="s">
        <v>65</v>
      </c>
      <c r="C350" t="s">
        <v>3737</v>
      </c>
      <c r="D350" t="s">
        <v>3738</v>
      </c>
      <c r="E350" t="s">
        <v>3739</v>
      </c>
      <c r="F350" t="s">
        <v>3740</v>
      </c>
      <c r="G350" t="s">
        <v>3741</v>
      </c>
      <c r="H350" t="s">
        <v>3742</v>
      </c>
      <c r="I350" t="s">
        <v>3743</v>
      </c>
      <c r="J350" t="s">
        <v>3744</v>
      </c>
      <c r="K350" t="s">
        <v>3745</v>
      </c>
      <c r="L350" t="s">
        <v>8393</v>
      </c>
    </row>
    <row r="351" spans="1:12" x14ac:dyDescent="0.35">
      <c r="A351" t="str">
        <f t="shared" si="5"/>
        <v>Liquidation Value of Preferred Stock -Convertable</v>
      </c>
      <c r="B351" t="s">
        <v>241</v>
      </c>
      <c r="C351" t="s">
        <v>7934</v>
      </c>
      <c r="D351" t="s">
        <v>7935</v>
      </c>
      <c r="E351" t="s">
        <v>7936</v>
      </c>
      <c r="F351" t="s">
        <v>7937</v>
      </c>
      <c r="G351" t="s">
        <v>7938</v>
      </c>
      <c r="H351" t="s">
        <v>7939</v>
      </c>
      <c r="I351" t="s">
        <v>7940</v>
      </c>
      <c r="J351" t="s">
        <v>7941</v>
      </c>
      <c r="K351" t="s">
        <v>7942</v>
      </c>
      <c r="L351" t="s">
        <v>10885</v>
      </c>
    </row>
    <row r="352" spans="1:12" x14ac:dyDescent="0.35">
      <c r="A352" t="str">
        <f t="shared" si="5"/>
        <v>Liquidation Value of Preferred Stock -Non-Redeemable</v>
      </c>
      <c r="B352" t="s">
        <v>242</v>
      </c>
      <c r="C352" t="s">
        <v>7943</v>
      </c>
      <c r="D352" t="s">
        <v>7944</v>
      </c>
      <c r="E352" t="s">
        <v>7945</v>
      </c>
      <c r="F352" t="s">
        <v>7946</v>
      </c>
      <c r="G352" t="s">
        <v>7947</v>
      </c>
      <c r="H352" t="s">
        <v>7948</v>
      </c>
      <c r="I352" t="s">
        <v>7949</v>
      </c>
      <c r="J352" t="s">
        <v>7950</v>
      </c>
      <c r="K352" t="s">
        <v>7951</v>
      </c>
      <c r="L352" t="s">
        <v>10886</v>
      </c>
    </row>
    <row r="353" spans="1:12" x14ac:dyDescent="0.35">
      <c r="A353" t="str">
        <f t="shared" si="5"/>
        <v>Liquidation Value of Preferred Stock -Redeemable</v>
      </c>
      <c r="B353" t="s">
        <v>243</v>
      </c>
      <c r="C353" t="s">
        <v>7952</v>
      </c>
      <c r="D353" t="s">
        <v>7953</v>
      </c>
      <c r="E353" t="s">
        <v>7954</v>
      </c>
      <c r="F353" t="s">
        <v>7955</v>
      </c>
      <c r="G353" t="s">
        <v>7956</v>
      </c>
      <c r="H353" t="s">
        <v>7957</v>
      </c>
      <c r="I353" t="s">
        <v>7958</v>
      </c>
      <c r="J353" t="s">
        <v>7959</v>
      </c>
      <c r="K353" t="s">
        <v>7960</v>
      </c>
      <c r="L353" t="s">
        <v>10887</v>
      </c>
    </row>
    <row r="354" spans="1:12" x14ac:dyDescent="0.35">
      <c r="A354" t="str">
        <f t="shared" si="5"/>
        <v>Level 1 Assets - Quoted Prices</v>
      </c>
      <c r="B354" t="s">
        <v>1000</v>
      </c>
      <c r="C354" t="s">
        <v>3746</v>
      </c>
      <c r="D354" t="s">
        <v>3747</v>
      </c>
      <c r="E354" t="s">
        <v>3748</v>
      </c>
      <c r="F354" t="s">
        <v>3749</v>
      </c>
      <c r="G354" t="s">
        <v>3750</v>
      </c>
      <c r="H354" t="s">
        <v>3751</v>
      </c>
      <c r="I354" t="s">
        <v>3752</v>
      </c>
      <c r="J354" t="s">
        <v>3753</v>
      </c>
      <c r="K354" t="s">
        <v>3754</v>
      </c>
      <c r="L354" t="s">
        <v>8394</v>
      </c>
    </row>
    <row r="355" spans="1:12" x14ac:dyDescent="0.35">
      <c r="A355" t="str">
        <f t="shared" si="5"/>
        <v>Level 2 Assets - Observable Prices</v>
      </c>
      <c r="B355" t="s">
        <v>244</v>
      </c>
      <c r="C355" t="s">
        <v>3755</v>
      </c>
      <c r="D355" t="s">
        <v>3756</v>
      </c>
      <c r="E355" t="s">
        <v>3757</v>
      </c>
      <c r="F355" t="s">
        <v>3758</v>
      </c>
      <c r="G355" t="s">
        <v>3759</v>
      </c>
      <c r="H355" t="s">
        <v>3760</v>
      </c>
      <c r="I355" t="s">
        <v>3761</v>
      </c>
      <c r="J355" t="s">
        <v>3762</v>
      </c>
      <c r="K355" t="s">
        <v>3763</v>
      </c>
      <c r="L355" t="s">
        <v>8395</v>
      </c>
    </row>
    <row r="356" spans="1:12" x14ac:dyDescent="0.35">
      <c r="A356" t="str">
        <f t="shared" si="5"/>
        <v>Level 3 Assets - Unobservable Prices</v>
      </c>
      <c r="B356" t="s">
        <v>1001</v>
      </c>
      <c r="C356" t="s">
        <v>3764</v>
      </c>
      <c r="D356" t="s">
        <v>3765</v>
      </c>
      <c r="E356" t="s">
        <v>3766</v>
      </c>
      <c r="F356" t="s">
        <v>3767</v>
      </c>
      <c r="G356" t="s">
        <v>3768</v>
      </c>
      <c r="H356" t="s">
        <v>3769</v>
      </c>
      <c r="I356" t="s">
        <v>3770</v>
      </c>
      <c r="J356" t="s">
        <v>3771</v>
      </c>
      <c r="K356" t="s">
        <v>3772</v>
      </c>
      <c r="L356" t="s">
        <v>8396</v>
      </c>
    </row>
    <row r="357" spans="1:12" x14ac:dyDescent="0.35">
      <c r="A357" t="str">
        <f t="shared" si="5"/>
        <v>Netting and Other Adjustments to Assets</v>
      </c>
      <c r="B357" t="s">
        <v>245</v>
      </c>
      <c r="C357" t="s">
        <v>7961</v>
      </c>
      <c r="D357" t="s">
        <v>7962</v>
      </c>
      <c r="E357" t="s">
        <v>7963</v>
      </c>
      <c r="F357" t="s">
        <v>7964</v>
      </c>
      <c r="G357" t="s">
        <v>7965</v>
      </c>
      <c r="H357" t="s">
        <v>7966</v>
      </c>
      <c r="I357" t="s">
        <v>7967</v>
      </c>
      <c r="J357" t="s">
        <v>7968</v>
      </c>
      <c r="K357" t="s">
        <v>7969</v>
      </c>
      <c r="L357" t="s">
        <v>10888</v>
      </c>
    </row>
    <row r="358" spans="1:12" x14ac:dyDescent="0.35">
      <c r="A358" t="str">
        <f t="shared" si="5"/>
        <v>Fair Value of Assets</v>
      </c>
      <c r="B358" t="s">
        <v>246</v>
      </c>
      <c r="C358" t="s">
        <v>3773</v>
      </c>
      <c r="D358" t="s">
        <v>3774</v>
      </c>
      <c r="E358" t="s">
        <v>3775</v>
      </c>
      <c r="F358" t="s">
        <v>3776</v>
      </c>
      <c r="G358" t="s">
        <v>3777</v>
      </c>
      <c r="H358" t="s">
        <v>3778</v>
      </c>
      <c r="I358" t="s">
        <v>3779</v>
      </c>
      <c r="J358" t="s">
        <v>3780</v>
      </c>
      <c r="K358" t="s">
        <v>3781</v>
      </c>
      <c r="L358" t="s">
        <v>8397</v>
      </c>
    </row>
    <row r="359" spans="1:12" x14ac:dyDescent="0.35">
      <c r="A359" t="str">
        <f t="shared" si="5"/>
        <v>Level 1 Liabilities - Quoted Prices</v>
      </c>
      <c r="B359" t="s">
        <v>247</v>
      </c>
      <c r="C359" t="s">
        <v>3782</v>
      </c>
      <c r="D359" t="s">
        <v>3783</v>
      </c>
      <c r="E359" t="s">
        <v>3784</v>
      </c>
      <c r="F359" t="s">
        <v>3785</v>
      </c>
      <c r="G359" t="s">
        <v>3786</v>
      </c>
      <c r="H359" t="s">
        <v>3787</v>
      </c>
      <c r="I359" t="s">
        <v>3788</v>
      </c>
      <c r="J359" t="s">
        <v>3789</v>
      </c>
      <c r="K359" t="s">
        <v>3790</v>
      </c>
      <c r="L359" t="s">
        <v>8398</v>
      </c>
    </row>
    <row r="360" spans="1:12" x14ac:dyDescent="0.35">
      <c r="A360" t="str">
        <f t="shared" si="5"/>
        <v>Level 2 Liabilities - Observable Prices</v>
      </c>
      <c r="B360" t="s">
        <v>1002</v>
      </c>
      <c r="C360" t="s">
        <v>3791</v>
      </c>
      <c r="D360" t="s">
        <v>3792</v>
      </c>
      <c r="E360" t="s">
        <v>3793</v>
      </c>
      <c r="F360" t="s">
        <v>3794</v>
      </c>
      <c r="G360" t="s">
        <v>3795</v>
      </c>
      <c r="H360" t="s">
        <v>3796</v>
      </c>
      <c r="I360" t="s">
        <v>3797</v>
      </c>
      <c r="J360" t="s">
        <v>3798</v>
      </c>
      <c r="K360" t="s">
        <v>3799</v>
      </c>
      <c r="L360" t="s">
        <v>8399</v>
      </c>
    </row>
    <row r="361" spans="1:12" x14ac:dyDescent="0.35">
      <c r="A361" t="str">
        <f t="shared" si="5"/>
        <v>Level 3 Liabilities - Unobservable Prices</v>
      </c>
      <c r="B361" t="s">
        <v>1003</v>
      </c>
      <c r="C361" t="s">
        <v>3800</v>
      </c>
      <c r="D361" t="s">
        <v>3801</v>
      </c>
      <c r="E361" t="s">
        <v>3802</v>
      </c>
      <c r="F361" t="s">
        <v>3803</v>
      </c>
      <c r="G361" t="s">
        <v>3804</v>
      </c>
      <c r="H361" t="s">
        <v>3805</v>
      </c>
      <c r="I361" t="s">
        <v>3806</v>
      </c>
      <c r="J361" t="s">
        <v>3807</v>
      </c>
      <c r="K361" t="s">
        <v>3808</v>
      </c>
      <c r="L361" t="s">
        <v>8400</v>
      </c>
    </row>
    <row r="362" spans="1:12" x14ac:dyDescent="0.35">
      <c r="A362" t="str">
        <f t="shared" si="5"/>
        <v>Netting and Other Adjustments to Liabilities</v>
      </c>
      <c r="B362" t="s">
        <v>248</v>
      </c>
      <c r="C362" t="s">
        <v>7970</v>
      </c>
      <c r="D362" t="s">
        <v>7971</v>
      </c>
      <c r="E362" t="s">
        <v>7972</v>
      </c>
      <c r="F362" t="s">
        <v>7973</v>
      </c>
      <c r="G362" t="s">
        <v>7974</v>
      </c>
      <c r="H362" t="s">
        <v>7975</v>
      </c>
      <c r="I362" t="s">
        <v>7976</v>
      </c>
      <c r="J362" t="s">
        <v>7977</v>
      </c>
      <c r="K362" t="s">
        <v>7978</v>
      </c>
      <c r="L362" t="s">
        <v>10889</v>
      </c>
    </row>
    <row r="363" spans="1:12" x14ac:dyDescent="0.35">
      <c r="A363" t="str">
        <f t="shared" si="5"/>
        <v>Fair Value of Liabilities</v>
      </c>
      <c r="B363" t="s">
        <v>1004</v>
      </c>
      <c r="C363" t="s">
        <v>3809</v>
      </c>
      <c r="D363" t="s">
        <v>3810</v>
      </c>
      <c r="E363" t="s">
        <v>3811</v>
      </c>
      <c r="F363" t="s">
        <v>3812</v>
      </c>
      <c r="G363" t="s">
        <v>3813</v>
      </c>
      <c r="H363" t="s">
        <v>3814</v>
      </c>
      <c r="I363" t="s">
        <v>3815</v>
      </c>
      <c r="J363" t="s">
        <v>3816</v>
      </c>
      <c r="K363" t="s">
        <v>3817</v>
      </c>
      <c r="L363" t="s">
        <v>8401</v>
      </c>
    </row>
    <row r="364" spans="1:12" x14ac:dyDescent="0.35">
      <c r="A364" t="str">
        <f t="shared" si="5"/>
        <v>Fair Value Change Included in Earnings</v>
      </c>
      <c r="B364" t="s">
        <v>249</v>
      </c>
      <c r="C364" t="s">
        <v>3818</v>
      </c>
      <c r="D364" t="s">
        <v>3819</v>
      </c>
      <c r="E364" t="s">
        <v>3820</v>
      </c>
      <c r="F364" t="s">
        <v>3821</v>
      </c>
      <c r="G364" t="s">
        <v>3822</v>
      </c>
      <c r="H364" t="s">
        <v>3823</v>
      </c>
      <c r="I364" t="s">
        <v>3824</v>
      </c>
      <c r="J364" t="s">
        <v>3825</v>
      </c>
      <c r="K364" t="s">
        <v>3826</v>
      </c>
      <c r="L364" t="s">
        <v>8402</v>
      </c>
    </row>
    <row r="365" spans="1:12" x14ac:dyDescent="0.35">
      <c r="A365" t="str">
        <f t="shared" si="5"/>
        <v>Full Time Employees</v>
      </c>
      <c r="B365" t="s">
        <v>375</v>
      </c>
      <c r="C365" t="s">
        <v>3827</v>
      </c>
      <c r="D365" t="s">
        <v>3828</v>
      </c>
      <c r="E365" t="s">
        <v>3829</v>
      </c>
      <c r="F365" t="s">
        <v>3830</v>
      </c>
      <c r="G365" t="s">
        <v>3831</v>
      </c>
      <c r="H365" t="s">
        <v>3832</v>
      </c>
      <c r="I365" t="s">
        <v>3833</v>
      </c>
      <c r="J365" t="s">
        <v>3834</v>
      </c>
      <c r="K365" t="s">
        <v>3835</v>
      </c>
      <c r="L365" t="s">
        <v>8403</v>
      </c>
    </row>
    <row r="366" spans="1:12" x14ac:dyDescent="0.35">
      <c r="A366" t="str">
        <f t="shared" si="5"/>
        <v>Part Time Employees</v>
      </c>
      <c r="B366" t="s">
        <v>579</v>
      </c>
      <c r="C366" t="s">
        <v>3836</v>
      </c>
      <c r="D366" t="s">
        <v>3837</v>
      </c>
      <c r="E366" t="s">
        <v>3838</v>
      </c>
      <c r="F366" t="s">
        <v>3839</v>
      </c>
      <c r="G366" t="s">
        <v>3840</v>
      </c>
      <c r="H366" t="s">
        <v>3841</v>
      </c>
      <c r="I366" t="s">
        <v>3842</v>
      </c>
      <c r="J366" t="s">
        <v>3843</v>
      </c>
      <c r="K366" t="s">
        <v>3844</v>
      </c>
      <c r="L366" t="s">
        <v>8404</v>
      </c>
    </row>
    <row r="367" spans="1:12" x14ac:dyDescent="0.35">
      <c r="A367" t="str">
        <f t="shared" si="5"/>
        <v>Total Employees</v>
      </c>
      <c r="B367" t="s">
        <v>631</v>
      </c>
      <c r="C367" t="s">
        <v>3845</v>
      </c>
      <c r="D367" t="s">
        <v>3846</v>
      </c>
      <c r="E367" t="s">
        <v>3847</v>
      </c>
      <c r="F367" t="s">
        <v>3848</v>
      </c>
      <c r="G367" t="s">
        <v>3849</v>
      </c>
      <c r="H367" t="s">
        <v>3850</v>
      </c>
      <c r="I367" t="s">
        <v>3851</v>
      </c>
      <c r="J367" t="s">
        <v>3852</v>
      </c>
      <c r="K367" t="s">
        <v>3853</v>
      </c>
      <c r="L367" t="s">
        <v>8405</v>
      </c>
    </row>
    <row r="368" spans="1:12" x14ac:dyDescent="0.35">
      <c r="A368" t="str">
        <f t="shared" si="5"/>
        <v>Employees Under Union Contracts</v>
      </c>
      <c r="B368" t="s">
        <v>195</v>
      </c>
      <c r="C368" t="s">
        <v>3854</v>
      </c>
      <c r="D368" t="s">
        <v>3855</v>
      </c>
      <c r="E368" t="s">
        <v>3856</v>
      </c>
      <c r="F368" t="s">
        <v>3857</v>
      </c>
      <c r="G368" t="s">
        <v>3858</v>
      </c>
      <c r="H368" t="s">
        <v>3859</v>
      </c>
      <c r="I368" t="s">
        <v>3860</v>
      </c>
      <c r="J368" t="s">
        <v>3861</v>
      </c>
      <c r="K368" t="s">
        <v>3862</v>
      </c>
      <c r="L368" t="s">
        <v>8406</v>
      </c>
    </row>
    <row r="369" spans="1:12" x14ac:dyDescent="0.35">
      <c r="A369" t="str">
        <f t="shared" si="5"/>
        <v>Avg Employees</v>
      </c>
      <c r="B369" t="s">
        <v>676</v>
      </c>
      <c r="C369" t="s">
        <v>3863</v>
      </c>
      <c r="D369" t="s">
        <v>3864</v>
      </c>
      <c r="E369" t="s">
        <v>3865</v>
      </c>
      <c r="F369" t="s">
        <v>3866</v>
      </c>
      <c r="G369" t="s">
        <v>3867</v>
      </c>
      <c r="H369" t="s">
        <v>3868</v>
      </c>
      <c r="I369" t="s">
        <v>3869</v>
      </c>
      <c r="J369" t="s">
        <v>3870</v>
      </c>
      <c r="K369" t="s">
        <v>3871</v>
      </c>
      <c r="L369" t="s">
        <v>8407</v>
      </c>
    </row>
    <row r="370" spans="1:12" x14ac:dyDescent="0.35">
      <c r="A370" t="str">
        <f t="shared" si="5"/>
        <v>Temporary/Seasonal Employees</v>
      </c>
      <c r="B370" t="s">
        <v>677</v>
      </c>
      <c r="C370" t="s">
        <v>3872</v>
      </c>
      <c r="D370" t="s">
        <v>3873</v>
      </c>
      <c r="E370" t="s">
        <v>3874</v>
      </c>
      <c r="F370" t="s">
        <v>3875</v>
      </c>
      <c r="G370" t="s">
        <v>3876</v>
      </c>
      <c r="H370" t="s">
        <v>3877</v>
      </c>
      <c r="I370" t="s">
        <v>3878</v>
      </c>
      <c r="J370" t="s">
        <v>3879</v>
      </c>
      <c r="K370" t="s">
        <v>3880</v>
      </c>
      <c r="L370" t="s">
        <v>8408</v>
      </c>
    </row>
    <row r="371" spans="1:12" x14ac:dyDescent="0.35">
      <c r="A371" t="str">
        <f t="shared" si="5"/>
        <v>Number Of ADR Holders</v>
      </c>
      <c r="B371" t="s">
        <v>1005</v>
      </c>
      <c r="C371" t="s">
        <v>3881</v>
      </c>
      <c r="D371" t="s">
        <v>3882</v>
      </c>
      <c r="E371" t="s">
        <v>3883</v>
      </c>
      <c r="F371" t="s">
        <v>3884</v>
      </c>
      <c r="G371" t="s">
        <v>3885</v>
      </c>
      <c r="H371" t="s">
        <v>3886</v>
      </c>
      <c r="I371" t="s">
        <v>3887</v>
      </c>
      <c r="J371" t="s">
        <v>3888</v>
      </c>
      <c r="K371" t="s">
        <v>3889</v>
      </c>
      <c r="L371" t="s">
        <v>8409</v>
      </c>
    </row>
    <row r="372" spans="1:12" x14ac:dyDescent="0.35">
      <c r="A372" t="str">
        <f t="shared" si="5"/>
        <v>Finance Division Short-term Debt, Total</v>
      </c>
      <c r="B372" t="s">
        <v>633</v>
      </c>
      <c r="C372" t="s">
        <v>3890</v>
      </c>
      <c r="D372" t="s">
        <v>3891</v>
      </c>
      <c r="E372" t="s">
        <v>3892</v>
      </c>
      <c r="F372" t="s">
        <v>3893</v>
      </c>
      <c r="G372" t="s">
        <v>3894</v>
      </c>
      <c r="H372" t="s">
        <v>3895</v>
      </c>
      <c r="I372" t="s">
        <v>3896</v>
      </c>
      <c r="J372" t="s">
        <v>3897</v>
      </c>
      <c r="K372" t="s">
        <v>3898</v>
      </c>
      <c r="L372" t="s">
        <v>8410</v>
      </c>
    </row>
    <row r="373" spans="1:12" x14ac:dyDescent="0.35">
      <c r="A373" t="str">
        <f t="shared" si="5"/>
        <v>Finance Division Long-term Debt, Total</v>
      </c>
      <c r="B373" t="s">
        <v>632</v>
      </c>
      <c r="C373" t="s">
        <v>3899</v>
      </c>
      <c r="D373" t="s">
        <v>3900</v>
      </c>
      <c r="E373" t="s">
        <v>3901</v>
      </c>
      <c r="F373" t="s">
        <v>3902</v>
      </c>
      <c r="G373" t="s">
        <v>3903</v>
      </c>
      <c r="H373" t="s">
        <v>3904</v>
      </c>
      <c r="I373" t="s">
        <v>3905</v>
      </c>
      <c r="J373" t="s">
        <v>3906</v>
      </c>
      <c r="K373" t="s">
        <v>3907</v>
      </c>
      <c r="L373" t="s">
        <v>8411</v>
      </c>
    </row>
    <row r="374" spans="1:12" x14ac:dyDescent="0.35">
      <c r="A374" t="str">
        <f t="shared" si="5"/>
        <v>Finance Division Debt, Total</v>
      </c>
      <c r="B374" t="s">
        <v>168</v>
      </c>
      <c r="C374" t="s">
        <v>3908</v>
      </c>
      <c r="D374" t="s">
        <v>3909</v>
      </c>
      <c r="E374" t="s">
        <v>3910</v>
      </c>
      <c r="F374" t="s">
        <v>3911</v>
      </c>
      <c r="G374" t="s">
        <v>3912</v>
      </c>
      <c r="H374" t="s">
        <v>3913</v>
      </c>
      <c r="I374" t="s">
        <v>3914</v>
      </c>
      <c r="J374" t="s">
        <v>3915</v>
      </c>
      <c r="K374" t="s">
        <v>3916</v>
      </c>
      <c r="L374" t="s">
        <v>8412</v>
      </c>
    </row>
    <row r="375" spans="1:12" x14ac:dyDescent="0.35">
      <c r="A375" t="str">
        <f t="shared" si="5"/>
        <v>Finance Division Cash and Equivalents</v>
      </c>
      <c r="B375" t="s">
        <v>225</v>
      </c>
      <c r="C375" t="s">
        <v>3917</v>
      </c>
      <c r="D375" t="s">
        <v>3918</v>
      </c>
      <c r="E375" t="s">
        <v>3919</v>
      </c>
      <c r="F375" t="s">
        <v>3920</v>
      </c>
      <c r="G375" t="s">
        <v>3921</v>
      </c>
      <c r="H375" t="s">
        <v>3922</v>
      </c>
      <c r="I375" t="s">
        <v>3923</v>
      </c>
      <c r="J375" t="s">
        <v>3924</v>
      </c>
      <c r="K375" t="s">
        <v>3925</v>
      </c>
      <c r="L375" t="s">
        <v>8413</v>
      </c>
    </row>
    <row r="376" spans="1:12" x14ac:dyDescent="0.35">
      <c r="A376" t="str">
        <f t="shared" si="5"/>
        <v>Finance Division Short-Term Investments</v>
      </c>
      <c r="B376" t="s">
        <v>226</v>
      </c>
      <c r="C376" t="s">
        <v>3926</v>
      </c>
      <c r="D376" t="s">
        <v>3927</v>
      </c>
      <c r="E376" t="s">
        <v>3928</v>
      </c>
      <c r="F376" t="s">
        <v>3929</v>
      </c>
      <c r="G376" t="s">
        <v>3930</v>
      </c>
      <c r="H376" t="s">
        <v>3931</v>
      </c>
      <c r="I376" t="s">
        <v>3932</v>
      </c>
      <c r="J376" t="s">
        <v>3933</v>
      </c>
      <c r="K376" t="s">
        <v>3934</v>
      </c>
      <c r="L376" t="s">
        <v>8414</v>
      </c>
    </row>
    <row r="377" spans="1:12" x14ac:dyDescent="0.35">
      <c r="A377" t="str">
        <f t="shared" si="5"/>
        <v>Debt Equiv. of Unfunded Proj. Benefit Obligation</v>
      </c>
      <c r="B377" t="s">
        <v>1006</v>
      </c>
      <c r="C377" t="s">
        <v>3935</v>
      </c>
      <c r="D377" t="s">
        <v>3936</v>
      </c>
      <c r="E377" t="s">
        <v>3937</v>
      </c>
      <c r="F377" t="s">
        <v>3938</v>
      </c>
      <c r="G377" t="s">
        <v>3939</v>
      </c>
      <c r="H377" t="s">
        <v>3940</v>
      </c>
      <c r="I377" t="s">
        <v>3941</v>
      </c>
      <c r="J377" t="s">
        <v>3942</v>
      </c>
      <c r="K377" t="s">
        <v>3943</v>
      </c>
      <c r="L377" t="s">
        <v>8415</v>
      </c>
    </row>
    <row r="378" spans="1:12" x14ac:dyDescent="0.35">
      <c r="A378" t="str">
        <f t="shared" si="5"/>
        <v>Debt Equivalent Oper. Leases</v>
      </c>
      <c r="B378" t="s">
        <v>1007</v>
      </c>
      <c r="C378" t="s">
        <v>3944</v>
      </c>
      <c r="D378" t="s">
        <v>3945</v>
      </c>
      <c r="E378" t="s">
        <v>3946</v>
      </c>
      <c r="F378" t="s">
        <v>3947</v>
      </c>
      <c r="G378" t="s">
        <v>3948</v>
      </c>
      <c r="H378" t="s">
        <v>3949</v>
      </c>
      <c r="I378" t="s">
        <v>3950</v>
      </c>
      <c r="J378" t="s">
        <v>3951</v>
      </c>
      <c r="K378" t="s">
        <v>3952</v>
      </c>
      <c r="L378" t="s">
        <v>8416</v>
      </c>
    </row>
    <row r="379" spans="1:12" x14ac:dyDescent="0.35">
      <c r="A379" t="str">
        <f t="shared" si="5"/>
        <v>Cost of Borrowing</v>
      </c>
      <c r="B379" t="s">
        <v>634</v>
      </c>
      <c r="C379" t="s">
        <v>3953</v>
      </c>
      <c r="D379" t="s">
        <v>3954</v>
      </c>
      <c r="E379" t="s">
        <v>3955</v>
      </c>
      <c r="F379" t="s">
        <v>3956</v>
      </c>
      <c r="G379" t="s">
        <v>3957</v>
      </c>
      <c r="H379" t="s">
        <v>3958</v>
      </c>
      <c r="I379" t="s">
        <v>3959</v>
      </c>
      <c r="J379" t="s">
        <v>3960</v>
      </c>
      <c r="K379" t="s">
        <v>3961</v>
      </c>
      <c r="L379" t="s">
        <v>8417</v>
      </c>
    </row>
    <row r="380" spans="1:12" x14ac:dyDescent="0.35">
      <c r="A380" t="str">
        <f t="shared" si="5"/>
        <v>Restricted Cash (Non-Current)</v>
      </c>
      <c r="B380" t="s">
        <v>224</v>
      </c>
      <c r="C380" t="s">
        <v>3962</v>
      </c>
      <c r="D380" t="s">
        <v>3963</v>
      </c>
      <c r="E380" t="s">
        <v>3964</v>
      </c>
      <c r="F380" t="s">
        <v>3965</v>
      </c>
      <c r="G380" t="s">
        <v>3966</v>
      </c>
      <c r="H380" t="s">
        <v>3967</v>
      </c>
      <c r="I380" t="s">
        <v>3968</v>
      </c>
      <c r="J380" t="s">
        <v>3969</v>
      </c>
      <c r="K380" t="s">
        <v>3970</v>
      </c>
      <c r="L380" t="s">
        <v>8418</v>
      </c>
    </row>
    <row r="381" spans="1:12" x14ac:dyDescent="0.35">
      <c r="A381" t="str">
        <f t="shared" si="5"/>
        <v>Total Restricted Cash</v>
      </c>
      <c r="B381" t="s">
        <v>1008</v>
      </c>
      <c r="C381" t="s">
        <v>3971</v>
      </c>
      <c r="D381" t="s">
        <v>3972</v>
      </c>
      <c r="E381" t="s">
        <v>3973</v>
      </c>
      <c r="F381" t="s">
        <v>3974</v>
      </c>
      <c r="G381" t="s">
        <v>3975</v>
      </c>
      <c r="H381" t="s">
        <v>3976</v>
      </c>
      <c r="I381" t="s">
        <v>3977</v>
      </c>
      <c r="J381" t="s">
        <v>3978</v>
      </c>
      <c r="K381" t="s">
        <v>3979</v>
      </c>
      <c r="L381" t="s">
        <v>8419</v>
      </c>
    </row>
    <row r="382" spans="1:12" x14ac:dyDescent="0.35">
      <c r="A382" t="str">
        <f t="shared" ref="A382:A445" si="6">INDEX($B382:$CW382,,$A$5)</f>
        <v>Total Debt (Excl.Fin.Div.Debt)</v>
      </c>
      <c r="B382" t="s">
        <v>635</v>
      </c>
      <c r="C382" t="s">
        <v>3980</v>
      </c>
      <c r="D382" t="s">
        <v>3981</v>
      </c>
      <c r="E382" t="s">
        <v>3982</v>
      </c>
      <c r="F382" t="s">
        <v>3983</v>
      </c>
      <c r="G382" t="s">
        <v>3984</v>
      </c>
      <c r="H382" t="s">
        <v>3985</v>
      </c>
      <c r="I382" t="s">
        <v>3986</v>
      </c>
      <c r="J382" t="s">
        <v>3987</v>
      </c>
      <c r="K382" t="s">
        <v>3988</v>
      </c>
      <c r="L382" t="s">
        <v>8420</v>
      </c>
    </row>
    <row r="383" spans="1:12" x14ac:dyDescent="0.35">
      <c r="A383" t="str">
        <f t="shared" si="6"/>
        <v>Order Backlog</v>
      </c>
      <c r="B383" t="s">
        <v>580</v>
      </c>
      <c r="C383" t="s">
        <v>3989</v>
      </c>
      <c r="D383" t="s">
        <v>3990</v>
      </c>
      <c r="E383" t="s">
        <v>3991</v>
      </c>
      <c r="F383" t="s">
        <v>3992</v>
      </c>
      <c r="G383" t="s">
        <v>3993</v>
      </c>
      <c r="H383" t="s">
        <v>3994</v>
      </c>
      <c r="I383" t="s">
        <v>3995</v>
      </c>
      <c r="J383" t="s">
        <v>3996</v>
      </c>
      <c r="K383" t="s">
        <v>3997</v>
      </c>
      <c r="L383" t="s">
        <v>8421</v>
      </c>
    </row>
    <row r="384" spans="1:12" x14ac:dyDescent="0.35">
      <c r="A384" t="str">
        <f t="shared" si="6"/>
        <v>Contingent Liabilities</v>
      </c>
      <c r="B384" t="s">
        <v>196</v>
      </c>
      <c r="C384" t="s">
        <v>3998</v>
      </c>
      <c r="D384" t="s">
        <v>3999</v>
      </c>
      <c r="E384" t="s">
        <v>4000</v>
      </c>
      <c r="F384" t="s">
        <v>4001</v>
      </c>
      <c r="G384" t="s">
        <v>4002</v>
      </c>
      <c r="H384" t="s">
        <v>4003</v>
      </c>
      <c r="I384" t="s">
        <v>4004</v>
      </c>
      <c r="J384" t="s">
        <v>4005</v>
      </c>
      <c r="K384" t="s">
        <v>4006</v>
      </c>
      <c r="L384" t="s">
        <v>8422</v>
      </c>
    </row>
    <row r="385" spans="1:12" x14ac:dyDescent="0.35">
      <c r="A385" t="str">
        <f t="shared" si="6"/>
        <v>Warranty Liabilities</v>
      </c>
      <c r="B385" t="s">
        <v>899</v>
      </c>
      <c r="C385" t="s">
        <v>4007</v>
      </c>
      <c r="D385" t="s">
        <v>4008</v>
      </c>
      <c r="E385" t="s">
        <v>4009</v>
      </c>
      <c r="F385" t="s">
        <v>4010</v>
      </c>
      <c r="G385" t="s">
        <v>4011</v>
      </c>
      <c r="H385" t="s">
        <v>4012</v>
      </c>
      <c r="I385" t="s">
        <v>4013</v>
      </c>
      <c r="J385" t="s">
        <v>4014</v>
      </c>
      <c r="K385" t="s">
        <v>4015</v>
      </c>
      <c r="L385" t="s">
        <v>8423</v>
      </c>
    </row>
    <row r="386" spans="1:12" x14ac:dyDescent="0.35">
      <c r="A386" t="str">
        <f t="shared" si="6"/>
        <v>Short-Term Borrowing Derivatives</v>
      </c>
      <c r="B386" t="s">
        <v>275</v>
      </c>
      <c r="C386" t="s">
        <v>4016</v>
      </c>
      <c r="D386" t="s">
        <v>4017</v>
      </c>
      <c r="E386" t="s">
        <v>4018</v>
      </c>
      <c r="F386" t="s">
        <v>4019</v>
      </c>
      <c r="G386" t="s">
        <v>4020</v>
      </c>
      <c r="H386" t="s">
        <v>4021</v>
      </c>
      <c r="I386" t="s">
        <v>4022</v>
      </c>
      <c r="J386" t="s">
        <v>4023</v>
      </c>
      <c r="K386" t="s">
        <v>4024</v>
      </c>
      <c r="L386" t="s">
        <v>8424</v>
      </c>
    </row>
    <row r="387" spans="1:12" x14ac:dyDescent="0.35">
      <c r="A387" t="str">
        <f t="shared" si="6"/>
        <v>Curr. Port. of LT Debt Derivatives</v>
      </c>
      <c r="B387" t="s">
        <v>276</v>
      </c>
      <c r="C387" t="s">
        <v>4025</v>
      </c>
      <c r="D387" t="s">
        <v>4026</v>
      </c>
      <c r="E387" t="s">
        <v>4027</v>
      </c>
      <c r="F387" t="s">
        <v>4028</v>
      </c>
      <c r="G387" t="s">
        <v>4029</v>
      </c>
      <c r="H387" t="s">
        <v>4030</v>
      </c>
      <c r="I387" t="s">
        <v>4031</v>
      </c>
      <c r="J387" t="s">
        <v>4032</v>
      </c>
      <c r="K387" t="s">
        <v>4033</v>
      </c>
      <c r="L387" t="s">
        <v>8425</v>
      </c>
    </row>
    <row r="388" spans="1:12" x14ac:dyDescent="0.35">
      <c r="A388" t="str">
        <f t="shared" si="6"/>
        <v>Long-Term Debt Derivatives</v>
      </c>
      <c r="B388" t="s">
        <v>277</v>
      </c>
      <c r="C388" t="s">
        <v>4034</v>
      </c>
      <c r="D388" t="s">
        <v>4035</v>
      </c>
      <c r="E388" t="s">
        <v>4036</v>
      </c>
      <c r="F388" t="s">
        <v>4037</v>
      </c>
      <c r="G388" t="s">
        <v>4038</v>
      </c>
      <c r="H388" t="s">
        <v>4039</v>
      </c>
      <c r="I388" t="s">
        <v>4040</v>
      </c>
      <c r="J388" t="s">
        <v>4041</v>
      </c>
      <c r="K388" t="s">
        <v>4042</v>
      </c>
      <c r="L388" t="s">
        <v>8426</v>
      </c>
    </row>
    <row r="389" spans="1:12" x14ac:dyDescent="0.35">
      <c r="A389" t="str">
        <f t="shared" si="6"/>
        <v>Current Derivative Liabilities</v>
      </c>
      <c r="B389" t="s">
        <v>173</v>
      </c>
      <c r="C389" t="s">
        <v>4043</v>
      </c>
      <c r="D389" t="s">
        <v>4044</v>
      </c>
      <c r="E389" t="s">
        <v>4045</v>
      </c>
      <c r="F389" t="s">
        <v>4046</v>
      </c>
      <c r="G389" t="s">
        <v>4047</v>
      </c>
      <c r="H389" t="s">
        <v>4048</v>
      </c>
      <c r="I389" t="s">
        <v>4049</v>
      </c>
      <c r="J389" t="s">
        <v>4050</v>
      </c>
      <c r="K389" t="s">
        <v>4051</v>
      </c>
      <c r="L389" t="s">
        <v>8427</v>
      </c>
    </row>
    <row r="390" spans="1:12" x14ac:dyDescent="0.35">
      <c r="A390" t="str">
        <f t="shared" si="6"/>
        <v>Non-Current Derivative Liabilities</v>
      </c>
      <c r="B390" t="s">
        <v>174</v>
      </c>
      <c r="C390" t="s">
        <v>4052</v>
      </c>
      <c r="D390" t="s">
        <v>4053</v>
      </c>
      <c r="E390" t="s">
        <v>4054</v>
      </c>
      <c r="F390" t="s">
        <v>4055</v>
      </c>
      <c r="G390" t="s">
        <v>4056</v>
      </c>
      <c r="H390" t="s">
        <v>4057</v>
      </c>
      <c r="I390" t="s">
        <v>4058</v>
      </c>
      <c r="J390" t="s">
        <v>4059</v>
      </c>
      <c r="K390" t="s">
        <v>4060</v>
      </c>
      <c r="L390" t="s">
        <v>8428</v>
      </c>
    </row>
    <row r="391" spans="1:12" x14ac:dyDescent="0.35">
      <c r="A391" t="str">
        <f t="shared" si="6"/>
        <v>Derivative Trading Asset Securities</v>
      </c>
      <c r="B391" t="s">
        <v>175</v>
      </c>
      <c r="C391" t="s">
        <v>4061</v>
      </c>
      <c r="D391" t="s">
        <v>4062</v>
      </c>
      <c r="E391" t="s">
        <v>4063</v>
      </c>
      <c r="F391" t="s">
        <v>4064</v>
      </c>
      <c r="G391" t="s">
        <v>4065</v>
      </c>
      <c r="H391" t="s">
        <v>4066</v>
      </c>
      <c r="I391" t="s">
        <v>4067</v>
      </c>
      <c r="J391" t="s">
        <v>4068</v>
      </c>
      <c r="K391" t="s">
        <v>4069</v>
      </c>
      <c r="L391" t="s">
        <v>8429</v>
      </c>
    </row>
    <row r="392" spans="1:12" x14ac:dyDescent="0.35">
      <c r="A392" t="str">
        <f t="shared" si="6"/>
        <v>Current Derivative Assets</v>
      </c>
      <c r="B392" t="s">
        <v>278</v>
      </c>
      <c r="C392" t="s">
        <v>4070</v>
      </c>
      <c r="D392" t="s">
        <v>4071</v>
      </c>
      <c r="E392" t="s">
        <v>4072</v>
      </c>
      <c r="F392" t="s">
        <v>4073</v>
      </c>
      <c r="G392" t="s">
        <v>4074</v>
      </c>
      <c r="H392" t="s">
        <v>4075</v>
      </c>
      <c r="I392" t="s">
        <v>4076</v>
      </c>
      <c r="J392" t="s">
        <v>4077</v>
      </c>
      <c r="K392" t="s">
        <v>4078</v>
      </c>
      <c r="L392" t="s">
        <v>8430</v>
      </c>
    </row>
    <row r="393" spans="1:12" x14ac:dyDescent="0.35">
      <c r="A393" t="str">
        <f t="shared" si="6"/>
        <v>Long-Term Derivative Assets</v>
      </c>
      <c r="B393" t="s">
        <v>279</v>
      </c>
      <c r="C393" t="s">
        <v>4079</v>
      </c>
      <c r="D393" t="s">
        <v>4080</v>
      </c>
      <c r="E393" t="s">
        <v>4081</v>
      </c>
      <c r="F393" t="s">
        <v>4082</v>
      </c>
      <c r="G393" t="s">
        <v>4083</v>
      </c>
      <c r="H393" t="s">
        <v>4084</v>
      </c>
      <c r="I393" t="s">
        <v>4085</v>
      </c>
      <c r="J393" t="s">
        <v>4086</v>
      </c>
      <c r="K393" t="s">
        <v>4087</v>
      </c>
      <c r="L393" t="s">
        <v>8431</v>
      </c>
    </row>
    <row r="394" spans="1:12" x14ac:dyDescent="0.35">
      <c r="A394" t="str">
        <f t="shared" si="6"/>
        <v>Gross Intangible Assets</v>
      </c>
      <c r="B394" t="s">
        <v>280</v>
      </c>
      <c r="C394" t="s">
        <v>4088</v>
      </c>
      <c r="D394" t="s">
        <v>4089</v>
      </c>
      <c r="E394" t="s">
        <v>4090</v>
      </c>
      <c r="F394" t="s">
        <v>4091</v>
      </c>
      <c r="G394" t="s">
        <v>4092</v>
      </c>
      <c r="H394" t="s">
        <v>4093</v>
      </c>
      <c r="I394" t="s">
        <v>4094</v>
      </c>
      <c r="J394" t="s">
        <v>4095</v>
      </c>
      <c r="K394" t="s">
        <v>3453</v>
      </c>
      <c r="L394" t="s">
        <v>8432</v>
      </c>
    </row>
    <row r="395" spans="1:12" x14ac:dyDescent="0.35">
      <c r="A395" t="str">
        <f t="shared" si="6"/>
        <v>Accumulated Amortization of Intangible Assets</v>
      </c>
      <c r="B395" t="s">
        <v>281</v>
      </c>
      <c r="C395" t="s">
        <v>4096</v>
      </c>
      <c r="D395" t="s">
        <v>4097</v>
      </c>
      <c r="E395" t="s">
        <v>4098</v>
      </c>
      <c r="F395" t="s">
        <v>4099</v>
      </c>
      <c r="G395" t="s">
        <v>4100</v>
      </c>
      <c r="H395" t="s">
        <v>4101</v>
      </c>
      <c r="I395" t="s">
        <v>4102</v>
      </c>
      <c r="J395" t="s">
        <v>4103</v>
      </c>
      <c r="K395" t="s">
        <v>4104</v>
      </c>
      <c r="L395" t="s">
        <v>8433</v>
      </c>
    </row>
    <row r="396" spans="1:12" x14ac:dyDescent="0.35">
      <c r="A396" t="str">
        <f t="shared" si="6"/>
        <v>Gross Goodwill</v>
      </c>
      <c r="B396" t="s">
        <v>282</v>
      </c>
      <c r="C396" t="s">
        <v>4105</v>
      </c>
      <c r="D396" t="s">
        <v>4106</v>
      </c>
      <c r="E396" t="s">
        <v>4107</v>
      </c>
      <c r="F396" t="s">
        <v>4108</v>
      </c>
      <c r="G396" t="s">
        <v>4109</v>
      </c>
      <c r="H396" t="s">
        <v>4110</v>
      </c>
      <c r="I396" t="s">
        <v>4111</v>
      </c>
      <c r="J396" t="s">
        <v>4112</v>
      </c>
      <c r="K396" t="s">
        <v>4113</v>
      </c>
      <c r="L396" t="s">
        <v>8434</v>
      </c>
    </row>
    <row r="397" spans="1:12" x14ac:dyDescent="0.35">
      <c r="A397" t="str">
        <f t="shared" si="6"/>
        <v>Accumulated Amortization of Goodwill</v>
      </c>
      <c r="B397" t="s">
        <v>283</v>
      </c>
      <c r="C397" t="s">
        <v>4114</v>
      </c>
      <c r="D397" t="s">
        <v>4115</v>
      </c>
      <c r="E397" t="s">
        <v>4116</v>
      </c>
      <c r="F397" t="s">
        <v>4117</v>
      </c>
      <c r="G397" t="s">
        <v>4118</v>
      </c>
      <c r="H397" t="s">
        <v>4119</v>
      </c>
      <c r="I397" t="s">
        <v>4120</v>
      </c>
      <c r="J397" t="s">
        <v>4121</v>
      </c>
      <c r="K397" t="s">
        <v>4122</v>
      </c>
      <c r="L397" t="s">
        <v>8435</v>
      </c>
    </row>
    <row r="398" spans="1:12" x14ac:dyDescent="0.35">
      <c r="A398" t="str">
        <f t="shared" si="6"/>
        <v>Long Term Marketable Securities</v>
      </c>
      <c r="B398" t="s">
        <v>918</v>
      </c>
      <c r="C398" t="s">
        <v>4123</v>
      </c>
      <c r="D398" t="s">
        <v>4124</v>
      </c>
      <c r="E398" t="s">
        <v>4125</v>
      </c>
      <c r="F398" t="s">
        <v>4126</v>
      </c>
      <c r="G398" t="s">
        <v>4127</v>
      </c>
      <c r="H398" t="s">
        <v>4128</v>
      </c>
      <c r="I398" t="s">
        <v>4129</v>
      </c>
      <c r="J398" t="s">
        <v>4130</v>
      </c>
      <c r="K398" t="s">
        <v>4131</v>
      </c>
      <c r="L398" t="s">
        <v>8436</v>
      </c>
    </row>
    <row r="399" spans="1:12" x14ac:dyDescent="0.35">
      <c r="A399" t="str">
        <f t="shared" si="6"/>
        <v>Advances for Supplies</v>
      </c>
      <c r="B399" t="s">
        <v>941</v>
      </c>
      <c r="C399" t="s">
        <v>4132</v>
      </c>
      <c r="D399" t="s">
        <v>4133</v>
      </c>
      <c r="E399" t="s">
        <v>4134</v>
      </c>
      <c r="F399" t="s">
        <v>4135</v>
      </c>
      <c r="G399" t="s">
        <v>4136</v>
      </c>
      <c r="H399" t="s">
        <v>4137</v>
      </c>
      <c r="I399" t="s">
        <v>4138</v>
      </c>
      <c r="J399" t="s">
        <v>4139</v>
      </c>
      <c r="K399" t="s">
        <v>4140</v>
      </c>
      <c r="L399" t="s">
        <v>8437</v>
      </c>
    </row>
    <row r="400" spans="1:12" x14ac:dyDescent="0.35">
      <c r="A400" t="str">
        <f t="shared" si="6"/>
        <v>Goodwill and Intangibles (Net)</v>
      </c>
      <c r="B400" t="s">
        <v>942</v>
      </c>
      <c r="C400" t="s">
        <v>4141</v>
      </c>
      <c r="D400" t="s">
        <v>4142</v>
      </c>
      <c r="E400" t="s">
        <v>4143</v>
      </c>
      <c r="F400" t="s">
        <v>4144</v>
      </c>
      <c r="G400" t="s">
        <v>4145</v>
      </c>
      <c r="H400" t="s">
        <v>4146</v>
      </c>
      <c r="I400" t="s">
        <v>4147</v>
      </c>
      <c r="J400" t="s">
        <v>4148</v>
      </c>
      <c r="K400" t="s">
        <v>4149</v>
      </c>
      <c r="L400" t="s">
        <v>8438</v>
      </c>
    </row>
    <row r="401" spans="1:12" x14ac:dyDescent="0.35">
      <c r="A401" t="str">
        <f t="shared" si="6"/>
        <v>Goodwill (Net)</v>
      </c>
      <c r="B401" t="s">
        <v>943</v>
      </c>
      <c r="C401" t="s">
        <v>4150</v>
      </c>
      <c r="D401" t="s">
        <v>4151</v>
      </c>
      <c r="E401" t="s">
        <v>4152</v>
      </c>
      <c r="F401" t="s">
        <v>4153</v>
      </c>
      <c r="G401" t="s">
        <v>4154</v>
      </c>
      <c r="H401" t="s">
        <v>4155</v>
      </c>
      <c r="I401" t="s">
        <v>4156</v>
      </c>
      <c r="J401" t="s">
        <v>4157</v>
      </c>
      <c r="K401" t="s">
        <v>4158</v>
      </c>
      <c r="L401" t="s">
        <v>8439</v>
      </c>
    </row>
    <row r="402" spans="1:12" x14ac:dyDescent="0.35">
      <c r="A402" t="str">
        <f t="shared" si="6"/>
        <v>Intangibles (Net)</v>
      </c>
      <c r="B402" t="s">
        <v>944</v>
      </c>
      <c r="C402" t="s">
        <v>4159</v>
      </c>
      <c r="D402" t="s">
        <v>4160</v>
      </c>
      <c r="E402" t="s">
        <v>4161</v>
      </c>
      <c r="F402" t="s">
        <v>4162</v>
      </c>
      <c r="G402" t="s">
        <v>4163</v>
      </c>
      <c r="H402" t="s">
        <v>4164</v>
      </c>
      <c r="I402" t="s">
        <v>4165</v>
      </c>
      <c r="J402" t="s">
        <v>4166</v>
      </c>
      <c r="K402" t="s">
        <v>4167</v>
      </c>
      <c r="L402" t="s">
        <v>8440</v>
      </c>
    </row>
    <row r="403" spans="1:12" x14ac:dyDescent="0.35">
      <c r="A403" t="str">
        <f t="shared" si="6"/>
        <v>Intercompany Current Assets</v>
      </c>
      <c r="B403" t="s">
        <v>1009</v>
      </c>
      <c r="C403" t="s">
        <v>4168</v>
      </c>
      <c r="D403" t="s">
        <v>4169</v>
      </c>
      <c r="E403" t="s">
        <v>4170</v>
      </c>
      <c r="F403" t="s">
        <v>4171</v>
      </c>
      <c r="G403" t="s">
        <v>4172</v>
      </c>
      <c r="H403" t="s">
        <v>4173</v>
      </c>
      <c r="I403" t="s">
        <v>4174</v>
      </c>
      <c r="J403" t="s">
        <v>4175</v>
      </c>
      <c r="K403" t="s">
        <v>4176</v>
      </c>
      <c r="L403" t="s">
        <v>8441</v>
      </c>
    </row>
    <row r="404" spans="1:12" x14ac:dyDescent="0.35">
      <c r="A404" t="str">
        <f t="shared" si="6"/>
        <v>Intercompany Non-Current Assets</v>
      </c>
      <c r="B404" t="s">
        <v>945</v>
      </c>
      <c r="C404" t="s">
        <v>4177</v>
      </c>
      <c r="D404" t="s">
        <v>4178</v>
      </c>
      <c r="E404" t="s">
        <v>4179</v>
      </c>
      <c r="F404" t="s">
        <v>4180</v>
      </c>
      <c r="G404" t="s">
        <v>4181</v>
      </c>
      <c r="H404" t="s">
        <v>4182</v>
      </c>
      <c r="I404" t="s">
        <v>4183</v>
      </c>
      <c r="J404" t="s">
        <v>4184</v>
      </c>
      <c r="K404" t="s">
        <v>4185</v>
      </c>
      <c r="L404" t="s">
        <v>8442</v>
      </c>
    </row>
    <row r="405" spans="1:12" x14ac:dyDescent="0.35">
      <c r="A405" t="str">
        <f t="shared" si="6"/>
        <v>Intercompany Current Liabilities</v>
      </c>
      <c r="B405" t="s">
        <v>946</v>
      </c>
      <c r="C405" t="s">
        <v>4186</v>
      </c>
      <c r="D405" t="s">
        <v>4187</v>
      </c>
      <c r="E405" t="s">
        <v>4188</v>
      </c>
      <c r="F405" t="s">
        <v>4189</v>
      </c>
      <c r="G405" t="s">
        <v>4190</v>
      </c>
      <c r="H405" t="s">
        <v>4191</v>
      </c>
      <c r="I405" t="s">
        <v>4192</v>
      </c>
      <c r="J405" t="s">
        <v>4193</v>
      </c>
      <c r="K405" t="s">
        <v>4194</v>
      </c>
      <c r="L405" t="s">
        <v>8443</v>
      </c>
    </row>
    <row r="406" spans="1:12" x14ac:dyDescent="0.35">
      <c r="A406" t="str">
        <f t="shared" si="6"/>
        <v>Intercompany Non-Current Liabilities</v>
      </c>
      <c r="B406" t="s">
        <v>947</v>
      </c>
      <c r="C406" t="s">
        <v>4195</v>
      </c>
      <c r="D406" t="s">
        <v>4196</v>
      </c>
      <c r="E406" t="s">
        <v>4197</v>
      </c>
      <c r="F406" t="s">
        <v>4198</v>
      </c>
      <c r="G406" t="s">
        <v>4199</v>
      </c>
      <c r="H406" t="s">
        <v>4200</v>
      </c>
      <c r="I406" t="s">
        <v>4201</v>
      </c>
      <c r="J406" t="s">
        <v>4202</v>
      </c>
      <c r="K406" t="s">
        <v>4203</v>
      </c>
      <c r="L406" t="s">
        <v>8444</v>
      </c>
    </row>
    <row r="407" spans="1:12" x14ac:dyDescent="0.35">
      <c r="A407" t="str">
        <f t="shared" si="6"/>
        <v>Depreciation &amp; Amort., Total</v>
      </c>
      <c r="B407" t="s">
        <v>378</v>
      </c>
      <c r="C407" t="s">
        <v>4204</v>
      </c>
      <c r="D407" t="s">
        <v>4205</v>
      </c>
      <c r="E407" t="s">
        <v>4206</v>
      </c>
      <c r="F407" t="s">
        <v>4207</v>
      </c>
      <c r="G407" t="s">
        <v>4208</v>
      </c>
      <c r="H407" t="s">
        <v>1357</v>
      </c>
      <c r="I407" t="s">
        <v>4209</v>
      </c>
      <c r="J407" t="s">
        <v>4210</v>
      </c>
      <c r="K407" t="s">
        <v>4211</v>
      </c>
      <c r="L407" t="s">
        <v>8445</v>
      </c>
    </row>
    <row r="408" spans="1:12" x14ac:dyDescent="0.35">
      <c r="A408" t="str">
        <f t="shared" si="6"/>
        <v>Other Amortization</v>
      </c>
      <c r="B408" t="s">
        <v>260</v>
      </c>
      <c r="C408" t="s">
        <v>4212</v>
      </c>
      <c r="D408" t="s">
        <v>4213</v>
      </c>
      <c r="E408" t="s">
        <v>4214</v>
      </c>
      <c r="F408" t="s">
        <v>4215</v>
      </c>
      <c r="G408" t="s">
        <v>4216</v>
      </c>
      <c r="H408" t="s">
        <v>4217</v>
      </c>
      <c r="I408" t="s">
        <v>4218</v>
      </c>
      <c r="J408" t="s">
        <v>4219</v>
      </c>
      <c r="K408" t="s">
        <v>4220</v>
      </c>
      <c r="L408" t="s">
        <v>8446</v>
      </c>
    </row>
    <row r="409" spans="1:12" x14ac:dyDescent="0.35">
      <c r="A409" t="str">
        <f t="shared" si="6"/>
        <v>(Gain) Loss From Sale Of Asset</v>
      </c>
      <c r="B409" t="s">
        <v>136</v>
      </c>
      <c r="C409" t="s">
        <v>1504</v>
      </c>
      <c r="D409" t="s">
        <v>1505</v>
      </c>
      <c r="E409" t="s">
        <v>4221</v>
      </c>
      <c r="F409" t="s">
        <v>4222</v>
      </c>
      <c r="G409" t="s">
        <v>4223</v>
      </c>
      <c r="H409" t="s">
        <v>1509</v>
      </c>
      <c r="I409" t="s">
        <v>4224</v>
      </c>
      <c r="J409" t="s">
        <v>4225</v>
      </c>
      <c r="K409" t="s">
        <v>4226</v>
      </c>
      <c r="L409" t="s">
        <v>8447</v>
      </c>
    </row>
    <row r="410" spans="1:12" x14ac:dyDescent="0.35">
      <c r="A410" t="str">
        <f t="shared" si="6"/>
        <v>(Gain) Loss On Sale Of Invest.</v>
      </c>
      <c r="B410" t="s">
        <v>379</v>
      </c>
      <c r="C410" t="s">
        <v>1495</v>
      </c>
      <c r="D410" t="s">
        <v>1496</v>
      </c>
      <c r="E410" t="s">
        <v>4227</v>
      </c>
      <c r="F410" t="s">
        <v>4228</v>
      </c>
      <c r="G410" t="s">
        <v>4229</v>
      </c>
      <c r="H410" t="s">
        <v>1500</v>
      </c>
      <c r="I410" t="s">
        <v>4230</v>
      </c>
      <c r="J410" t="s">
        <v>4231</v>
      </c>
      <c r="K410" t="s">
        <v>4232</v>
      </c>
      <c r="L410" t="s">
        <v>8448</v>
      </c>
    </row>
    <row r="411" spans="1:12" x14ac:dyDescent="0.35">
      <c r="A411" t="str">
        <f t="shared" si="6"/>
        <v>Asset Writedown &amp; Restructuring Costs</v>
      </c>
      <c r="B411" t="s">
        <v>137</v>
      </c>
      <c r="C411" t="s">
        <v>4233</v>
      </c>
      <c r="D411" t="s">
        <v>4234</v>
      </c>
      <c r="E411" t="s">
        <v>4235</v>
      </c>
      <c r="F411" t="s">
        <v>4236</v>
      </c>
      <c r="G411" t="s">
        <v>4237</v>
      </c>
      <c r="H411" t="s">
        <v>4238</v>
      </c>
      <c r="I411" t="s">
        <v>4239</v>
      </c>
      <c r="J411" t="s">
        <v>4240</v>
      </c>
      <c r="K411" t="s">
        <v>4241</v>
      </c>
      <c r="L411" t="s">
        <v>8449</v>
      </c>
    </row>
    <row r="412" spans="1:12" x14ac:dyDescent="0.35">
      <c r="A412" t="str">
        <f t="shared" si="6"/>
        <v>Net (Increase) Decrease in Loans Orig./Sold</v>
      </c>
      <c r="B412" t="s">
        <v>138</v>
      </c>
      <c r="C412" t="s">
        <v>4242</v>
      </c>
      <c r="D412" t="s">
        <v>4243</v>
      </c>
      <c r="E412" t="s">
        <v>4244</v>
      </c>
      <c r="F412" t="s">
        <v>4245</v>
      </c>
      <c r="G412" t="s">
        <v>4246</v>
      </c>
      <c r="H412" t="s">
        <v>4247</v>
      </c>
      <c r="I412" t="s">
        <v>4248</v>
      </c>
      <c r="J412" t="s">
        <v>4249</v>
      </c>
      <c r="K412" t="s">
        <v>4250</v>
      </c>
      <c r="L412" t="s">
        <v>8450</v>
      </c>
    </row>
    <row r="413" spans="1:12" x14ac:dyDescent="0.35">
      <c r="A413" t="str">
        <f t="shared" si="6"/>
        <v>Provision for Credit Losses</v>
      </c>
      <c r="B413" t="s">
        <v>139</v>
      </c>
      <c r="C413" t="s">
        <v>4251</v>
      </c>
      <c r="D413" t="s">
        <v>4252</v>
      </c>
      <c r="E413" t="s">
        <v>4253</v>
      </c>
      <c r="F413" t="s">
        <v>4254</v>
      </c>
      <c r="G413" t="s">
        <v>4255</v>
      </c>
      <c r="H413" t="s">
        <v>4256</v>
      </c>
      <c r="I413" t="s">
        <v>4257</v>
      </c>
      <c r="J413" t="s">
        <v>4258</v>
      </c>
      <c r="K413" t="s">
        <v>4259</v>
      </c>
      <c r="L413" t="s">
        <v>8451</v>
      </c>
    </row>
    <row r="414" spans="1:12" x14ac:dyDescent="0.35">
      <c r="A414" t="str">
        <f t="shared" si="6"/>
        <v>(Income) Loss on Equity Invest.</v>
      </c>
      <c r="B414" t="s">
        <v>380</v>
      </c>
      <c r="C414" t="s">
        <v>4260</v>
      </c>
      <c r="D414" t="s">
        <v>4261</v>
      </c>
      <c r="E414" t="s">
        <v>4262</v>
      </c>
      <c r="F414" t="s">
        <v>4263</v>
      </c>
      <c r="G414" t="s">
        <v>4264</v>
      </c>
      <c r="H414" t="s">
        <v>1437</v>
      </c>
      <c r="I414" t="s">
        <v>4265</v>
      </c>
      <c r="J414" t="s">
        <v>4266</v>
      </c>
      <c r="K414" t="s">
        <v>4267</v>
      </c>
      <c r="L414" t="s">
        <v>8452</v>
      </c>
    </row>
    <row r="415" spans="1:12" x14ac:dyDescent="0.35">
      <c r="A415" t="str">
        <f t="shared" si="6"/>
        <v>Tax Benefit from Stock Options</v>
      </c>
      <c r="B415" t="s">
        <v>140</v>
      </c>
      <c r="C415" t="s">
        <v>4268</v>
      </c>
      <c r="D415" t="s">
        <v>4269</v>
      </c>
      <c r="E415" t="s">
        <v>4270</v>
      </c>
      <c r="F415" t="s">
        <v>4271</v>
      </c>
      <c r="G415" t="s">
        <v>4272</v>
      </c>
      <c r="H415" t="s">
        <v>4273</v>
      </c>
      <c r="I415" t="s">
        <v>4274</v>
      </c>
      <c r="J415" t="s">
        <v>4275</v>
      </c>
      <c r="K415" t="s">
        <v>4276</v>
      </c>
      <c r="L415" t="s">
        <v>8453</v>
      </c>
    </row>
    <row r="416" spans="1:12" x14ac:dyDescent="0.35">
      <c r="A416" t="str">
        <f t="shared" si="6"/>
        <v>Provision &amp; Write-off of Bad debts</v>
      </c>
      <c r="B416" t="s">
        <v>141</v>
      </c>
      <c r="C416" t="s">
        <v>4277</v>
      </c>
      <c r="D416" t="s">
        <v>4278</v>
      </c>
      <c r="E416" t="s">
        <v>4279</v>
      </c>
      <c r="F416" t="s">
        <v>4280</v>
      </c>
      <c r="G416" t="s">
        <v>4281</v>
      </c>
      <c r="H416" t="s">
        <v>4282</v>
      </c>
      <c r="I416" t="s">
        <v>4283</v>
      </c>
      <c r="J416" t="s">
        <v>4284</v>
      </c>
      <c r="K416" t="s">
        <v>4285</v>
      </c>
      <c r="L416" t="s">
        <v>8454</v>
      </c>
    </row>
    <row r="417" spans="1:12" x14ac:dyDescent="0.35">
      <c r="A417" t="str">
        <f t="shared" si="6"/>
        <v>Net Cash From Discontinued Ops.</v>
      </c>
      <c r="B417" t="s">
        <v>142</v>
      </c>
      <c r="C417" t="s">
        <v>4286</v>
      </c>
      <c r="D417" t="s">
        <v>4287</v>
      </c>
      <c r="E417" t="s">
        <v>4288</v>
      </c>
      <c r="F417" t="s">
        <v>4289</v>
      </c>
      <c r="G417" t="s">
        <v>4290</v>
      </c>
      <c r="H417" t="s">
        <v>4291</v>
      </c>
      <c r="I417" t="s">
        <v>4292</v>
      </c>
      <c r="J417" t="s">
        <v>4293</v>
      </c>
      <c r="K417" t="s">
        <v>4294</v>
      </c>
      <c r="L417" t="s">
        <v>8455</v>
      </c>
    </row>
    <row r="418" spans="1:12" x14ac:dyDescent="0.35">
      <c r="A418" t="str">
        <f t="shared" si="6"/>
        <v>Other Operating Activities</v>
      </c>
      <c r="B418" t="s">
        <v>382</v>
      </c>
      <c r="C418" t="s">
        <v>4295</v>
      </c>
      <c r="D418" t="s">
        <v>4296</v>
      </c>
      <c r="E418" t="s">
        <v>4297</v>
      </c>
      <c r="F418" t="s">
        <v>4298</v>
      </c>
      <c r="G418" t="s">
        <v>4299</v>
      </c>
      <c r="H418" t="s">
        <v>4300</v>
      </c>
      <c r="I418" t="s">
        <v>4301</v>
      </c>
      <c r="J418" t="s">
        <v>4302</v>
      </c>
      <c r="K418" t="s">
        <v>4303</v>
      </c>
      <c r="L418" t="s">
        <v>8456</v>
      </c>
    </row>
    <row r="419" spans="1:12" x14ac:dyDescent="0.35">
      <c r="A419" t="str">
        <f t="shared" si="6"/>
        <v>Change in Trad. Asset Securities</v>
      </c>
      <c r="B419" t="s">
        <v>143</v>
      </c>
      <c r="C419" t="s">
        <v>4304</v>
      </c>
      <c r="D419" t="s">
        <v>4305</v>
      </c>
      <c r="E419" t="s">
        <v>4306</v>
      </c>
      <c r="F419" t="s">
        <v>4307</v>
      </c>
      <c r="G419" t="s">
        <v>4308</v>
      </c>
      <c r="H419" t="s">
        <v>4309</v>
      </c>
      <c r="I419" t="s">
        <v>4310</v>
      </c>
      <c r="J419" t="s">
        <v>4311</v>
      </c>
      <c r="K419" t="s">
        <v>4312</v>
      </c>
      <c r="L419" t="s">
        <v>8457</v>
      </c>
    </row>
    <row r="420" spans="1:12" x14ac:dyDescent="0.35">
      <c r="A420" t="str">
        <f t="shared" si="6"/>
        <v>Change in Acc. Receivable</v>
      </c>
      <c r="B420" t="s">
        <v>383</v>
      </c>
      <c r="C420" t="s">
        <v>4313</v>
      </c>
      <c r="D420" t="s">
        <v>4314</v>
      </c>
      <c r="E420" t="s">
        <v>4315</v>
      </c>
      <c r="F420" t="s">
        <v>4316</v>
      </c>
      <c r="G420" t="s">
        <v>4317</v>
      </c>
      <c r="H420" t="s">
        <v>4318</v>
      </c>
      <c r="I420" t="s">
        <v>4319</v>
      </c>
      <c r="J420" t="s">
        <v>4320</v>
      </c>
      <c r="K420" t="s">
        <v>4321</v>
      </c>
      <c r="L420" t="s">
        <v>8458</v>
      </c>
    </row>
    <row r="421" spans="1:12" x14ac:dyDescent="0.35">
      <c r="A421" t="str">
        <f t="shared" si="6"/>
        <v>Change In Inventories</v>
      </c>
      <c r="B421" t="s">
        <v>384</v>
      </c>
      <c r="C421" t="s">
        <v>4322</v>
      </c>
      <c r="D421" t="s">
        <v>4323</v>
      </c>
      <c r="E421" t="s">
        <v>4324</v>
      </c>
      <c r="F421" t="s">
        <v>4325</v>
      </c>
      <c r="G421" t="s">
        <v>4326</v>
      </c>
      <c r="H421" t="s">
        <v>4327</v>
      </c>
      <c r="I421" t="s">
        <v>4328</v>
      </c>
      <c r="J421" t="s">
        <v>4329</v>
      </c>
      <c r="K421" t="s">
        <v>4330</v>
      </c>
      <c r="L421" t="s">
        <v>8459</v>
      </c>
    </row>
    <row r="422" spans="1:12" x14ac:dyDescent="0.35">
      <c r="A422" t="str">
        <f t="shared" si="6"/>
        <v>Change in Acc. Payable</v>
      </c>
      <c r="B422" t="s">
        <v>385</v>
      </c>
      <c r="C422" t="s">
        <v>4331</v>
      </c>
      <c r="D422" t="s">
        <v>4332</v>
      </c>
      <c r="E422" t="s">
        <v>4333</v>
      </c>
      <c r="F422" t="s">
        <v>4334</v>
      </c>
      <c r="G422" t="s">
        <v>4335</v>
      </c>
      <c r="H422" t="s">
        <v>4336</v>
      </c>
      <c r="I422" t="s">
        <v>4337</v>
      </c>
      <c r="J422" t="s">
        <v>4338</v>
      </c>
      <c r="K422" t="s">
        <v>4339</v>
      </c>
      <c r="L422" t="s">
        <v>8460</v>
      </c>
    </row>
    <row r="423" spans="1:12" x14ac:dyDescent="0.35">
      <c r="A423" t="str">
        <f t="shared" si="6"/>
        <v>Change in Unearned Rev.</v>
      </c>
      <c r="B423" t="s">
        <v>144</v>
      </c>
      <c r="C423" t="s">
        <v>4340</v>
      </c>
      <c r="D423" t="s">
        <v>4341</v>
      </c>
      <c r="E423" t="s">
        <v>4342</v>
      </c>
      <c r="F423" t="s">
        <v>4343</v>
      </c>
      <c r="G423" t="s">
        <v>4344</v>
      </c>
      <c r="H423" t="s">
        <v>4345</v>
      </c>
      <c r="I423" t="s">
        <v>4346</v>
      </c>
      <c r="J423" t="s">
        <v>4347</v>
      </c>
      <c r="K423" t="s">
        <v>4348</v>
      </c>
      <c r="L423" t="s">
        <v>8461</v>
      </c>
    </row>
    <row r="424" spans="1:12" x14ac:dyDescent="0.35">
      <c r="A424" t="str">
        <f t="shared" si="6"/>
        <v>Change in Inc. Taxes</v>
      </c>
      <c r="B424" t="s">
        <v>386</v>
      </c>
      <c r="C424" t="s">
        <v>4349</v>
      </c>
      <c r="D424" t="s">
        <v>4350</v>
      </c>
      <c r="E424" t="s">
        <v>4351</v>
      </c>
      <c r="F424" t="s">
        <v>4352</v>
      </c>
      <c r="G424" t="s">
        <v>4353</v>
      </c>
      <c r="H424" t="s">
        <v>4354</v>
      </c>
      <c r="I424" t="s">
        <v>4355</v>
      </c>
      <c r="J424" t="s">
        <v>4356</v>
      </c>
      <c r="K424" t="s">
        <v>4357</v>
      </c>
      <c r="L424" t="s">
        <v>8462</v>
      </c>
    </row>
    <row r="425" spans="1:12" x14ac:dyDescent="0.35">
      <c r="A425" t="str">
        <f t="shared" si="6"/>
        <v>Change in Def. Taxes</v>
      </c>
      <c r="B425" t="s">
        <v>387</v>
      </c>
      <c r="C425" t="s">
        <v>4358</v>
      </c>
      <c r="D425" t="s">
        <v>4359</v>
      </c>
      <c r="E425" t="s">
        <v>4360</v>
      </c>
      <c r="F425" t="s">
        <v>4361</v>
      </c>
      <c r="G425" t="s">
        <v>4362</v>
      </c>
      <c r="H425" t="s">
        <v>4363</v>
      </c>
      <c r="I425" t="s">
        <v>4364</v>
      </c>
      <c r="J425" t="s">
        <v>4365</v>
      </c>
      <c r="K425" t="s">
        <v>4366</v>
      </c>
      <c r="L425" t="s">
        <v>8463</v>
      </c>
    </row>
    <row r="426" spans="1:12" x14ac:dyDescent="0.35">
      <c r="A426" t="str">
        <f t="shared" si="6"/>
        <v>Change In Other Net Operating Assets</v>
      </c>
      <c r="B426" t="s">
        <v>653</v>
      </c>
      <c r="C426" t="s">
        <v>4367</v>
      </c>
      <c r="D426" t="s">
        <v>4368</v>
      </c>
      <c r="E426" t="s">
        <v>4369</v>
      </c>
      <c r="F426" t="s">
        <v>4370</v>
      </c>
      <c r="G426" t="s">
        <v>4371</v>
      </c>
      <c r="H426" t="s">
        <v>4372</v>
      </c>
      <c r="I426" t="s">
        <v>4373</v>
      </c>
      <c r="J426" t="s">
        <v>4374</v>
      </c>
      <c r="K426" t="s">
        <v>4375</v>
      </c>
      <c r="L426" t="s">
        <v>8464</v>
      </c>
    </row>
    <row r="427" spans="1:12" x14ac:dyDescent="0.35">
      <c r="A427" t="str">
        <f t="shared" si="6"/>
        <v>Cash from Ops.</v>
      </c>
      <c r="B427" t="s">
        <v>145</v>
      </c>
      <c r="C427" t="s">
        <v>4376</v>
      </c>
      <c r="D427" t="s">
        <v>4377</v>
      </c>
      <c r="E427" t="s">
        <v>4378</v>
      </c>
      <c r="F427" t="s">
        <v>4379</v>
      </c>
      <c r="G427" t="s">
        <v>4380</v>
      </c>
      <c r="H427" t="s">
        <v>4381</v>
      </c>
      <c r="I427" t="s">
        <v>4382</v>
      </c>
      <c r="J427" t="s">
        <v>4383</v>
      </c>
      <c r="K427" t="s">
        <v>4384</v>
      </c>
      <c r="L427" t="s">
        <v>8465</v>
      </c>
    </row>
    <row r="428" spans="1:12" x14ac:dyDescent="0.35">
      <c r="A428" t="str">
        <f t="shared" si="6"/>
        <v>Capital Expenditure</v>
      </c>
      <c r="B428" t="s">
        <v>388</v>
      </c>
      <c r="C428" t="s">
        <v>4385</v>
      </c>
      <c r="D428" t="s">
        <v>4386</v>
      </c>
      <c r="E428" t="s">
        <v>4387</v>
      </c>
      <c r="F428" t="s">
        <v>4388</v>
      </c>
      <c r="G428" t="s">
        <v>4389</v>
      </c>
      <c r="H428" t="s">
        <v>4390</v>
      </c>
      <c r="I428" t="s">
        <v>4391</v>
      </c>
      <c r="J428" t="s">
        <v>4392</v>
      </c>
      <c r="K428" t="s">
        <v>4393</v>
      </c>
      <c r="L428" t="s">
        <v>8466</v>
      </c>
    </row>
    <row r="429" spans="1:12" x14ac:dyDescent="0.35">
      <c r="A429" t="str">
        <f t="shared" si="6"/>
        <v>Sale of Property, Plant, and Equipment</v>
      </c>
      <c r="B429" t="s">
        <v>389</v>
      </c>
      <c r="C429" t="s">
        <v>4394</v>
      </c>
      <c r="D429" t="s">
        <v>4395</v>
      </c>
      <c r="E429" t="s">
        <v>4396</v>
      </c>
      <c r="F429" t="s">
        <v>4397</v>
      </c>
      <c r="G429" t="s">
        <v>4398</v>
      </c>
      <c r="H429" t="s">
        <v>4399</v>
      </c>
      <c r="I429" t="s">
        <v>4400</v>
      </c>
      <c r="J429" t="s">
        <v>4401</v>
      </c>
      <c r="K429" t="s">
        <v>4402</v>
      </c>
      <c r="L429" t="s">
        <v>8467</v>
      </c>
    </row>
    <row r="430" spans="1:12" x14ac:dyDescent="0.35">
      <c r="A430" t="str">
        <f t="shared" si="6"/>
        <v>Cash Acquisitions</v>
      </c>
      <c r="B430" t="s">
        <v>390</v>
      </c>
      <c r="C430" t="s">
        <v>4403</v>
      </c>
      <c r="D430" t="s">
        <v>4404</v>
      </c>
      <c r="E430" t="s">
        <v>4405</v>
      </c>
      <c r="F430" t="s">
        <v>4406</v>
      </c>
      <c r="G430" t="s">
        <v>4407</v>
      </c>
      <c r="H430" t="s">
        <v>4408</v>
      </c>
      <c r="I430" t="s">
        <v>4409</v>
      </c>
      <c r="J430" t="s">
        <v>4410</v>
      </c>
      <c r="K430" t="s">
        <v>4411</v>
      </c>
      <c r="L430" t="s">
        <v>8468</v>
      </c>
    </row>
    <row r="431" spans="1:12" x14ac:dyDescent="0.35">
      <c r="A431" t="str">
        <f t="shared" si="6"/>
        <v>Divestitures</v>
      </c>
      <c r="B431" t="s">
        <v>391</v>
      </c>
      <c r="C431" t="s">
        <v>4412</v>
      </c>
      <c r="D431" t="s">
        <v>4413</v>
      </c>
      <c r="E431" t="s">
        <v>4414</v>
      </c>
      <c r="F431" t="s">
        <v>4415</v>
      </c>
      <c r="G431" t="s">
        <v>4416</v>
      </c>
      <c r="H431" t="s">
        <v>4417</v>
      </c>
      <c r="I431" t="s">
        <v>4418</v>
      </c>
      <c r="J431" t="s">
        <v>4419</v>
      </c>
      <c r="K431" t="s">
        <v>4420</v>
      </c>
      <c r="L431" t="s">
        <v>8469</v>
      </c>
    </row>
    <row r="432" spans="1:12" x14ac:dyDescent="0.35">
      <c r="A432" t="str">
        <f t="shared" si="6"/>
        <v>Sale/(Purchase) of Real Estate Properties</v>
      </c>
      <c r="B432" t="s">
        <v>146</v>
      </c>
      <c r="C432" t="s">
        <v>4421</v>
      </c>
      <c r="D432" t="s">
        <v>4422</v>
      </c>
      <c r="E432" t="s">
        <v>4423</v>
      </c>
      <c r="F432" t="s">
        <v>4424</v>
      </c>
      <c r="G432" t="s">
        <v>4425</v>
      </c>
      <c r="H432" t="s">
        <v>4426</v>
      </c>
      <c r="I432" t="s">
        <v>4427</v>
      </c>
      <c r="J432" t="s">
        <v>4428</v>
      </c>
      <c r="K432" t="s">
        <v>4429</v>
      </c>
      <c r="L432" t="s">
        <v>8470</v>
      </c>
    </row>
    <row r="433" spans="1:12" x14ac:dyDescent="0.35">
      <c r="A433" t="str">
        <f t="shared" si="6"/>
        <v>Sale/(Purchase) of Intangible Assets</v>
      </c>
      <c r="B433" t="s">
        <v>147</v>
      </c>
      <c r="C433" t="s">
        <v>4430</v>
      </c>
      <c r="D433" t="s">
        <v>4431</v>
      </c>
      <c r="E433" t="s">
        <v>4432</v>
      </c>
      <c r="F433" t="s">
        <v>4433</v>
      </c>
      <c r="G433" t="s">
        <v>4434</v>
      </c>
      <c r="H433" t="s">
        <v>4435</v>
      </c>
      <c r="I433" t="s">
        <v>4436</v>
      </c>
      <c r="J433" t="s">
        <v>4437</v>
      </c>
      <c r="K433" t="s">
        <v>4438</v>
      </c>
      <c r="L433" t="s">
        <v>8471</v>
      </c>
    </row>
    <row r="434" spans="1:12" x14ac:dyDescent="0.35">
      <c r="A434" t="str">
        <f t="shared" si="6"/>
        <v>Invest. in Marketable &amp; Equity Sec.</v>
      </c>
      <c r="B434" t="s">
        <v>148</v>
      </c>
      <c r="C434" t="s">
        <v>4439</v>
      </c>
      <c r="D434" t="s">
        <v>4440</v>
      </c>
      <c r="E434" t="s">
        <v>4441</v>
      </c>
      <c r="F434" t="s">
        <v>4442</v>
      </c>
      <c r="G434" t="s">
        <v>4443</v>
      </c>
      <c r="H434" t="s">
        <v>4444</v>
      </c>
      <c r="I434" t="s">
        <v>4445</v>
      </c>
      <c r="J434" t="s">
        <v>4446</v>
      </c>
      <c r="K434" t="s">
        <v>4447</v>
      </c>
      <c r="L434" t="s">
        <v>8472</v>
      </c>
    </row>
    <row r="435" spans="1:12" x14ac:dyDescent="0.35">
      <c r="A435" t="str">
        <f t="shared" si="6"/>
        <v>Net (Inc.) Dec. in Loans Originated/Sold</v>
      </c>
      <c r="B435" t="s">
        <v>392</v>
      </c>
      <c r="C435" t="s">
        <v>4448</v>
      </c>
      <c r="D435" t="s">
        <v>4449</v>
      </c>
      <c r="E435" t="s">
        <v>4450</v>
      </c>
      <c r="F435" t="s">
        <v>4451</v>
      </c>
      <c r="G435" t="s">
        <v>4452</v>
      </c>
      <c r="H435" t="s">
        <v>4453</v>
      </c>
      <c r="I435" t="s">
        <v>4454</v>
      </c>
      <c r="J435" t="s">
        <v>4455</v>
      </c>
      <c r="K435" t="s">
        <v>4250</v>
      </c>
      <c r="L435" t="s">
        <v>8473</v>
      </c>
    </row>
    <row r="436" spans="1:12" x14ac:dyDescent="0.35">
      <c r="A436" t="str">
        <f t="shared" si="6"/>
        <v>Other Investing Activities</v>
      </c>
      <c r="B436" t="s">
        <v>393</v>
      </c>
      <c r="C436" t="s">
        <v>4456</v>
      </c>
      <c r="D436" t="s">
        <v>4457</v>
      </c>
      <c r="E436" t="s">
        <v>4458</v>
      </c>
      <c r="F436" t="s">
        <v>4459</v>
      </c>
      <c r="G436" t="s">
        <v>4460</v>
      </c>
      <c r="H436" t="s">
        <v>4461</v>
      </c>
      <c r="I436" t="s">
        <v>4462</v>
      </c>
      <c r="J436" t="s">
        <v>4463</v>
      </c>
      <c r="K436" t="s">
        <v>4464</v>
      </c>
      <c r="L436" t="s">
        <v>8474</v>
      </c>
    </row>
    <row r="437" spans="1:12" x14ac:dyDescent="0.35">
      <c r="A437" t="str">
        <f t="shared" si="6"/>
        <v>Cash from Investing</v>
      </c>
      <c r="B437" t="s">
        <v>149</v>
      </c>
      <c r="C437" t="s">
        <v>4465</v>
      </c>
      <c r="D437" t="s">
        <v>4466</v>
      </c>
      <c r="E437" t="s">
        <v>4467</v>
      </c>
      <c r="F437" t="s">
        <v>4468</v>
      </c>
      <c r="G437" t="s">
        <v>4469</v>
      </c>
      <c r="H437" t="s">
        <v>4470</v>
      </c>
      <c r="I437" t="s">
        <v>4471</v>
      </c>
      <c r="J437" t="s">
        <v>4472</v>
      </c>
      <c r="K437" t="s">
        <v>4473</v>
      </c>
      <c r="L437" t="s">
        <v>8475</v>
      </c>
    </row>
    <row r="438" spans="1:12" x14ac:dyDescent="0.35">
      <c r="A438" t="str">
        <f t="shared" si="6"/>
        <v>Short Term Debt Issued</v>
      </c>
      <c r="B438" t="s">
        <v>394</v>
      </c>
      <c r="C438" t="s">
        <v>4474</v>
      </c>
      <c r="D438" t="s">
        <v>4475</v>
      </c>
      <c r="E438" t="s">
        <v>4476</v>
      </c>
      <c r="F438" t="s">
        <v>4477</v>
      </c>
      <c r="G438" t="s">
        <v>4478</v>
      </c>
      <c r="H438" t="s">
        <v>4479</v>
      </c>
      <c r="I438" t="s">
        <v>4480</v>
      </c>
      <c r="J438" t="s">
        <v>4481</v>
      </c>
      <c r="K438" t="s">
        <v>4482</v>
      </c>
      <c r="L438" t="s">
        <v>8476</v>
      </c>
    </row>
    <row r="439" spans="1:12" x14ac:dyDescent="0.35">
      <c r="A439" t="str">
        <f t="shared" si="6"/>
        <v>Long-Term Debt Issued</v>
      </c>
      <c r="B439" t="s">
        <v>395</v>
      </c>
      <c r="C439" t="s">
        <v>4483</v>
      </c>
      <c r="D439" t="s">
        <v>4484</v>
      </c>
      <c r="E439" t="s">
        <v>4485</v>
      </c>
      <c r="F439" t="s">
        <v>4486</v>
      </c>
      <c r="G439" t="s">
        <v>4487</v>
      </c>
      <c r="H439" t="s">
        <v>4488</v>
      </c>
      <c r="I439" t="s">
        <v>4489</v>
      </c>
      <c r="J439" t="s">
        <v>4490</v>
      </c>
      <c r="K439" t="s">
        <v>4491</v>
      </c>
      <c r="L439" t="s">
        <v>8477</v>
      </c>
    </row>
    <row r="440" spans="1:12" x14ac:dyDescent="0.35">
      <c r="A440" t="str">
        <f t="shared" si="6"/>
        <v>Total Debt Issued</v>
      </c>
      <c r="B440" t="s">
        <v>396</v>
      </c>
      <c r="C440" t="s">
        <v>4492</v>
      </c>
      <c r="D440" t="s">
        <v>4493</v>
      </c>
      <c r="E440" t="s">
        <v>4494</v>
      </c>
      <c r="F440" t="s">
        <v>4495</v>
      </c>
      <c r="G440" t="s">
        <v>4496</v>
      </c>
      <c r="H440" t="s">
        <v>4497</v>
      </c>
      <c r="I440" t="s">
        <v>4498</v>
      </c>
      <c r="J440" t="s">
        <v>4499</v>
      </c>
      <c r="K440" t="s">
        <v>4500</v>
      </c>
      <c r="L440" t="s">
        <v>8478</v>
      </c>
    </row>
    <row r="441" spans="1:12" x14ac:dyDescent="0.35">
      <c r="A441" t="str">
        <f t="shared" si="6"/>
        <v>Short Term Debt Repaid</v>
      </c>
      <c r="B441" t="s">
        <v>397</v>
      </c>
      <c r="C441" t="s">
        <v>4501</v>
      </c>
      <c r="D441" t="s">
        <v>4502</v>
      </c>
      <c r="E441" t="s">
        <v>4503</v>
      </c>
      <c r="F441" t="s">
        <v>4504</v>
      </c>
      <c r="G441" t="s">
        <v>4505</v>
      </c>
      <c r="H441" t="s">
        <v>4506</v>
      </c>
      <c r="I441" t="s">
        <v>4507</v>
      </c>
      <c r="J441" t="s">
        <v>4508</v>
      </c>
      <c r="K441" t="s">
        <v>4509</v>
      </c>
      <c r="L441" t="s">
        <v>8479</v>
      </c>
    </row>
    <row r="442" spans="1:12" x14ac:dyDescent="0.35">
      <c r="A442" t="str">
        <f t="shared" si="6"/>
        <v>Long-Term Debt Repaid</v>
      </c>
      <c r="B442" t="s">
        <v>398</v>
      </c>
      <c r="C442" t="s">
        <v>4510</v>
      </c>
      <c r="D442" t="s">
        <v>4511</v>
      </c>
      <c r="E442" t="s">
        <v>4512</v>
      </c>
      <c r="F442" t="s">
        <v>4513</v>
      </c>
      <c r="G442" t="s">
        <v>4514</v>
      </c>
      <c r="H442" t="s">
        <v>4515</v>
      </c>
      <c r="I442" t="s">
        <v>4516</v>
      </c>
      <c r="J442" t="s">
        <v>4517</v>
      </c>
      <c r="K442" t="s">
        <v>4518</v>
      </c>
      <c r="L442" t="s">
        <v>8480</v>
      </c>
    </row>
    <row r="443" spans="1:12" x14ac:dyDescent="0.35">
      <c r="A443" t="str">
        <f t="shared" si="6"/>
        <v>Total Debt Repaid</v>
      </c>
      <c r="B443" t="s">
        <v>399</v>
      </c>
      <c r="C443" t="s">
        <v>4519</v>
      </c>
      <c r="D443" t="s">
        <v>4520</v>
      </c>
      <c r="E443" t="s">
        <v>4521</v>
      </c>
      <c r="F443" t="s">
        <v>4522</v>
      </c>
      <c r="G443" t="s">
        <v>4523</v>
      </c>
      <c r="H443" t="s">
        <v>4524</v>
      </c>
      <c r="I443" t="s">
        <v>4525</v>
      </c>
      <c r="J443" t="s">
        <v>4526</v>
      </c>
      <c r="K443" t="s">
        <v>4527</v>
      </c>
      <c r="L443" t="s">
        <v>8481</v>
      </c>
    </row>
    <row r="444" spans="1:12" x14ac:dyDescent="0.35">
      <c r="A444" t="str">
        <f t="shared" si="6"/>
        <v>Issuance of Common Stock</v>
      </c>
      <c r="B444" t="s">
        <v>400</v>
      </c>
      <c r="C444" t="s">
        <v>4528</v>
      </c>
      <c r="D444" t="s">
        <v>4529</v>
      </c>
      <c r="E444" t="s">
        <v>4530</v>
      </c>
      <c r="F444" t="s">
        <v>4531</v>
      </c>
      <c r="G444" t="s">
        <v>4532</v>
      </c>
      <c r="H444" t="s">
        <v>4533</v>
      </c>
      <c r="I444" t="s">
        <v>4534</v>
      </c>
      <c r="J444" t="s">
        <v>4535</v>
      </c>
      <c r="K444" t="s">
        <v>4536</v>
      </c>
      <c r="L444" t="s">
        <v>8482</v>
      </c>
    </row>
    <row r="445" spans="1:12" x14ac:dyDescent="0.35">
      <c r="A445" t="str">
        <f t="shared" si="6"/>
        <v>Repurchase of Common</v>
      </c>
      <c r="B445" t="s">
        <v>401</v>
      </c>
      <c r="C445" t="s">
        <v>4537</v>
      </c>
      <c r="D445" t="s">
        <v>4538</v>
      </c>
      <c r="E445" t="s">
        <v>4539</v>
      </c>
      <c r="F445" t="s">
        <v>4540</v>
      </c>
      <c r="G445" t="s">
        <v>4541</v>
      </c>
      <c r="H445" t="s">
        <v>4542</v>
      </c>
      <c r="I445" t="s">
        <v>4543</v>
      </c>
      <c r="J445" t="s">
        <v>4544</v>
      </c>
      <c r="K445" t="s">
        <v>4545</v>
      </c>
      <c r="L445" t="s">
        <v>8483</v>
      </c>
    </row>
    <row r="446" spans="1:12" x14ac:dyDescent="0.35">
      <c r="A446" t="str">
        <f t="shared" ref="A446:A502" si="7">INDEX($B446:$CW446,,$A$5)</f>
        <v>Issuance of Pref. Stock</v>
      </c>
      <c r="B446" t="s">
        <v>402</v>
      </c>
      <c r="C446" t="s">
        <v>4546</v>
      </c>
      <c r="D446" t="s">
        <v>4547</v>
      </c>
      <c r="E446" t="s">
        <v>4548</v>
      </c>
      <c r="F446" t="s">
        <v>4549</v>
      </c>
      <c r="G446" t="s">
        <v>4550</v>
      </c>
      <c r="H446" t="s">
        <v>4551</v>
      </c>
      <c r="I446" t="s">
        <v>4552</v>
      </c>
      <c r="J446" t="s">
        <v>4553</v>
      </c>
      <c r="K446" t="s">
        <v>4554</v>
      </c>
      <c r="L446" t="s">
        <v>8484</v>
      </c>
    </row>
    <row r="447" spans="1:12" x14ac:dyDescent="0.35">
      <c r="A447" t="str">
        <f t="shared" si="7"/>
        <v>Repurchase of Preferred</v>
      </c>
      <c r="B447" t="s">
        <v>403</v>
      </c>
      <c r="C447" t="s">
        <v>4555</v>
      </c>
      <c r="D447" t="s">
        <v>4556</v>
      </c>
      <c r="E447" t="s">
        <v>4557</v>
      </c>
      <c r="F447" t="s">
        <v>4558</v>
      </c>
      <c r="G447" t="s">
        <v>4559</v>
      </c>
      <c r="H447" t="s">
        <v>4560</v>
      </c>
      <c r="I447" t="s">
        <v>4561</v>
      </c>
      <c r="J447" t="s">
        <v>4562</v>
      </c>
      <c r="K447" t="s">
        <v>4563</v>
      </c>
      <c r="L447" t="s">
        <v>8485</v>
      </c>
    </row>
    <row r="448" spans="1:12" x14ac:dyDescent="0.35">
      <c r="A448" t="str">
        <f t="shared" si="7"/>
        <v>Common Dividends Paid</v>
      </c>
      <c r="B448" t="s">
        <v>404</v>
      </c>
      <c r="C448" t="s">
        <v>4564</v>
      </c>
      <c r="D448" t="s">
        <v>4564</v>
      </c>
      <c r="E448" t="s">
        <v>4565</v>
      </c>
      <c r="F448" t="s">
        <v>4566</v>
      </c>
      <c r="G448" t="s">
        <v>4567</v>
      </c>
      <c r="H448" t="s">
        <v>4568</v>
      </c>
      <c r="I448" t="s">
        <v>4569</v>
      </c>
      <c r="J448" t="s">
        <v>4570</v>
      </c>
      <c r="K448" t="s">
        <v>4571</v>
      </c>
      <c r="L448" t="s">
        <v>8486</v>
      </c>
    </row>
    <row r="449" spans="1:12" x14ac:dyDescent="0.35">
      <c r="A449" t="str">
        <f t="shared" si="7"/>
        <v>Pref. Dividends Paid</v>
      </c>
      <c r="B449" t="s">
        <v>405</v>
      </c>
      <c r="C449" t="s">
        <v>4572</v>
      </c>
      <c r="D449" t="s">
        <v>4573</v>
      </c>
      <c r="E449" t="s">
        <v>4574</v>
      </c>
      <c r="F449" t="s">
        <v>4575</v>
      </c>
      <c r="G449" t="s">
        <v>4576</v>
      </c>
      <c r="H449" t="s">
        <v>4577</v>
      </c>
      <c r="I449" t="s">
        <v>4578</v>
      </c>
      <c r="J449" t="s">
        <v>4579</v>
      </c>
      <c r="K449" t="s">
        <v>4580</v>
      </c>
      <c r="L449" t="s">
        <v>8487</v>
      </c>
    </row>
    <row r="450" spans="1:12" x14ac:dyDescent="0.35">
      <c r="A450" t="str">
        <f t="shared" si="7"/>
        <v>Common and/or Pref. Dividends Paid</v>
      </c>
      <c r="B450" t="s">
        <v>406</v>
      </c>
      <c r="C450" t="s">
        <v>4581</v>
      </c>
      <c r="D450" t="s">
        <v>4582</v>
      </c>
      <c r="E450" t="s">
        <v>4583</v>
      </c>
      <c r="F450" t="s">
        <v>4584</v>
      </c>
      <c r="G450" t="s">
        <v>4585</v>
      </c>
      <c r="H450" t="s">
        <v>4586</v>
      </c>
      <c r="I450" t="s">
        <v>4587</v>
      </c>
      <c r="J450" t="s">
        <v>4588</v>
      </c>
      <c r="K450" t="s">
        <v>4589</v>
      </c>
      <c r="L450" t="s">
        <v>8488</v>
      </c>
    </row>
    <row r="451" spans="1:12" x14ac:dyDescent="0.35">
      <c r="A451" t="str">
        <f t="shared" si="7"/>
        <v>Total Dividends Paid</v>
      </c>
      <c r="B451" t="s">
        <v>407</v>
      </c>
      <c r="C451" t="s">
        <v>4590</v>
      </c>
      <c r="D451" t="s">
        <v>4591</v>
      </c>
      <c r="E451" t="s">
        <v>4592</v>
      </c>
      <c r="F451" t="s">
        <v>4593</v>
      </c>
      <c r="G451" t="s">
        <v>4594</v>
      </c>
      <c r="H451" t="s">
        <v>4595</v>
      </c>
      <c r="I451" t="s">
        <v>4596</v>
      </c>
      <c r="J451" t="s">
        <v>4597</v>
      </c>
      <c r="K451" t="s">
        <v>4598</v>
      </c>
      <c r="L451" t="s">
        <v>8489</v>
      </c>
    </row>
    <row r="452" spans="1:12" x14ac:dyDescent="0.35">
      <c r="A452" t="str">
        <f t="shared" si="7"/>
        <v>Special Dividend Paid</v>
      </c>
      <c r="B452" t="s">
        <v>408</v>
      </c>
      <c r="C452" t="s">
        <v>4599</v>
      </c>
      <c r="D452" t="s">
        <v>4600</v>
      </c>
      <c r="E452" t="s">
        <v>4601</v>
      </c>
      <c r="F452" t="s">
        <v>4602</v>
      </c>
      <c r="G452" t="s">
        <v>4603</v>
      </c>
      <c r="H452" t="s">
        <v>4604</v>
      </c>
      <c r="I452" t="s">
        <v>4605</v>
      </c>
      <c r="J452" t="s">
        <v>4606</v>
      </c>
      <c r="K452" t="s">
        <v>4607</v>
      </c>
      <c r="L452" t="s">
        <v>8490</v>
      </c>
    </row>
    <row r="453" spans="1:12" x14ac:dyDescent="0.35">
      <c r="A453" t="str">
        <f t="shared" si="7"/>
        <v>Other Financing Activities</v>
      </c>
      <c r="B453" t="s">
        <v>409</v>
      </c>
      <c r="C453" t="s">
        <v>4608</v>
      </c>
      <c r="D453" t="s">
        <v>4609</v>
      </c>
      <c r="E453" t="s">
        <v>4610</v>
      </c>
      <c r="F453" t="s">
        <v>4611</v>
      </c>
      <c r="G453" t="s">
        <v>4612</v>
      </c>
      <c r="H453" t="s">
        <v>4613</v>
      </c>
      <c r="I453" t="s">
        <v>4614</v>
      </c>
      <c r="J453" t="s">
        <v>4615</v>
      </c>
      <c r="K453" t="s">
        <v>4616</v>
      </c>
      <c r="L453" t="s">
        <v>8491</v>
      </c>
    </row>
    <row r="454" spans="1:12" x14ac:dyDescent="0.35">
      <c r="A454" t="str">
        <f t="shared" si="7"/>
        <v>Cash from Financing</v>
      </c>
      <c r="B454" t="s">
        <v>150</v>
      </c>
      <c r="C454" t="s">
        <v>4617</v>
      </c>
      <c r="D454" t="s">
        <v>4618</v>
      </c>
      <c r="E454" t="s">
        <v>4619</v>
      </c>
      <c r="F454" t="s">
        <v>4620</v>
      </c>
      <c r="G454" t="s">
        <v>4621</v>
      </c>
      <c r="H454" t="s">
        <v>4622</v>
      </c>
      <c r="I454" t="s">
        <v>4623</v>
      </c>
      <c r="J454" t="s">
        <v>4624</v>
      </c>
      <c r="K454" t="s">
        <v>4625</v>
      </c>
      <c r="L454" t="s">
        <v>8492</v>
      </c>
    </row>
    <row r="455" spans="1:12" x14ac:dyDescent="0.35">
      <c r="A455" t="str">
        <f t="shared" si="7"/>
        <v>Foreign Exchange Rate Adj.</v>
      </c>
      <c r="B455" t="s">
        <v>410</v>
      </c>
      <c r="C455" t="s">
        <v>4626</v>
      </c>
      <c r="D455" t="s">
        <v>4627</v>
      </c>
      <c r="E455" t="s">
        <v>4628</v>
      </c>
      <c r="F455" t="s">
        <v>4629</v>
      </c>
      <c r="G455" t="s">
        <v>4630</v>
      </c>
      <c r="H455" t="s">
        <v>4631</v>
      </c>
      <c r="I455" t="s">
        <v>4632</v>
      </c>
      <c r="J455" t="s">
        <v>4633</v>
      </c>
      <c r="K455" t="s">
        <v>4634</v>
      </c>
      <c r="L455" t="s">
        <v>8493</v>
      </c>
    </row>
    <row r="456" spans="1:12" x14ac:dyDescent="0.35">
      <c r="A456" t="str">
        <f t="shared" si="7"/>
        <v>Misc. Cash Flow Adj.</v>
      </c>
      <c r="B456" t="s">
        <v>151</v>
      </c>
      <c r="C456" t="s">
        <v>4635</v>
      </c>
      <c r="D456" t="s">
        <v>4636</v>
      </c>
      <c r="E456" t="s">
        <v>4637</v>
      </c>
      <c r="F456" t="s">
        <v>4638</v>
      </c>
      <c r="G456" t="s">
        <v>4639</v>
      </c>
      <c r="H456" t="s">
        <v>4640</v>
      </c>
      <c r="I456" t="s">
        <v>4641</v>
      </c>
      <c r="J456" t="s">
        <v>4642</v>
      </c>
      <c r="K456" t="s">
        <v>4643</v>
      </c>
      <c r="L456" t="s">
        <v>8494</v>
      </c>
    </row>
    <row r="457" spans="1:12" x14ac:dyDescent="0.35">
      <c r="A457" t="str">
        <f t="shared" si="7"/>
        <v>Net Change in Cash</v>
      </c>
      <c r="B457" t="s">
        <v>152</v>
      </c>
      <c r="C457" t="s">
        <v>4644</v>
      </c>
      <c r="D457" t="s">
        <v>4645</v>
      </c>
      <c r="E457" t="s">
        <v>4646</v>
      </c>
      <c r="F457" t="s">
        <v>4647</v>
      </c>
      <c r="G457" t="s">
        <v>4648</v>
      </c>
      <c r="H457" t="s">
        <v>4649</v>
      </c>
      <c r="I457" t="s">
        <v>4650</v>
      </c>
      <c r="J457" t="s">
        <v>4651</v>
      </c>
      <c r="K457" t="s">
        <v>4652</v>
      </c>
      <c r="L457" t="s">
        <v>8495</v>
      </c>
    </row>
    <row r="458" spans="1:12" x14ac:dyDescent="0.35">
      <c r="A458" t="str">
        <f t="shared" si="7"/>
        <v>Depreciation And Amortization Notes for Partial CF</v>
      </c>
      <c r="B458" t="s">
        <v>66</v>
      </c>
      <c r="C458" t="s">
        <v>4653</v>
      </c>
      <c r="D458" t="s">
        <v>4654</v>
      </c>
      <c r="E458" t="s">
        <v>4655</v>
      </c>
      <c r="F458" t="s">
        <v>4656</v>
      </c>
      <c r="G458" t="s">
        <v>4657</v>
      </c>
      <c r="H458" t="s">
        <v>4658</v>
      </c>
      <c r="I458" t="s">
        <v>4659</v>
      </c>
      <c r="J458" t="s">
        <v>4660</v>
      </c>
      <c r="K458" t="s">
        <v>4661</v>
      </c>
      <c r="L458" t="s">
        <v>8496</v>
      </c>
    </row>
    <row r="459" spans="1:12" x14ac:dyDescent="0.35">
      <c r="A459" t="str">
        <f t="shared" si="7"/>
        <v>Amortization Of Goodwill Notes for Partial CF</v>
      </c>
      <c r="B459" t="s">
        <v>67</v>
      </c>
      <c r="C459" t="s">
        <v>4662</v>
      </c>
      <c r="D459" t="s">
        <v>4663</v>
      </c>
      <c r="E459" t="s">
        <v>4664</v>
      </c>
      <c r="F459" t="s">
        <v>4665</v>
      </c>
      <c r="G459" t="s">
        <v>4666</v>
      </c>
      <c r="H459" t="s">
        <v>4667</v>
      </c>
      <c r="I459" t="s">
        <v>4668</v>
      </c>
      <c r="J459" t="s">
        <v>4669</v>
      </c>
      <c r="K459" t="s">
        <v>4670</v>
      </c>
      <c r="L459" t="s">
        <v>8497</v>
      </c>
    </row>
    <row r="460" spans="1:12" x14ac:dyDescent="0.35">
      <c r="A460" t="str">
        <f t="shared" si="7"/>
        <v>Depreciation (From Notes)</v>
      </c>
      <c r="B460" t="s">
        <v>582</v>
      </c>
      <c r="C460" t="s">
        <v>4671</v>
      </c>
      <c r="D460" t="s">
        <v>4672</v>
      </c>
      <c r="E460" t="s">
        <v>4673</v>
      </c>
      <c r="F460" t="s">
        <v>4674</v>
      </c>
      <c r="G460" t="s">
        <v>4675</v>
      </c>
      <c r="H460" t="s">
        <v>4676</v>
      </c>
      <c r="I460" t="s">
        <v>4677</v>
      </c>
      <c r="J460" t="s">
        <v>4678</v>
      </c>
      <c r="K460" t="s">
        <v>4679</v>
      </c>
      <c r="L460" t="s">
        <v>8498</v>
      </c>
    </row>
    <row r="461" spans="1:12" x14ac:dyDescent="0.35">
      <c r="A461" t="str">
        <f t="shared" si="7"/>
        <v>Depreciation on Right of Use Assets</v>
      </c>
      <c r="B461" t="s">
        <v>903</v>
      </c>
      <c r="C461" t="s">
        <v>4680</v>
      </c>
      <c r="D461" t="s">
        <v>4681</v>
      </c>
      <c r="E461" t="s">
        <v>4682</v>
      </c>
      <c r="F461" t="s">
        <v>4683</v>
      </c>
      <c r="G461" t="s">
        <v>4684</v>
      </c>
      <c r="H461" t="s">
        <v>4685</v>
      </c>
      <c r="I461" t="s">
        <v>4686</v>
      </c>
      <c r="J461" t="s">
        <v>4687</v>
      </c>
      <c r="K461" t="s">
        <v>4688</v>
      </c>
      <c r="L461" t="s">
        <v>8499</v>
      </c>
    </row>
    <row r="462" spans="1:12" x14ac:dyDescent="0.35">
      <c r="A462" t="str">
        <f t="shared" si="7"/>
        <v>Depreciation &amp; Amortization - CF, Excl. Operating Leases</v>
      </c>
      <c r="B462" t="s">
        <v>929</v>
      </c>
      <c r="C462" t="s">
        <v>4689</v>
      </c>
      <c r="D462" t="s">
        <v>4690</v>
      </c>
      <c r="E462" t="s">
        <v>4691</v>
      </c>
      <c r="F462" t="s">
        <v>4692</v>
      </c>
      <c r="G462" t="s">
        <v>4693</v>
      </c>
      <c r="H462" t="s">
        <v>4694</v>
      </c>
      <c r="I462" t="s">
        <v>4695</v>
      </c>
      <c r="J462" t="s">
        <v>4696</v>
      </c>
      <c r="K462" t="s">
        <v>4697</v>
      </c>
      <c r="L462" t="s">
        <v>8500</v>
      </c>
    </row>
    <row r="463" spans="1:12" x14ac:dyDescent="0.35">
      <c r="A463" t="str">
        <f t="shared" si="7"/>
        <v>Depreciation &amp; Amort., Total, Excl. Operating Leases</v>
      </c>
      <c r="B463" t="s">
        <v>931</v>
      </c>
      <c r="C463" t="s">
        <v>4698</v>
      </c>
      <c r="D463" t="s">
        <v>4699</v>
      </c>
      <c r="E463" t="s">
        <v>4700</v>
      </c>
      <c r="F463" t="s">
        <v>4701</v>
      </c>
      <c r="G463" t="s">
        <v>4702</v>
      </c>
      <c r="H463" t="s">
        <v>4703</v>
      </c>
      <c r="I463" t="s">
        <v>4704</v>
      </c>
      <c r="J463" t="s">
        <v>4705</v>
      </c>
      <c r="K463" t="s">
        <v>4706</v>
      </c>
      <c r="L463" t="s">
        <v>8501</v>
      </c>
    </row>
    <row r="464" spans="1:12" x14ac:dyDescent="0.35">
      <c r="A464" t="str">
        <f t="shared" si="7"/>
        <v>Amortization of Debt Issuance Costs</v>
      </c>
      <c r="B464" t="s">
        <v>882</v>
      </c>
      <c r="C464" t="s">
        <v>4707</v>
      </c>
      <c r="D464" t="s">
        <v>4708</v>
      </c>
      <c r="E464" t="s">
        <v>4709</v>
      </c>
      <c r="F464" t="s">
        <v>4710</v>
      </c>
      <c r="G464" t="s">
        <v>4711</v>
      </c>
      <c r="H464" t="s">
        <v>4712</v>
      </c>
      <c r="I464" t="s">
        <v>4713</v>
      </c>
      <c r="J464" t="s">
        <v>4714</v>
      </c>
      <c r="K464" t="s">
        <v>4715</v>
      </c>
      <c r="L464" t="s">
        <v>8502</v>
      </c>
    </row>
    <row r="465" spans="1:12" x14ac:dyDescent="0.35">
      <c r="A465" t="str">
        <f t="shared" si="7"/>
        <v>Amortization of Software Assets</v>
      </c>
      <c r="B465" t="s">
        <v>883</v>
      </c>
      <c r="C465" t="s">
        <v>4716</v>
      </c>
      <c r="D465" t="s">
        <v>4717</v>
      </c>
      <c r="E465" t="s">
        <v>4718</v>
      </c>
      <c r="F465" t="s">
        <v>4719</v>
      </c>
      <c r="G465" t="s">
        <v>4720</v>
      </c>
      <c r="H465" t="s">
        <v>4721</v>
      </c>
      <c r="I465" t="s">
        <v>4722</v>
      </c>
      <c r="J465" t="s">
        <v>4723</v>
      </c>
      <c r="K465" t="s">
        <v>4724</v>
      </c>
      <c r="L465" t="s">
        <v>8503</v>
      </c>
    </row>
    <row r="466" spans="1:12" x14ac:dyDescent="0.35">
      <c r="A466" t="str">
        <f t="shared" si="7"/>
        <v>Sale Proceeds from Rental Assets</v>
      </c>
      <c r="B466" t="s">
        <v>131</v>
      </c>
      <c r="C466" t="s">
        <v>4725</v>
      </c>
      <c r="D466" t="s">
        <v>4726</v>
      </c>
      <c r="E466" t="s">
        <v>4727</v>
      </c>
      <c r="F466" t="s">
        <v>4728</v>
      </c>
      <c r="G466" t="s">
        <v>4729</v>
      </c>
      <c r="H466" t="s">
        <v>4730</v>
      </c>
      <c r="I466" t="s">
        <v>4731</v>
      </c>
      <c r="J466" t="s">
        <v>4732</v>
      </c>
      <c r="K466" t="s">
        <v>4733</v>
      </c>
      <c r="L466" t="s">
        <v>8504</v>
      </c>
    </row>
    <row r="467" spans="1:12" x14ac:dyDescent="0.35">
      <c r="A467" t="str">
        <f t="shared" si="7"/>
        <v>Cash Interest Paid</v>
      </c>
      <c r="B467" t="s">
        <v>411</v>
      </c>
      <c r="C467" t="s">
        <v>4734</v>
      </c>
      <c r="D467" t="s">
        <v>4735</v>
      </c>
      <c r="E467" t="s">
        <v>4736</v>
      </c>
      <c r="F467" t="s">
        <v>4737</v>
      </c>
      <c r="G467" t="s">
        <v>4738</v>
      </c>
      <c r="H467" t="s">
        <v>4739</v>
      </c>
      <c r="I467" t="s">
        <v>4740</v>
      </c>
      <c r="J467" t="s">
        <v>4741</v>
      </c>
      <c r="K467" t="s">
        <v>4742</v>
      </c>
      <c r="L467" t="s">
        <v>8505</v>
      </c>
    </row>
    <row r="468" spans="1:12" x14ac:dyDescent="0.35">
      <c r="A468" t="str">
        <f t="shared" si="7"/>
        <v>Cash Interest Paid Net of Interest Received</v>
      </c>
      <c r="B468" t="s">
        <v>233</v>
      </c>
      <c r="C468" t="s">
        <v>4743</v>
      </c>
      <c r="D468" t="s">
        <v>4744</v>
      </c>
      <c r="E468" t="s">
        <v>4745</v>
      </c>
      <c r="F468" t="s">
        <v>4746</v>
      </c>
      <c r="G468" t="s">
        <v>4747</v>
      </c>
      <c r="H468" t="s">
        <v>4748</v>
      </c>
      <c r="I468" t="s">
        <v>4749</v>
      </c>
      <c r="J468" t="s">
        <v>4750</v>
      </c>
      <c r="K468" t="s">
        <v>4751</v>
      </c>
      <c r="L468" t="s">
        <v>8506</v>
      </c>
    </row>
    <row r="469" spans="1:12" x14ac:dyDescent="0.35">
      <c r="A469" t="str">
        <f t="shared" si="7"/>
        <v>Cash Dividend and Interest Received</v>
      </c>
      <c r="B469" t="s">
        <v>234</v>
      </c>
      <c r="C469" t="s">
        <v>4752</v>
      </c>
      <c r="D469" t="s">
        <v>4753</v>
      </c>
      <c r="E469" t="s">
        <v>4754</v>
      </c>
      <c r="F469" t="s">
        <v>4755</v>
      </c>
      <c r="G469" t="s">
        <v>4756</v>
      </c>
      <c r="H469" t="s">
        <v>4757</v>
      </c>
      <c r="I469" t="s">
        <v>4758</v>
      </c>
      <c r="J469" t="s">
        <v>4759</v>
      </c>
      <c r="K469" t="s">
        <v>4760</v>
      </c>
      <c r="L469" t="s">
        <v>8507</v>
      </c>
    </row>
    <row r="470" spans="1:12" x14ac:dyDescent="0.35">
      <c r="A470" t="str">
        <f t="shared" si="7"/>
        <v>Cash Interest Paid - Operating Activities</v>
      </c>
      <c r="B470" t="s">
        <v>227</v>
      </c>
      <c r="C470" t="s">
        <v>4761</v>
      </c>
      <c r="D470" t="s">
        <v>4762</v>
      </c>
      <c r="E470" t="s">
        <v>4763</v>
      </c>
      <c r="F470" t="s">
        <v>4764</v>
      </c>
      <c r="G470" t="s">
        <v>4765</v>
      </c>
      <c r="H470" t="s">
        <v>4766</v>
      </c>
      <c r="I470" t="s">
        <v>4767</v>
      </c>
      <c r="J470" t="s">
        <v>4768</v>
      </c>
      <c r="K470" t="s">
        <v>4769</v>
      </c>
      <c r="L470" t="s">
        <v>8508</v>
      </c>
    </row>
    <row r="471" spans="1:12" x14ac:dyDescent="0.35">
      <c r="A471" t="str">
        <f t="shared" si="7"/>
        <v>Cash Interest Paid - Investing Activities</v>
      </c>
      <c r="B471" t="s">
        <v>228</v>
      </c>
      <c r="C471" t="s">
        <v>4770</v>
      </c>
      <c r="D471" t="s">
        <v>4771</v>
      </c>
      <c r="E471" t="s">
        <v>4772</v>
      </c>
      <c r="F471" t="s">
        <v>4773</v>
      </c>
      <c r="G471" t="s">
        <v>4774</v>
      </c>
      <c r="H471" t="s">
        <v>4775</v>
      </c>
      <c r="I471" t="s">
        <v>4776</v>
      </c>
      <c r="J471" t="s">
        <v>4777</v>
      </c>
      <c r="K471" t="s">
        <v>4778</v>
      </c>
      <c r="L471" t="s">
        <v>8509</v>
      </c>
    </row>
    <row r="472" spans="1:12" x14ac:dyDescent="0.35">
      <c r="A472" t="str">
        <f t="shared" si="7"/>
        <v>Cash Interest Paid - Financing Activities</v>
      </c>
      <c r="B472" t="s">
        <v>229</v>
      </c>
      <c r="C472" t="s">
        <v>4779</v>
      </c>
      <c r="D472" t="s">
        <v>4780</v>
      </c>
      <c r="E472" t="s">
        <v>4781</v>
      </c>
      <c r="F472" t="s">
        <v>4782</v>
      </c>
      <c r="G472" t="s">
        <v>4783</v>
      </c>
      <c r="H472" t="s">
        <v>4784</v>
      </c>
      <c r="I472" t="s">
        <v>4785</v>
      </c>
      <c r="J472" t="s">
        <v>4786</v>
      </c>
      <c r="K472" t="s">
        <v>4787</v>
      </c>
      <c r="L472" t="s">
        <v>8510</v>
      </c>
    </row>
    <row r="473" spans="1:12" x14ac:dyDescent="0.35">
      <c r="A473" t="str">
        <f t="shared" si="7"/>
        <v>Cash Taxes Paid</v>
      </c>
      <c r="B473" t="s">
        <v>412</v>
      </c>
      <c r="C473" t="s">
        <v>4788</v>
      </c>
      <c r="D473" t="s">
        <v>4789</v>
      </c>
      <c r="E473" t="s">
        <v>4790</v>
      </c>
      <c r="F473" t="s">
        <v>4791</v>
      </c>
      <c r="G473" t="s">
        <v>4792</v>
      </c>
      <c r="H473" t="s">
        <v>4793</v>
      </c>
      <c r="I473" t="s">
        <v>4794</v>
      </c>
      <c r="J473" t="s">
        <v>4795</v>
      </c>
      <c r="K473" t="s">
        <v>4796</v>
      </c>
      <c r="L473" t="s">
        <v>8511</v>
      </c>
    </row>
    <row r="474" spans="1:12" x14ac:dyDescent="0.35">
      <c r="A474" t="str">
        <f t="shared" si="7"/>
        <v>Cash Taxes Paid - Operating Activities</v>
      </c>
      <c r="B474" t="s">
        <v>230</v>
      </c>
      <c r="C474" t="s">
        <v>4797</v>
      </c>
      <c r="D474" t="s">
        <v>4798</v>
      </c>
      <c r="E474" t="s">
        <v>4799</v>
      </c>
      <c r="F474" t="s">
        <v>4800</v>
      </c>
      <c r="G474" t="s">
        <v>4801</v>
      </c>
      <c r="H474" t="s">
        <v>4802</v>
      </c>
      <c r="I474" t="s">
        <v>4803</v>
      </c>
      <c r="J474" t="s">
        <v>4804</v>
      </c>
      <c r="K474" t="s">
        <v>4805</v>
      </c>
      <c r="L474" t="s">
        <v>8512</v>
      </c>
    </row>
    <row r="475" spans="1:12" x14ac:dyDescent="0.35">
      <c r="A475" t="str">
        <f t="shared" si="7"/>
        <v>Cash Taxes Paid - Investing Activities</v>
      </c>
      <c r="B475" t="s">
        <v>231</v>
      </c>
      <c r="C475" t="s">
        <v>4806</v>
      </c>
      <c r="D475" t="s">
        <v>4807</v>
      </c>
      <c r="E475" t="s">
        <v>4808</v>
      </c>
      <c r="F475" t="s">
        <v>4809</v>
      </c>
      <c r="G475" t="s">
        <v>4810</v>
      </c>
      <c r="H475" t="s">
        <v>4811</v>
      </c>
      <c r="I475" t="s">
        <v>4812</v>
      </c>
      <c r="J475" t="s">
        <v>4813</v>
      </c>
      <c r="K475" t="s">
        <v>4814</v>
      </c>
      <c r="L475" t="s">
        <v>8513</v>
      </c>
    </row>
    <row r="476" spans="1:12" x14ac:dyDescent="0.35">
      <c r="A476" t="str">
        <f t="shared" si="7"/>
        <v>Cash Taxes Paid - Financing Activities</v>
      </c>
      <c r="B476" t="s">
        <v>232</v>
      </c>
      <c r="C476" t="s">
        <v>4815</v>
      </c>
      <c r="D476" t="s">
        <v>4816</v>
      </c>
      <c r="E476" t="s">
        <v>4817</v>
      </c>
      <c r="F476" t="s">
        <v>4818</v>
      </c>
      <c r="G476" t="s">
        <v>4819</v>
      </c>
      <c r="H476" t="s">
        <v>4820</v>
      </c>
      <c r="I476" t="s">
        <v>4821</v>
      </c>
      <c r="J476" t="s">
        <v>4822</v>
      </c>
      <c r="K476" t="s">
        <v>4823</v>
      </c>
      <c r="L476" t="s">
        <v>8514</v>
      </c>
    </row>
    <row r="477" spans="1:12" x14ac:dyDescent="0.35">
      <c r="A477" t="str">
        <f t="shared" si="7"/>
        <v>Deferred Income Taxes, Total</v>
      </c>
      <c r="B477" t="s">
        <v>235</v>
      </c>
      <c r="C477" t="s">
        <v>4824</v>
      </c>
      <c r="D477" t="s">
        <v>4825</v>
      </c>
      <c r="E477" t="s">
        <v>4826</v>
      </c>
      <c r="F477" t="s">
        <v>4827</v>
      </c>
      <c r="G477" t="s">
        <v>4828</v>
      </c>
      <c r="H477" t="s">
        <v>4829</v>
      </c>
      <c r="I477" t="s">
        <v>4830</v>
      </c>
      <c r="J477" t="s">
        <v>4831</v>
      </c>
      <c r="K477" t="s">
        <v>4832</v>
      </c>
      <c r="L477" t="s">
        <v>8515</v>
      </c>
    </row>
    <row r="478" spans="1:12" x14ac:dyDescent="0.35">
      <c r="A478" t="str">
        <f t="shared" si="7"/>
        <v>Change in Net Working Capital</v>
      </c>
      <c r="B478" t="s">
        <v>413</v>
      </c>
      <c r="C478" t="s">
        <v>4833</v>
      </c>
      <c r="D478" t="s">
        <v>4834</v>
      </c>
      <c r="E478" t="s">
        <v>4835</v>
      </c>
      <c r="F478" t="s">
        <v>4836</v>
      </c>
      <c r="G478" t="s">
        <v>4837</v>
      </c>
      <c r="H478" t="s">
        <v>4838</v>
      </c>
      <c r="I478" t="s">
        <v>4839</v>
      </c>
      <c r="J478" t="s">
        <v>4840</v>
      </c>
      <c r="K478" t="s">
        <v>4841</v>
      </c>
      <c r="L478" t="s">
        <v>8516</v>
      </c>
    </row>
    <row r="479" spans="1:12" x14ac:dyDescent="0.35">
      <c r="A479" t="str">
        <f t="shared" si="7"/>
        <v>Cash Flow per Share</v>
      </c>
      <c r="B479" t="s">
        <v>744</v>
      </c>
      <c r="C479" t="s">
        <v>4842</v>
      </c>
      <c r="D479" t="s">
        <v>4843</v>
      </c>
      <c r="E479" t="s">
        <v>4844</v>
      </c>
      <c r="F479" t="s">
        <v>4845</v>
      </c>
      <c r="G479" t="s">
        <v>3458</v>
      </c>
      <c r="H479" t="s">
        <v>4846</v>
      </c>
      <c r="I479" t="s">
        <v>4847</v>
      </c>
      <c r="J479" t="s">
        <v>4848</v>
      </c>
      <c r="K479" t="s">
        <v>4849</v>
      </c>
      <c r="L479" t="s">
        <v>8517</v>
      </c>
    </row>
    <row r="480" spans="1:12" x14ac:dyDescent="0.35">
      <c r="A480" t="str">
        <f t="shared" si="7"/>
        <v>Net Debt Issued</v>
      </c>
      <c r="B480" t="s">
        <v>414</v>
      </c>
      <c r="C480" t="s">
        <v>4850</v>
      </c>
      <c r="D480" t="s">
        <v>4851</v>
      </c>
      <c r="E480" t="s">
        <v>4852</v>
      </c>
      <c r="F480" t="s">
        <v>4853</v>
      </c>
      <c r="G480" t="s">
        <v>4854</v>
      </c>
      <c r="H480" t="s">
        <v>4855</v>
      </c>
      <c r="I480" t="s">
        <v>4856</v>
      </c>
      <c r="J480" t="s">
        <v>4857</v>
      </c>
      <c r="K480" t="s">
        <v>4858</v>
      </c>
      <c r="L480" t="s">
        <v>8518</v>
      </c>
    </row>
    <row r="481" spans="1:12" x14ac:dyDescent="0.35">
      <c r="A481" t="str">
        <f t="shared" si="7"/>
        <v>Maintenance CAPEX</v>
      </c>
      <c r="B481" t="s">
        <v>583</v>
      </c>
      <c r="C481" t="s">
        <v>4859</v>
      </c>
      <c r="D481" t="s">
        <v>4860</v>
      </c>
      <c r="E481" t="s">
        <v>583</v>
      </c>
      <c r="F481" t="s">
        <v>4861</v>
      </c>
      <c r="G481" t="s">
        <v>4862</v>
      </c>
      <c r="H481" t="s">
        <v>4863</v>
      </c>
      <c r="I481" t="s">
        <v>4864</v>
      </c>
      <c r="J481" t="s">
        <v>4865</v>
      </c>
      <c r="K481" t="s">
        <v>4866</v>
      </c>
      <c r="L481" t="s">
        <v>8519</v>
      </c>
    </row>
    <row r="482" spans="1:12" x14ac:dyDescent="0.35">
      <c r="A482" t="str">
        <f t="shared" si="7"/>
        <v>Net Cash from Discontinued Ops. - Investing</v>
      </c>
      <c r="B482" t="s">
        <v>745</v>
      </c>
      <c r="C482" t="s">
        <v>4867</v>
      </c>
      <c r="D482" t="s">
        <v>4868</v>
      </c>
      <c r="E482" t="s">
        <v>4869</v>
      </c>
      <c r="F482" t="s">
        <v>4870</v>
      </c>
      <c r="G482" t="s">
        <v>4871</v>
      </c>
      <c r="H482" t="s">
        <v>4872</v>
      </c>
      <c r="I482" t="s">
        <v>4873</v>
      </c>
      <c r="J482" t="s">
        <v>4874</v>
      </c>
      <c r="K482" t="s">
        <v>4875</v>
      </c>
      <c r="L482" t="s">
        <v>8520</v>
      </c>
    </row>
    <row r="483" spans="1:12" x14ac:dyDescent="0.35">
      <c r="A483" t="str">
        <f t="shared" si="7"/>
        <v>Net Cash from Discontinued Ops. - Financing</v>
      </c>
      <c r="B483" t="s">
        <v>746</v>
      </c>
      <c r="C483" t="s">
        <v>4876</v>
      </c>
      <c r="D483" t="s">
        <v>4877</v>
      </c>
      <c r="E483" t="s">
        <v>4878</v>
      </c>
      <c r="F483" t="s">
        <v>4879</v>
      </c>
      <c r="G483" t="s">
        <v>4880</v>
      </c>
      <c r="H483" t="s">
        <v>4881</v>
      </c>
      <c r="I483" t="s">
        <v>4882</v>
      </c>
      <c r="J483" t="s">
        <v>4883</v>
      </c>
      <c r="K483" t="s">
        <v>4884</v>
      </c>
      <c r="L483" t="s">
        <v>8521</v>
      </c>
    </row>
    <row r="484" spans="1:12" x14ac:dyDescent="0.35">
      <c r="A484" t="str">
        <f t="shared" si="7"/>
        <v>Operating Lease Payments</v>
      </c>
      <c r="B484" t="s">
        <v>904</v>
      </c>
      <c r="C484" t="s">
        <v>4885</v>
      </c>
      <c r="D484" t="s">
        <v>4886</v>
      </c>
      <c r="E484" t="s">
        <v>4887</v>
      </c>
      <c r="F484" t="s">
        <v>4888</v>
      </c>
      <c r="G484" t="s">
        <v>4889</v>
      </c>
      <c r="H484" t="s">
        <v>4890</v>
      </c>
      <c r="I484" t="s">
        <v>4891</v>
      </c>
      <c r="J484" t="s">
        <v>4892</v>
      </c>
      <c r="K484" t="s">
        <v>4893</v>
      </c>
      <c r="L484" t="s">
        <v>8522</v>
      </c>
    </row>
    <row r="485" spans="1:12" x14ac:dyDescent="0.35">
      <c r="A485" t="str">
        <f t="shared" si="7"/>
        <v>Change in Operating Lease Liabilities</v>
      </c>
      <c r="B485" t="s">
        <v>905</v>
      </c>
      <c r="C485" t="s">
        <v>4894</v>
      </c>
      <c r="D485" t="s">
        <v>4895</v>
      </c>
      <c r="E485" t="s">
        <v>4896</v>
      </c>
      <c r="F485" t="s">
        <v>4897</v>
      </c>
      <c r="G485" t="s">
        <v>4898</v>
      </c>
      <c r="H485" t="s">
        <v>4899</v>
      </c>
      <c r="I485" t="s">
        <v>4900</v>
      </c>
      <c r="J485" t="s">
        <v>4901</v>
      </c>
      <c r="K485" t="s">
        <v>4902</v>
      </c>
      <c r="L485" t="s">
        <v>8523</v>
      </c>
    </row>
    <row r="486" spans="1:12" x14ac:dyDescent="0.35">
      <c r="A486" t="str">
        <f t="shared" si="7"/>
        <v>Change in Operating Lease Liabilities Non-Cash</v>
      </c>
      <c r="B486" t="s">
        <v>906</v>
      </c>
      <c r="C486" t="s">
        <v>4903</v>
      </c>
      <c r="D486" t="s">
        <v>4904</v>
      </c>
      <c r="E486" t="s">
        <v>4905</v>
      </c>
      <c r="F486" t="s">
        <v>4906</v>
      </c>
      <c r="G486" t="s">
        <v>4907</v>
      </c>
      <c r="H486" t="s">
        <v>4908</v>
      </c>
      <c r="I486" t="s">
        <v>4909</v>
      </c>
      <c r="J486" t="s">
        <v>4910</v>
      </c>
      <c r="K486" t="s">
        <v>4911</v>
      </c>
      <c r="L486" t="s">
        <v>8524</v>
      </c>
    </row>
    <row r="487" spans="1:12" x14ac:dyDescent="0.35">
      <c r="A487" t="str">
        <f t="shared" si="7"/>
        <v>Long-Term Debt Repaid, Excl. Leases</v>
      </c>
      <c r="B487" t="s">
        <v>930</v>
      </c>
      <c r="C487" t="s">
        <v>4912</v>
      </c>
      <c r="D487" t="s">
        <v>4913</v>
      </c>
      <c r="E487" t="s">
        <v>4914</v>
      </c>
      <c r="F487" t="s">
        <v>4915</v>
      </c>
      <c r="G487" t="s">
        <v>4916</v>
      </c>
      <c r="H487" t="s">
        <v>4917</v>
      </c>
      <c r="I487" t="s">
        <v>4918</v>
      </c>
      <c r="J487" t="s">
        <v>4919</v>
      </c>
      <c r="K487" t="s">
        <v>4920</v>
      </c>
      <c r="L487" t="s">
        <v>8525</v>
      </c>
    </row>
    <row r="488" spans="1:12" x14ac:dyDescent="0.35">
      <c r="A488" t="str">
        <f t="shared" si="7"/>
        <v>Total Debt Repaid, Excl. Leases</v>
      </c>
      <c r="B488" t="s">
        <v>934</v>
      </c>
      <c r="C488" t="s">
        <v>4921</v>
      </c>
      <c r="D488" t="s">
        <v>4922</v>
      </c>
      <c r="E488" t="s">
        <v>4923</v>
      </c>
      <c r="F488" t="s">
        <v>4924</v>
      </c>
      <c r="G488" t="s">
        <v>4925</v>
      </c>
      <c r="H488" t="s">
        <v>4926</v>
      </c>
      <c r="I488" t="s">
        <v>4927</v>
      </c>
      <c r="J488" t="s">
        <v>4928</v>
      </c>
      <c r="K488" t="s">
        <v>4929</v>
      </c>
      <c r="L488" t="s">
        <v>8526</v>
      </c>
    </row>
    <row r="489" spans="1:12" x14ac:dyDescent="0.35">
      <c r="A489" t="str">
        <f t="shared" si="7"/>
        <v>Gain on Bargain Acquisition - (CF)</v>
      </c>
      <c r="B489" t="s">
        <v>938</v>
      </c>
      <c r="C489" t="s">
        <v>4930</v>
      </c>
      <c r="D489" t="s">
        <v>4931</v>
      </c>
      <c r="E489" t="s">
        <v>4932</v>
      </c>
      <c r="F489" t="s">
        <v>4933</v>
      </c>
      <c r="G489" t="s">
        <v>4934</v>
      </c>
      <c r="H489" t="s">
        <v>4935</v>
      </c>
      <c r="I489" t="s">
        <v>4936</v>
      </c>
      <c r="J489" t="s">
        <v>4937</v>
      </c>
      <c r="K489" t="s">
        <v>4938</v>
      </c>
      <c r="L489" t="s">
        <v>8527</v>
      </c>
    </row>
    <row r="490" spans="1:12" x14ac:dyDescent="0.35">
      <c r="A490" t="str">
        <f t="shared" si="7"/>
        <v>For the Calendar Quarter Ending,</v>
      </c>
      <c r="B490" t="s">
        <v>739</v>
      </c>
      <c r="C490" t="s">
        <v>8929</v>
      </c>
      <c r="D490" t="s">
        <v>8930</v>
      </c>
      <c r="E490" t="s">
        <v>8931</v>
      </c>
      <c r="F490" t="s">
        <v>8932</v>
      </c>
      <c r="G490" t="s">
        <v>8933</v>
      </c>
      <c r="H490" t="s">
        <v>8934</v>
      </c>
      <c r="I490" t="s">
        <v>8935</v>
      </c>
      <c r="J490" t="s">
        <v>8936</v>
      </c>
      <c r="K490" t="s">
        <v>8937</v>
      </c>
      <c r="L490" t="s">
        <v>10921</v>
      </c>
    </row>
    <row r="491" spans="1:12" x14ac:dyDescent="0.35">
      <c r="A491" t="str">
        <f t="shared" si="7"/>
        <v>TEV / LTM Total Revenue</v>
      </c>
      <c r="B491" t="s">
        <v>423</v>
      </c>
      <c r="C491" t="s">
        <v>8938</v>
      </c>
      <c r="D491" t="s">
        <v>8939</v>
      </c>
      <c r="E491" t="s">
        <v>8940</v>
      </c>
      <c r="F491" t="s">
        <v>8941</v>
      </c>
      <c r="G491" t="s">
        <v>8942</v>
      </c>
      <c r="H491" t="s">
        <v>8943</v>
      </c>
      <c r="I491" t="s">
        <v>8944</v>
      </c>
      <c r="J491" t="s">
        <v>8945</v>
      </c>
      <c r="K491" t="s">
        <v>8946</v>
      </c>
      <c r="L491" t="s">
        <v>8947</v>
      </c>
    </row>
    <row r="492" spans="1:12" x14ac:dyDescent="0.35">
      <c r="A492" t="str">
        <f t="shared" si="7"/>
        <v>Average</v>
      </c>
      <c r="B492" t="s">
        <v>426</v>
      </c>
      <c r="C492" t="s">
        <v>4939</v>
      </c>
      <c r="D492" t="s">
        <v>4939</v>
      </c>
      <c r="E492" t="s">
        <v>4940</v>
      </c>
      <c r="F492" t="s">
        <v>4941</v>
      </c>
      <c r="G492" t="s">
        <v>4942</v>
      </c>
      <c r="H492" t="s">
        <v>4939</v>
      </c>
      <c r="I492" t="s">
        <v>4943</v>
      </c>
      <c r="J492" t="s">
        <v>4944</v>
      </c>
      <c r="K492" t="s">
        <v>4945</v>
      </c>
      <c r="L492" t="s">
        <v>10890</v>
      </c>
    </row>
    <row r="493" spans="1:12" x14ac:dyDescent="0.35">
      <c r="A493" t="str">
        <f t="shared" si="7"/>
        <v>High</v>
      </c>
      <c r="B493" t="s">
        <v>428</v>
      </c>
      <c r="C493" t="s">
        <v>4946</v>
      </c>
      <c r="D493" t="s">
        <v>4946</v>
      </c>
      <c r="E493" t="s">
        <v>4947</v>
      </c>
      <c r="F493" t="s">
        <v>4948</v>
      </c>
      <c r="G493" t="s">
        <v>4949</v>
      </c>
      <c r="H493" t="s">
        <v>4946</v>
      </c>
      <c r="I493" t="s">
        <v>4950</v>
      </c>
      <c r="J493" t="s">
        <v>4949</v>
      </c>
      <c r="K493" t="s">
        <v>4951</v>
      </c>
      <c r="L493" t="s">
        <v>8528</v>
      </c>
    </row>
    <row r="494" spans="1:12" x14ac:dyDescent="0.35">
      <c r="A494" t="str">
        <f t="shared" si="7"/>
        <v>Low</v>
      </c>
      <c r="B494" t="s">
        <v>469</v>
      </c>
      <c r="C494" t="s">
        <v>4952</v>
      </c>
      <c r="D494" t="s">
        <v>4952</v>
      </c>
      <c r="E494" t="s">
        <v>4953</v>
      </c>
      <c r="F494" t="s">
        <v>4954</v>
      </c>
      <c r="G494" t="s">
        <v>4955</v>
      </c>
      <c r="H494" t="s">
        <v>4952</v>
      </c>
      <c r="I494" t="s">
        <v>4956</v>
      </c>
      <c r="J494" t="s">
        <v>4957</v>
      </c>
      <c r="K494" t="s">
        <v>4958</v>
      </c>
      <c r="L494" t="s">
        <v>8529</v>
      </c>
    </row>
    <row r="495" spans="1:12" x14ac:dyDescent="0.35">
      <c r="A495" t="str">
        <f t="shared" si="7"/>
        <v>Close</v>
      </c>
      <c r="B495" t="s">
        <v>471</v>
      </c>
      <c r="C495" t="s">
        <v>4959</v>
      </c>
      <c r="D495" t="s">
        <v>4960</v>
      </c>
      <c r="E495" t="s">
        <v>4961</v>
      </c>
      <c r="F495" t="s">
        <v>4962</v>
      </c>
      <c r="G495" t="s">
        <v>4963</v>
      </c>
      <c r="H495" t="s">
        <v>4964</v>
      </c>
      <c r="I495" t="s">
        <v>4965</v>
      </c>
      <c r="J495" t="s">
        <v>4966</v>
      </c>
      <c r="K495" t="s">
        <v>4967</v>
      </c>
      <c r="L495" t="s">
        <v>10807</v>
      </c>
    </row>
    <row r="496" spans="1:12" x14ac:dyDescent="0.35">
      <c r="A496" t="str">
        <f t="shared" si="7"/>
        <v>TEV / NTM Total Revenue</v>
      </c>
      <c r="B496" t="s">
        <v>424</v>
      </c>
      <c r="C496" t="s">
        <v>8948</v>
      </c>
      <c r="D496" t="s">
        <v>8949</v>
      </c>
      <c r="E496" t="s">
        <v>8950</v>
      </c>
      <c r="F496" t="s">
        <v>8951</v>
      </c>
      <c r="G496" t="s">
        <v>8952</v>
      </c>
      <c r="H496" t="s">
        <v>8953</v>
      </c>
      <c r="I496" t="s">
        <v>8954</v>
      </c>
      <c r="J496" t="s">
        <v>8955</v>
      </c>
      <c r="K496" t="s">
        <v>8956</v>
      </c>
      <c r="L496" t="s">
        <v>8957</v>
      </c>
    </row>
    <row r="497" spans="1:12" x14ac:dyDescent="0.35">
      <c r="A497" t="str">
        <f t="shared" si="7"/>
        <v>LTM EBITDA</v>
      </c>
      <c r="B497" t="s">
        <v>8059</v>
      </c>
      <c r="C497" t="s">
        <v>8060</v>
      </c>
      <c r="D497" t="s">
        <v>8061</v>
      </c>
      <c r="E497" t="s">
        <v>8062</v>
      </c>
      <c r="F497" t="s">
        <v>8063</v>
      </c>
      <c r="G497" t="s">
        <v>8059</v>
      </c>
      <c r="H497" t="s">
        <v>8059</v>
      </c>
      <c r="I497" t="s">
        <v>8064</v>
      </c>
      <c r="J497" t="s">
        <v>8065</v>
      </c>
      <c r="K497" t="s">
        <v>8059</v>
      </c>
      <c r="L497" t="s">
        <v>8530</v>
      </c>
    </row>
    <row r="498" spans="1:12" x14ac:dyDescent="0.35">
      <c r="A498" t="str">
        <f t="shared" si="7"/>
        <v>TEV / NTM EBITDA</v>
      </c>
      <c r="B498" t="s">
        <v>733</v>
      </c>
      <c r="C498" t="s">
        <v>8958</v>
      </c>
      <c r="D498" t="s">
        <v>8959</v>
      </c>
      <c r="E498" t="s">
        <v>8960</v>
      </c>
      <c r="F498" t="s">
        <v>8961</v>
      </c>
      <c r="G498" t="s">
        <v>733</v>
      </c>
      <c r="H498" t="s">
        <v>8962</v>
      </c>
      <c r="I498" t="s">
        <v>8963</v>
      </c>
      <c r="J498" t="s">
        <v>8964</v>
      </c>
      <c r="K498" t="s">
        <v>733</v>
      </c>
      <c r="L498" t="s">
        <v>10922</v>
      </c>
    </row>
    <row r="499" spans="1:12" x14ac:dyDescent="0.35">
      <c r="A499" t="str">
        <f t="shared" si="7"/>
        <v>TEV / LTM EBIT</v>
      </c>
      <c r="B499" t="s">
        <v>734</v>
      </c>
      <c r="C499" t="s">
        <v>8965</v>
      </c>
      <c r="D499" t="s">
        <v>8966</v>
      </c>
      <c r="E499" t="s">
        <v>8967</v>
      </c>
      <c r="F499" t="s">
        <v>8968</v>
      </c>
      <c r="G499" t="s">
        <v>734</v>
      </c>
      <c r="H499" t="s">
        <v>8969</v>
      </c>
      <c r="I499" t="s">
        <v>8970</v>
      </c>
      <c r="J499" t="s">
        <v>8971</v>
      </c>
      <c r="K499" t="s">
        <v>734</v>
      </c>
      <c r="L499" t="s">
        <v>10923</v>
      </c>
    </row>
    <row r="500" spans="1:12" x14ac:dyDescent="0.35">
      <c r="A500" t="str">
        <f t="shared" si="7"/>
        <v>TEV / NTM EBIT</v>
      </c>
      <c r="B500" t="s">
        <v>735</v>
      </c>
      <c r="C500" t="s">
        <v>8972</v>
      </c>
      <c r="D500" t="s">
        <v>8973</v>
      </c>
      <c r="E500" t="s">
        <v>8974</v>
      </c>
      <c r="F500" t="s">
        <v>8975</v>
      </c>
      <c r="G500" t="s">
        <v>735</v>
      </c>
      <c r="H500" t="s">
        <v>8976</v>
      </c>
      <c r="I500" t="s">
        <v>8977</v>
      </c>
      <c r="J500" t="s">
        <v>8978</v>
      </c>
      <c r="K500" t="s">
        <v>735</v>
      </c>
      <c r="L500" t="s">
        <v>10924</v>
      </c>
    </row>
    <row r="501" spans="1:12" x14ac:dyDescent="0.35">
      <c r="A501" t="str">
        <f t="shared" si="7"/>
        <v>Price / LTM EPS</v>
      </c>
      <c r="B501" t="s">
        <v>425</v>
      </c>
      <c r="C501" t="s">
        <v>8050</v>
      </c>
      <c r="D501" t="s">
        <v>8051</v>
      </c>
      <c r="E501" t="s">
        <v>8052</v>
      </c>
      <c r="F501" t="s">
        <v>8053</v>
      </c>
      <c r="G501" t="s">
        <v>8054</v>
      </c>
      <c r="H501" t="s">
        <v>8055</v>
      </c>
      <c r="I501" t="s">
        <v>8056</v>
      </c>
      <c r="J501" t="s">
        <v>8057</v>
      </c>
      <c r="K501" t="s">
        <v>8058</v>
      </c>
      <c r="L501" t="s">
        <v>10808</v>
      </c>
    </row>
    <row r="502" spans="1:12" x14ac:dyDescent="0.35">
      <c r="A502" t="str">
        <f t="shared" si="7"/>
        <v>Price / NTM EPS</v>
      </c>
      <c r="B502" t="s">
        <v>427</v>
      </c>
      <c r="C502" t="s">
        <v>8979</v>
      </c>
      <c r="D502" t="s">
        <v>8980</v>
      </c>
      <c r="E502" t="s">
        <v>8981</v>
      </c>
      <c r="F502" t="s">
        <v>8982</v>
      </c>
      <c r="G502" t="s">
        <v>8983</v>
      </c>
      <c r="H502" t="s">
        <v>8984</v>
      </c>
      <c r="I502" t="s">
        <v>8985</v>
      </c>
      <c r="J502" t="s">
        <v>8986</v>
      </c>
      <c r="K502" t="s">
        <v>8987</v>
      </c>
      <c r="L502" t="s">
        <v>8988</v>
      </c>
    </row>
    <row r="503" spans="1:12" x14ac:dyDescent="0.35">
      <c r="A503" t="str">
        <f t="shared" ref="A503:A561" si="8">INDEX($B503:$CW503,,$A$5)</f>
        <v>Price / LTM Normalized EPS</v>
      </c>
      <c r="B503" t="s">
        <v>468</v>
      </c>
      <c r="C503" t="s">
        <v>8989</v>
      </c>
      <c r="D503" t="s">
        <v>8990</v>
      </c>
      <c r="E503" t="s">
        <v>8991</v>
      </c>
      <c r="F503" t="s">
        <v>8992</v>
      </c>
      <c r="G503" t="s">
        <v>8993</v>
      </c>
      <c r="H503" t="s">
        <v>8994</v>
      </c>
      <c r="I503" t="s">
        <v>8995</v>
      </c>
      <c r="J503" t="s">
        <v>8996</v>
      </c>
      <c r="K503" t="s">
        <v>8997</v>
      </c>
      <c r="L503" t="s">
        <v>8998</v>
      </c>
    </row>
    <row r="504" spans="1:12" x14ac:dyDescent="0.35">
      <c r="A504" t="str">
        <f t="shared" si="8"/>
        <v>Price / Book Value</v>
      </c>
      <c r="B504" t="s">
        <v>470</v>
      </c>
      <c r="C504" t="s">
        <v>1180</v>
      </c>
      <c r="D504" t="s">
        <v>1181</v>
      </c>
      <c r="E504" t="s">
        <v>1182</v>
      </c>
      <c r="F504" t="s">
        <v>8066</v>
      </c>
      <c r="G504" t="s">
        <v>8067</v>
      </c>
      <c r="H504" t="s">
        <v>8068</v>
      </c>
      <c r="I504" t="s">
        <v>1186</v>
      </c>
      <c r="J504" t="s">
        <v>1187</v>
      </c>
      <c r="K504" t="s">
        <v>1188</v>
      </c>
      <c r="L504" t="s">
        <v>10809</v>
      </c>
    </row>
    <row r="505" spans="1:12" x14ac:dyDescent="0.35">
      <c r="A505" t="str">
        <f t="shared" si="8"/>
        <v>Forward P / BV</v>
      </c>
      <c r="B505" t="s">
        <v>217</v>
      </c>
      <c r="C505" t="s">
        <v>8069</v>
      </c>
      <c r="D505" t="s">
        <v>8070</v>
      </c>
      <c r="E505" t="s">
        <v>8071</v>
      </c>
      <c r="F505" t="s">
        <v>8072</v>
      </c>
      <c r="G505" t="s">
        <v>8073</v>
      </c>
      <c r="H505" t="s">
        <v>8074</v>
      </c>
      <c r="I505" t="s">
        <v>8075</v>
      </c>
      <c r="J505" t="s">
        <v>8076</v>
      </c>
      <c r="K505" t="s">
        <v>8077</v>
      </c>
      <c r="L505" t="s">
        <v>10810</v>
      </c>
    </row>
    <row r="506" spans="1:12" x14ac:dyDescent="0.35">
      <c r="A506" t="str">
        <f t="shared" si="8"/>
        <v>Price / Tangible Book Value</v>
      </c>
      <c r="B506" t="s">
        <v>472</v>
      </c>
      <c r="C506" t="s">
        <v>7871</v>
      </c>
      <c r="D506" t="s">
        <v>7872</v>
      </c>
      <c r="E506" t="s">
        <v>8078</v>
      </c>
      <c r="F506" t="s">
        <v>8079</v>
      </c>
      <c r="G506" t="s">
        <v>8080</v>
      </c>
      <c r="H506" t="s">
        <v>8081</v>
      </c>
      <c r="I506" t="s">
        <v>8082</v>
      </c>
      <c r="J506" t="s">
        <v>8083</v>
      </c>
      <c r="K506" t="s">
        <v>8084</v>
      </c>
      <c r="L506" t="s">
        <v>10811</v>
      </c>
    </row>
    <row r="507" spans="1:12" x14ac:dyDescent="0.35">
      <c r="A507" t="str">
        <f t="shared" si="8"/>
        <v>Price / NTM CFPS</v>
      </c>
      <c r="B507" t="s">
        <v>473</v>
      </c>
      <c r="C507" t="s">
        <v>8999</v>
      </c>
      <c r="D507" t="s">
        <v>9000</v>
      </c>
      <c r="E507" t="s">
        <v>9001</v>
      </c>
      <c r="F507" t="s">
        <v>9002</v>
      </c>
      <c r="G507" t="s">
        <v>9003</v>
      </c>
      <c r="H507" t="s">
        <v>9004</v>
      </c>
      <c r="I507" t="s">
        <v>9005</v>
      </c>
      <c r="J507" t="s">
        <v>9006</v>
      </c>
      <c r="K507" t="s">
        <v>9007</v>
      </c>
      <c r="L507" t="s">
        <v>9008</v>
      </c>
    </row>
    <row r="508" spans="1:12" x14ac:dyDescent="0.35">
      <c r="A508" t="str">
        <f t="shared" si="8"/>
        <v>TEV / LTM Unlevered FCF</v>
      </c>
      <c r="B508" t="s">
        <v>474</v>
      </c>
      <c r="C508" t="s">
        <v>9009</v>
      </c>
      <c r="D508" t="s">
        <v>9010</v>
      </c>
      <c r="E508" t="s">
        <v>9011</v>
      </c>
      <c r="F508" t="s">
        <v>9012</v>
      </c>
      <c r="G508" t="s">
        <v>9013</v>
      </c>
      <c r="H508" t="s">
        <v>9014</v>
      </c>
      <c r="I508" t="s">
        <v>9015</v>
      </c>
      <c r="J508" t="s">
        <v>9016</v>
      </c>
      <c r="K508" t="s">
        <v>9017</v>
      </c>
      <c r="L508" t="s">
        <v>9018</v>
      </c>
    </row>
    <row r="509" spans="1:12" x14ac:dyDescent="0.35">
      <c r="A509" t="str">
        <f t="shared" si="8"/>
        <v>Market Cap / LTM Levered FCF</v>
      </c>
      <c r="B509" t="s">
        <v>475</v>
      </c>
      <c r="C509" t="s">
        <v>9019</v>
      </c>
      <c r="D509" t="s">
        <v>9020</v>
      </c>
      <c r="E509" t="s">
        <v>9021</v>
      </c>
      <c r="F509" t="s">
        <v>9022</v>
      </c>
      <c r="G509" t="s">
        <v>9023</v>
      </c>
      <c r="H509" t="s">
        <v>9024</v>
      </c>
      <c r="I509" t="s">
        <v>9025</v>
      </c>
      <c r="J509" t="s">
        <v>9026</v>
      </c>
      <c r="K509" t="s">
        <v>9027</v>
      </c>
      <c r="L509" t="s">
        <v>9028</v>
      </c>
    </row>
    <row r="510" spans="1:12" x14ac:dyDescent="0.35">
      <c r="A510" t="str">
        <f t="shared" si="8"/>
        <v>Market Cap / LTM Total Revenues</v>
      </c>
      <c r="B510" t="s">
        <v>213</v>
      </c>
      <c r="C510" t="s">
        <v>9029</v>
      </c>
      <c r="D510" t="s">
        <v>9030</v>
      </c>
      <c r="E510" t="s">
        <v>9031</v>
      </c>
      <c r="F510" t="s">
        <v>9032</v>
      </c>
      <c r="G510" t="s">
        <v>9033</v>
      </c>
      <c r="H510" t="s">
        <v>9034</v>
      </c>
      <c r="I510" t="s">
        <v>9035</v>
      </c>
      <c r="J510" t="s">
        <v>9036</v>
      </c>
      <c r="K510" t="s">
        <v>9037</v>
      </c>
      <c r="L510" t="s">
        <v>9038</v>
      </c>
    </row>
    <row r="511" spans="1:12" x14ac:dyDescent="0.35">
      <c r="A511" t="str">
        <f t="shared" si="8"/>
        <v>Market Cap / Forward Total Revenues</v>
      </c>
      <c r="B511" t="s">
        <v>214</v>
      </c>
      <c r="C511" t="s">
        <v>10752</v>
      </c>
      <c r="D511" t="s">
        <v>10753</v>
      </c>
      <c r="E511" t="s">
        <v>10754</v>
      </c>
      <c r="F511" t="s">
        <v>10755</v>
      </c>
      <c r="G511" t="s">
        <v>10756</v>
      </c>
      <c r="H511" t="s">
        <v>10757</v>
      </c>
      <c r="I511" t="s">
        <v>10758</v>
      </c>
      <c r="J511" t="s">
        <v>10759</v>
      </c>
      <c r="K511" t="s">
        <v>10760</v>
      </c>
      <c r="L511" t="s">
        <v>10761</v>
      </c>
    </row>
    <row r="512" spans="1:12" x14ac:dyDescent="0.35">
      <c r="A512" t="str">
        <f t="shared" si="8"/>
        <v>Market Cap / LTM EBT Excl Unusual Items</v>
      </c>
      <c r="B512" t="s">
        <v>215</v>
      </c>
      <c r="C512" t="s">
        <v>9039</v>
      </c>
      <c r="D512" t="s">
        <v>9040</v>
      </c>
      <c r="E512" t="s">
        <v>9041</v>
      </c>
      <c r="F512" t="s">
        <v>9042</v>
      </c>
      <c r="G512" t="s">
        <v>9043</v>
      </c>
      <c r="H512" t="s">
        <v>9044</v>
      </c>
      <c r="I512" t="s">
        <v>9045</v>
      </c>
      <c r="J512" t="s">
        <v>9046</v>
      </c>
      <c r="K512" t="s">
        <v>9047</v>
      </c>
      <c r="L512" t="s">
        <v>9048</v>
      </c>
    </row>
    <row r="513" spans="1:12" x14ac:dyDescent="0.35">
      <c r="A513" t="str">
        <f t="shared" si="8"/>
        <v>PEG Ratio</v>
      </c>
      <c r="B513" t="s">
        <v>216</v>
      </c>
      <c r="C513" t="s">
        <v>9049</v>
      </c>
      <c r="D513" t="s">
        <v>9050</v>
      </c>
      <c r="E513" t="s">
        <v>9051</v>
      </c>
      <c r="F513" t="s">
        <v>9052</v>
      </c>
      <c r="G513" t="s">
        <v>9053</v>
      </c>
      <c r="H513" t="s">
        <v>9054</v>
      </c>
      <c r="I513" t="s">
        <v>9055</v>
      </c>
      <c r="J513" t="s">
        <v>216</v>
      </c>
      <c r="K513" t="s">
        <v>9056</v>
      </c>
      <c r="L513" t="s">
        <v>10925</v>
      </c>
    </row>
    <row r="514" spans="1:12" x14ac:dyDescent="0.35">
      <c r="A514" t="str">
        <f t="shared" si="8"/>
        <v>Note: Average multiples are calculated using positive close values on each trading day within the frequency periods selected. Negative values are excluded from the calculation.</v>
      </c>
      <c r="B514" t="s">
        <v>732</v>
      </c>
      <c r="C514" t="s">
        <v>9057</v>
      </c>
      <c r="D514" t="s">
        <v>9058</v>
      </c>
      <c r="E514" t="s">
        <v>9059</v>
      </c>
      <c r="F514" t="s">
        <v>9060</v>
      </c>
      <c r="G514" t="s">
        <v>9061</v>
      </c>
      <c r="H514" t="s">
        <v>9062</v>
      </c>
      <c r="I514" t="s">
        <v>9063</v>
      </c>
      <c r="J514" t="s">
        <v>9064</v>
      </c>
      <c r="K514" t="s">
        <v>9065</v>
      </c>
      <c r="L514" t="s">
        <v>9066</v>
      </c>
    </row>
    <row r="515" spans="1:12" x14ac:dyDescent="0.35">
      <c r="A515" t="str">
        <f t="shared" si="8"/>
        <v>Balance Sheet as of</v>
      </c>
      <c r="B515" s="19" t="s">
        <v>994</v>
      </c>
      <c r="C515" t="s">
        <v>9067</v>
      </c>
      <c r="D515" t="s">
        <v>9068</v>
      </c>
      <c r="E515" t="s">
        <v>9069</v>
      </c>
      <c r="F515" t="s">
        <v>9070</v>
      </c>
      <c r="G515" t="s">
        <v>9071</v>
      </c>
      <c r="H515" t="s">
        <v>9072</v>
      </c>
      <c r="I515" t="s">
        <v>9073</v>
      </c>
      <c r="J515" t="s">
        <v>9074</v>
      </c>
      <c r="K515" t="s">
        <v>9075</v>
      </c>
      <c r="L515" t="s">
        <v>9076</v>
      </c>
    </row>
    <row r="516" spans="1:12" x14ac:dyDescent="0.35">
      <c r="A516" t="str">
        <f t="shared" si="8"/>
        <v>Pricing as of</v>
      </c>
      <c r="B516" s="19" t="s">
        <v>995</v>
      </c>
      <c r="C516" t="s">
        <v>9077</v>
      </c>
      <c r="D516" t="s">
        <v>9078</v>
      </c>
      <c r="E516" t="s">
        <v>9079</v>
      </c>
      <c r="F516" t="s">
        <v>9080</v>
      </c>
      <c r="G516" t="s">
        <v>9081</v>
      </c>
      <c r="H516" t="s">
        <v>9082</v>
      </c>
      <c r="I516" t="s">
        <v>9083</v>
      </c>
      <c r="J516" t="s">
        <v>9084</v>
      </c>
      <c r="K516" t="s">
        <v>9085</v>
      </c>
      <c r="L516" t="s">
        <v>9086</v>
      </c>
    </row>
    <row r="517" spans="1:12" x14ac:dyDescent="0.35">
      <c r="A517" t="str">
        <f t="shared" si="8"/>
        <v>Capitalization Detail</v>
      </c>
      <c r="B517" t="s">
        <v>466</v>
      </c>
      <c r="C517" t="s">
        <v>9087</v>
      </c>
      <c r="D517" t="s">
        <v>9088</v>
      </c>
      <c r="E517" t="s">
        <v>9089</v>
      </c>
      <c r="F517" t="s">
        <v>9090</v>
      </c>
      <c r="G517" t="s">
        <v>9091</v>
      </c>
      <c r="H517" t="s">
        <v>9092</v>
      </c>
      <c r="I517" t="s">
        <v>9093</v>
      </c>
      <c r="J517" t="s">
        <v>9094</v>
      </c>
      <c r="K517" t="s">
        <v>9095</v>
      </c>
      <c r="L517" t="s">
        <v>9096</v>
      </c>
    </row>
    <row r="518" spans="1:12" x14ac:dyDescent="0.35">
      <c r="A518" t="str">
        <f t="shared" si="8"/>
        <v>Share Price</v>
      </c>
      <c r="B518" s="19" t="s">
        <v>719</v>
      </c>
      <c r="C518" t="s">
        <v>4968</v>
      </c>
      <c r="D518" t="s">
        <v>4969</v>
      </c>
      <c r="E518" t="s">
        <v>4970</v>
      </c>
      <c r="F518" t="s">
        <v>4971</v>
      </c>
      <c r="G518" t="s">
        <v>4972</v>
      </c>
      <c r="H518" t="s">
        <v>4973</v>
      </c>
      <c r="I518" t="s">
        <v>4974</v>
      </c>
      <c r="J518" t="s">
        <v>4975</v>
      </c>
      <c r="K518" t="s">
        <v>4976</v>
      </c>
      <c r="L518" t="s">
        <v>10812</v>
      </c>
    </row>
    <row r="519" spans="1:12" x14ac:dyDescent="0.35">
      <c r="A519" t="str">
        <f t="shared" si="8"/>
        <v>Shares Outstanding</v>
      </c>
      <c r="B519" s="19" t="s">
        <v>996</v>
      </c>
      <c r="C519" t="s">
        <v>4977</v>
      </c>
      <c r="D519" t="s">
        <v>4978</v>
      </c>
      <c r="E519" t="s">
        <v>4979</v>
      </c>
      <c r="F519" t="s">
        <v>4980</v>
      </c>
      <c r="G519" t="s">
        <v>4981</v>
      </c>
      <c r="H519" t="s">
        <v>4982</v>
      </c>
      <c r="I519" t="s">
        <v>4983</v>
      </c>
      <c r="J519" t="s">
        <v>4984</v>
      </c>
      <c r="K519" t="s">
        <v>4985</v>
      </c>
      <c r="L519" t="s">
        <v>10875</v>
      </c>
    </row>
    <row r="520" spans="1:12" x14ac:dyDescent="0.35">
      <c r="A520" t="str">
        <f t="shared" si="8"/>
        <v>Pricing as of the filing date of the balance sheet period end date. For TEV calculation purposes on this page, S&amp;P Capital IQ only uses balance sheet components from the original filing that is publicly available as of a given pricing date and does not use restated balance sheet data from a later filing. In the cases where a company did not disclose balance sheet values for a particular period, TEV is calculated using balance sheet components from the last reported balance sheet as of this date. The table above is organized along period end dates.</v>
      </c>
      <c r="B520" s="19" t="s">
        <v>1010</v>
      </c>
      <c r="C520" t="s">
        <v>10654</v>
      </c>
      <c r="D520" t="s">
        <v>10655</v>
      </c>
      <c r="E520" t="s">
        <v>10656</v>
      </c>
      <c r="F520" t="s">
        <v>10657</v>
      </c>
      <c r="G520" t="s">
        <v>10658</v>
      </c>
      <c r="H520" t="s">
        <v>10659</v>
      </c>
      <c r="I520" t="s">
        <v>10660</v>
      </c>
      <c r="J520" t="s">
        <v>10661</v>
      </c>
      <c r="K520" t="s">
        <v>10662</v>
      </c>
      <c r="L520" t="s">
        <v>10663</v>
      </c>
    </row>
    <row r="521" spans="1:12" x14ac:dyDescent="0.35">
      <c r="A521" t="str">
        <f t="shared" si="8"/>
        <v>Prices shown on this page are the close price of the company’s primary stock class. Shares shown on this page are total company as-reported share values.</v>
      </c>
      <c r="B521" s="19" t="s">
        <v>1011</v>
      </c>
      <c r="C521" t="s">
        <v>9097</v>
      </c>
      <c r="D521" t="s">
        <v>9098</v>
      </c>
      <c r="E521" t="s">
        <v>9099</v>
      </c>
      <c r="F521" t="s">
        <v>9100</v>
      </c>
      <c r="G521" t="s">
        <v>9101</v>
      </c>
      <c r="H521" t="s">
        <v>9102</v>
      </c>
      <c r="I521" t="s">
        <v>9103</v>
      </c>
      <c r="J521" t="s">
        <v>9104</v>
      </c>
      <c r="K521" t="s">
        <v>9105</v>
      </c>
      <c r="L521" t="s">
        <v>9106</v>
      </c>
    </row>
    <row r="522" spans="1:12" x14ac:dyDescent="0.35">
      <c r="A522" t="str">
        <f t="shared" si="8"/>
        <v>Filing Version</v>
      </c>
      <c r="B522" t="s">
        <v>759</v>
      </c>
      <c r="C522" t="s">
        <v>9107</v>
      </c>
      <c r="D522" t="s">
        <v>9108</v>
      </c>
      <c r="E522" t="s">
        <v>9109</v>
      </c>
      <c r="F522" t="s">
        <v>9110</v>
      </c>
      <c r="G522" t="s">
        <v>9111</v>
      </c>
      <c r="H522" t="s">
        <v>9112</v>
      </c>
      <c r="I522" t="s">
        <v>9113</v>
      </c>
      <c r="J522" t="s">
        <v>9114</v>
      </c>
      <c r="K522" t="s">
        <v>9115</v>
      </c>
      <c r="L522" t="s">
        <v>9116</v>
      </c>
    </row>
    <row r="523" spans="1:12" x14ac:dyDescent="0.35">
      <c r="A523" t="str">
        <f t="shared" si="8"/>
        <v>LTM</v>
      </c>
      <c r="B523" t="s">
        <v>660</v>
      </c>
      <c r="C523" t="s">
        <v>4986</v>
      </c>
      <c r="D523" t="s">
        <v>4987</v>
      </c>
      <c r="E523" t="s">
        <v>4988</v>
      </c>
      <c r="F523" t="s">
        <v>4989</v>
      </c>
      <c r="G523" t="s">
        <v>4990</v>
      </c>
      <c r="H523" t="s">
        <v>660</v>
      </c>
      <c r="I523" t="s">
        <v>4991</v>
      </c>
      <c r="J523" t="s">
        <v>4992</v>
      </c>
      <c r="K523" t="s">
        <v>4993</v>
      </c>
      <c r="L523" t="s">
        <v>660</v>
      </c>
    </row>
    <row r="524" spans="1:12" x14ac:dyDescent="0.35">
      <c r="A524" t="str">
        <f t="shared" si="8"/>
        <v>12 Months</v>
      </c>
      <c r="B524" t="s">
        <v>477</v>
      </c>
      <c r="C524" t="s">
        <v>10772</v>
      </c>
      <c r="D524" t="s">
        <v>10773</v>
      </c>
      <c r="E524" t="s">
        <v>10774</v>
      </c>
      <c r="F524" t="s">
        <v>10775</v>
      </c>
      <c r="G524" t="s">
        <v>10776</v>
      </c>
      <c r="H524" t="s">
        <v>10777</v>
      </c>
      <c r="I524" t="s">
        <v>10778</v>
      </c>
      <c r="J524" t="s">
        <v>10779</v>
      </c>
      <c r="K524" t="s">
        <v>10780</v>
      </c>
      <c r="L524" t="s">
        <v>10779</v>
      </c>
    </row>
    <row r="525" spans="1:12" x14ac:dyDescent="0.35">
      <c r="A525" t="str">
        <f t="shared" si="8"/>
        <v>For the Fiscal Period Ending</v>
      </c>
      <c r="B525" t="s">
        <v>359</v>
      </c>
      <c r="C525" t="s">
        <v>10725</v>
      </c>
      <c r="D525" t="s">
        <v>10726</v>
      </c>
      <c r="E525" t="s">
        <v>10727</v>
      </c>
      <c r="F525" t="s">
        <v>10728</v>
      </c>
      <c r="G525" t="s">
        <v>10729</v>
      </c>
      <c r="H525" t="s">
        <v>10730</v>
      </c>
      <c r="I525" t="s">
        <v>10731</v>
      </c>
      <c r="J525" t="s">
        <v>10732</v>
      </c>
      <c r="K525" t="s">
        <v>10733</v>
      </c>
      <c r="L525" t="s">
        <v>10734</v>
      </c>
    </row>
    <row r="526" spans="1:12" x14ac:dyDescent="0.35">
      <c r="A526" t="str">
        <f t="shared" si="8"/>
        <v>Pref Equity</v>
      </c>
      <c r="B526" t="s">
        <v>480</v>
      </c>
      <c r="C526" t="s">
        <v>8824</v>
      </c>
      <c r="D526" t="s">
        <v>8825</v>
      </c>
      <c r="E526" t="s">
        <v>9117</v>
      </c>
      <c r="F526" t="s">
        <v>8827</v>
      </c>
      <c r="G526" t="s">
        <v>8828</v>
      </c>
      <c r="H526" t="s">
        <v>8829</v>
      </c>
      <c r="I526" t="s">
        <v>8830</v>
      </c>
      <c r="J526" t="s">
        <v>9118</v>
      </c>
      <c r="K526" t="s">
        <v>8832</v>
      </c>
      <c r="L526" t="s">
        <v>8833</v>
      </c>
    </row>
    <row r="527" spans="1:12" x14ac:dyDescent="0.35">
      <c r="A527" t="str">
        <f t="shared" si="8"/>
        <v>Debt Summary Data</v>
      </c>
      <c r="B527" t="s">
        <v>482</v>
      </c>
      <c r="C527" t="s">
        <v>9119</v>
      </c>
      <c r="D527" t="s">
        <v>9120</v>
      </c>
      <c r="E527" t="s">
        <v>9121</v>
      </c>
      <c r="F527" t="s">
        <v>9122</v>
      </c>
      <c r="G527" t="s">
        <v>9123</v>
      </c>
      <c r="H527" t="s">
        <v>9124</v>
      </c>
      <c r="I527" t="s">
        <v>9125</v>
      </c>
      <c r="J527" t="s">
        <v>9126</v>
      </c>
      <c r="K527" t="s">
        <v>9127</v>
      </c>
      <c r="L527" t="s">
        <v>9128</v>
      </c>
    </row>
    <row r="528" spans="1:12" x14ac:dyDescent="0.35">
      <c r="A528" t="str">
        <f t="shared" si="8"/>
        <v>Total Commercial Paper</v>
      </c>
      <c r="B528" t="s">
        <v>483</v>
      </c>
      <c r="C528" t="s">
        <v>4994</v>
      </c>
      <c r="D528" t="s">
        <v>4995</v>
      </c>
      <c r="E528" t="s">
        <v>4996</v>
      </c>
      <c r="F528" t="s">
        <v>4997</v>
      </c>
      <c r="G528" t="s">
        <v>4998</v>
      </c>
      <c r="H528" t="s">
        <v>4999</v>
      </c>
      <c r="I528" t="s">
        <v>5000</v>
      </c>
      <c r="J528" t="s">
        <v>5001</v>
      </c>
      <c r="K528" t="s">
        <v>5002</v>
      </c>
      <c r="L528" t="s">
        <v>10813</v>
      </c>
    </row>
    <row r="529" spans="1:12" x14ac:dyDescent="0.35">
      <c r="A529" t="str">
        <f t="shared" si="8"/>
        <v>Total Revolving Credit</v>
      </c>
      <c r="B529" t="s">
        <v>484</v>
      </c>
      <c r="C529" t="s">
        <v>5003</v>
      </c>
      <c r="D529" t="s">
        <v>5004</v>
      </c>
      <c r="E529" t="s">
        <v>5005</v>
      </c>
      <c r="F529" t="s">
        <v>5006</v>
      </c>
      <c r="G529" t="s">
        <v>5007</v>
      </c>
      <c r="H529" t="s">
        <v>5008</v>
      </c>
      <c r="I529" t="s">
        <v>5009</v>
      </c>
      <c r="J529" t="s">
        <v>5010</v>
      </c>
      <c r="K529" t="s">
        <v>5011</v>
      </c>
      <c r="L529" t="s">
        <v>10814</v>
      </c>
    </row>
    <row r="530" spans="1:12" x14ac:dyDescent="0.35">
      <c r="A530" t="str">
        <f t="shared" si="8"/>
        <v>Total Term Loans</v>
      </c>
      <c r="B530" t="s">
        <v>485</v>
      </c>
      <c r="C530" t="s">
        <v>5012</v>
      </c>
      <c r="D530" t="s">
        <v>5013</v>
      </c>
      <c r="E530" t="s">
        <v>5014</v>
      </c>
      <c r="F530" t="s">
        <v>5015</v>
      </c>
      <c r="G530" t="s">
        <v>5016</v>
      </c>
      <c r="H530" t="s">
        <v>5017</v>
      </c>
      <c r="I530" t="s">
        <v>5018</v>
      </c>
      <c r="J530" t="s">
        <v>5019</v>
      </c>
      <c r="K530" t="s">
        <v>5020</v>
      </c>
      <c r="L530" t="s">
        <v>10815</v>
      </c>
    </row>
    <row r="531" spans="1:12" x14ac:dyDescent="0.35">
      <c r="A531" t="str">
        <f t="shared" si="8"/>
        <v>Total Sr. Bonds and Notes</v>
      </c>
      <c r="B531" t="s">
        <v>486</v>
      </c>
      <c r="C531" t="s">
        <v>7988</v>
      </c>
      <c r="D531" t="s">
        <v>7989</v>
      </c>
      <c r="E531" t="s">
        <v>7990</v>
      </c>
      <c r="F531" t="s">
        <v>7991</v>
      </c>
      <c r="G531" t="s">
        <v>7992</v>
      </c>
      <c r="H531" t="s">
        <v>7993</v>
      </c>
      <c r="I531" t="s">
        <v>7994</v>
      </c>
      <c r="J531" t="s">
        <v>7995</v>
      </c>
      <c r="K531" t="s">
        <v>7996</v>
      </c>
      <c r="L531" t="s">
        <v>10816</v>
      </c>
    </row>
    <row r="532" spans="1:12" x14ac:dyDescent="0.35">
      <c r="A532" t="str">
        <f t="shared" si="8"/>
        <v>Total Sub. Bonds and Notes</v>
      </c>
      <c r="B532" t="s">
        <v>487</v>
      </c>
      <c r="C532" t="s">
        <v>5021</v>
      </c>
      <c r="D532" t="s">
        <v>5022</v>
      </c>
      <c r="E532" t="s">
        <v>5023</v>
      </c>
      <c r="F532" t="s">
        <v>5024</v>
      </c>
      <c r="G532" t="s">
        <v>5025</v>
      </c>
      <c r="H532" t="s">
        <v>5026</v>
      </c>
      <c r="I532" t="s">
        <v>5027</v>
      </c>
      <c r="J532" t="s">
        <v>5028</v>
      </c>
      <c r="K532" t="s">
        <v>5029</v>
      </c>
      <c r="L532" t="s">
        <v>10817</v>
      </c>
    </row>
    <row r="533" spans="1:12" x14ac:dyDescent="0.35">
      <c r="A533" t="str">
        <f t="shared" si="8"/>
        <v>Total Trust Preferred</v>
      </c>
      <c r="B533" t="s">
        <v>661</v>
      </c>
      <c r="C533" t="s">
        <v>5030</v>
      </c>
      <c r="D533" t="s">
        <v>5031</v>
      </c>
      <c r="E533" t="s">
        <v>5032</v>
      </c>
      <c r="F533" t="s">
        <v>5033</v>
      </c>
      <c r="G533" t="s">
        <v>5034</v>
      </c>
      <c r="H533" t="s">
        <v>5035</v>
      </c>
      <c r="I533" t="s">
        <v>5036</v>
      </c>
      <c r="J533" t="s">
        <v>5037</v>
      </c>
      <c r="K533" t="s">
        <v>5038</v>
      </c>
      <c r="L533" t="s">
        <v>10818</v>
      </c>
    </row>
    <row r="534" spans="1:12" x14ac:dyDescent="0.35">
      <c r="A534" t="str">
        <f t="shared" si="8"/>
        <v>Total Lease Liabilities</v>
      </c>
      <c r="B534" t="s">
        <v>950</v>
      </c>
      <c r="C534" t="s">
        <v>9129</v>
      </c>
      <c r="D534" t="s">
        <v>9130</v>
      </c>
      <c r="E534" t="s">
        <v>9131</v>
      </c>
      <c r="F534" t="s">
        <v>9132</v>
      </c>
      <c r="G534" t="s">
        <v>9133</v>
      </c>
      <c r="H534" t="s">
        <v>9134</v>
      </c>
      <c r="I534" t="s">
        <v>9135</v>
      </c>
      <c r="J534" t="s">
        <v>9136</v>
      </c>
      <c r="K534" t="s">
        <v>9137</v>
      </c>
      <c r="L534" t="s">
        <v>9138</v>
      </c>
    </row>
    <row r="535" spans="1:12" x14ac:dyDescent="0.35">
      <c r="A535" t="str">
        <f t="shared" si="8"/>
        <v>Other Borrowings</v>
      </c>
      <c r="B535" t="s">
        <v>488</v>
      </c>
      <c r="C535" t="s">
        <v>5039</v>
      </c>
      <c r="D535" t="s">
        <v>5039</v>
      </c>
      <c r="E535" t="s">
        <v>5040</v>
      </c>
      <c r="F535" t="s">
        <v>5041</v>
      </c>
      <c r="G535" t="s">
        <v>5042</v>
      </c>
      <c r="H535" t="s">
        <v>5043</v>
      </c>
      <c r="I535" t="s">
        <v>5044</v>
      </c>
      <c r="J535" t="s">
        <v>5045</v>
      </c>
      <c r="K535" t="s">
        <v>5046</v>
      </c>
      <c r="L535" t="s">
        <v>10819</v>
      </c>
    </row>
    <row r="536" spans="1:12" x14ac:dyDescent="0.35">
      <c r="A536" t="str">
        <f t="shared" si="8"/>
        <v>Total Principal Due</v>
      </c>
      <c r="B536" t="s">
        <v>489</v>
      </c>
      <c r="C536" t="s">
        <v>5047</v>
      </c>
      <c r="D536" t="s">
        <v>5048</v>
      </c>
      <c r="E536" t="s">
        <v>5049</v>
      </c>
      <c r="F536" t="s">
        <v>5050</v>
      </c>
      <c r="G536" t="s">
        <v>5051</v>
      </c>
      <c r="H536" t="s">
        <v>5052</v>
      </c>
      <c r="I536" t="s">
        <v>5053</v>
      </c>
      <c r="J536" t="s">
        <v>5054</v>
      </c>
      <c r="K536" t="s">
        <v>5055</v>
      </c>
      <c r="L536" t="s">
        <v>10820</v>
      </c>
    </row>
    <row r="537" spans="1:12" x14ac:dyDescent="0.35">
      <c r="A537" t="str">
        <f t="shared" si="8"/>
        <v>Total Unamortized Premium</v>
      </c>
      <c r="B537" t="s">
        <v>1012</v>
      </c>
      <c r="C537" t="s">
        <v>5056</v>
      </c>
      <c r="D537" t="s">
        <v>5057</v>
      </c>
      <c r="E537" t="s">
        <v>5058</v>
      </c>
      <c r="F537" t="s">
        <v>5059</v>
      </c>
      <c r="G537" t="s">
        <v>5060</v>
      </c>
      <c r="H537" t="s">
        <v>5061</v>
      </c>
      <c r="I537" t="s">
        <v>5062</v>
      </c>
      <c r="J537" t="s">
        <v>5063</v>
      </c>
      <c r="K537" t="s">
        <v>5064</v>
      </c>
      <c r="L537" t="s">
        <v>10821</v>
      </c>
    </row>
    <row r="538" spans="1:12" x14ac:dyDescent="0.35">
      <c r="A538" t="str">
        <f t="shared" si="8"/>
        <v>Total Unamortized Discount</v>
      </c>
      <c r="B538" t="s">
        <v>490</v>
      </c>
      <c r="C538" t="s">
        <v>5065</v>
      </c>
      <c r="D538" t="s">
        <v>5066</v>
      </c>
      <c r="E538" t="s">
        <v>5067</v>
      </c>
      <c r="F538" t="s">
        <v>5068</v>
      </c>
      <c r="G538" t="s">
        <v>5069</v>
      </c>
      <c r="H538" t="s">
        <v>5070</v>
      </c>
      <c r="I538" t="s">
        <v>5071</v>
      </c>
      <c r="J538" t="s">
        <v>5072</v>
      </c>
      <c r="K538" t="s">
        <v>5073</v>
      </c>
      <c r="L538" t="s">
        <v>10822</v>
      </c>
    </row>
    <row r="539" spans="1:12" x14ac:dyDescent="0.35">
      <c r="A539" t="str">
        <f t="shared" si="8"/>
        <v>Adjustments</v>
      </c>
      <c r="B539" t="s">
        <v>491</v>
      </c>
      <c r="C539" t="s">
        <v>5074</v>
      </c>
      <c r="D539" t="s">
        <v>5075</v>
      </c>
      <c r="E539" t="s">
        <v>5076</v>
      </c>
      <c r="F539" t="s">
        <v>5077</v>
      </c>
      <c r="G539" t="s">
        <v>5078</v>
      </c>
      <c r="H539" t="s">
        <v>5079</v>
      </c>
      <c r="I539" t="s">
        <v>5080</v>
      </c>
      <c r="J539" t="s">
        <v>5081</v>
      </c>
      <c r="K539" t="s">
        <v>5082</v>
      </c>
      <c r="L539" t="s">
        <v>5081</v>
      </c>
    </row>
    <row r="540" spans="1:12" x14ac:dyDescent="0.35">
      <c r="A540" t="str">
        <f t="shared" si="8"/>
        <v>Total Debt Outstanding</v>
      </c>
      <c r="B540" t="s">
        <v>8005</v>
      </c>
      <c r="C540" t="s">
        <v>7997</v>
      </c>
      <c r="D540" t="s">
        <v>7998</v>
      </c>
      <c r="E540" t="s">
        <v>7999</v>
      </c>
      <c r="F540" t="s">
        <v>8000</v>
      </c>
      <c r="G540" t="s">
        <v>8001</v>
      </c>
      <c r="H540" t="s">
        <v>3468</v>
      </c>
      <c r="I540" t="s">
        <v>8002</v>
      </c>
      <c r="J540" t="s">
        <v>8003</v>
      </c>
      <c r="K540" t="s">
        <v>8004</v>
      </c>
      <c r="L540" t="s">
        <v>10823</v>
      </c>
    </row>
    <row r="541" spans="1:12" x14ac:dyDescent="0.35">
      <c r="A541" t="str">
        <f t="shared" si="8"/>
        <v>Available Credit</v>
      </c>
      <c r="B541" t="s">
        <v>492</v>
      </c>
      <c r="C541" t="s">
        <v>9139</v>
      </c>
      <c r="D541" t="s">
        <v>9140</v>
      </c>
      <c r="E541" t="s">
        <v>9141</v>
      </c>
      <c r="F541" t="s">
        <v>9142</v>
      </c>
      <c r="G541" t="s">
        <v>9143</v>
      </c>
      <c r="H541" t="s">
        <v>9144</v>
      </c>
      <c r="I541" t="s">
        <v>9145</v>
      </c>
      <c r="J541" t="s">
        <v>9146</v>
      </c>
      <c r="K541" t="s">
        <v>9147</v>
      </c>
      <c r="L541" t="s">
        <v>9148</v>
      </c>
    </row>
    <row r="542" spans="1:12" x14ac:dyDescent="0.35">
      <c r="A542" t="str">
        <f t="shared" si="8"/>
        <v>Undrawn Revolving Credit</v>
      </c>
      <c r="B542" t="s">
        <v>493</v>
      </c>
      <c r="C542" t="s">
        <v>5083</v>
      </c>
      <c r="D542" t="s">
        <v>5084</v>
      </c>
      <c r="E542" t="s">
        <v>5085</v>
      </c>
      <c r="F542" t="s">
        <v>5086</v>
      </c>
      <c r="G542" t="s">
        <v>5087</v>
      </c>
      <c r="H542" t="s">
        <v>5088</v>
      </c>
      <c r="I542" t="s">
        <v>5089</v>
      </c>
      <c r="J542" t="s">
        <v>5090</v>
      </c>
      <c r="K542" t="s">
        <v>5091</v>
      </c>
      <c r="L542" t="s">
        <v>10824</v>
      </c>
    </row>
    <row r="543" spans="1:12" x14ac:dyDescent="0.35">
      <c r="A543" t="str">
        <f t="shared" si="8"/>
        <v>Undrawn Commercial Paper</v>
      </c>
      <c r="B543" t="s">
        <v>494</v>
      </c>
      <c r="C543" t="s">
        <v>5092</v>
      </c>
      <c r="D543" t="s">
        <v>5093</v>
      </c>
      <c r="E543" t="s">
        <v>5094</v>
      </c>
      <c r="F543" t="s">
        <v>5095</v>
      </c>
      <c r="G543" t="s">
        <v>5096</v>
      </c>
      <c r="H543" t="s">
        <v>5097</v>
      </c>
      <c r="I543" t="s">
        <v>5098</v>
      </c>
      <c r="J543" t="s">
        <v>5099</v>
      </c>
      <c r="K543" t="s">
        <v>5100</v>
      </c>
      <c r="L543" t="s">
        <v>10825</v>
      </c>
    </row>
    <row r="544" spans="1:12" x14ac:dyDescent="0.35">
      <c r="A544" t="str">
        <f t="shared" si="8"/>
        <v>Undrawn Term Loans</v>
      </c>
      <c r="B544" t="s">
        <v>495</v>
      </c>
      <c r="C544" t="s">
        <v>5101</v>
      </c>
      <c r="D544" t="s">
        <v>5102</v>
      </c>
      <c r="E544" t="s">
        <v>5103</v>
      </c>
      <c r="F544" t="s">
        <v>5104</v>
      </c>
      <c r="G544" t="s">
        <v>5105</v>
      </c>
      <c r="H544" t="s">
        <v>5106</v>
      </c>
      <c r="I544" t="s">
        <v>5107</v>
      </c>
      <c r="J544" t="s">
        <v>5108</v>
      </c>
      <c r="K544" t="s">
        <v>5109</v>
      </c>
      <c r="L544" t="s">
        <v>10826</v>
      </c>
    </row>
    <row r="545" spans="1:12" x14ac:dyDescent="0.35">
      <c r="A545" t="str">
        <f t="shared" si="8"/>
        <v>Undrawn Securitized Facilities</v>
      </c>
      <c r="B545" t="s">
        <v>188</v>
      </c>
      <c r="C545" t="s">
        <v>5110</v>
      </c>
      <c r="D545" t="s">
        <v>5111</v>
      </c>
      <c r="E545" t="s">
        <v>5112</v>
      </c>
      <c r="F545" t="s">
        <v>5113</v>
      </c>
      <c r="G545" t="s">
        <v>5114</v>
      </c>
      <c r="H545" t="s">
        <v>5115</v>
      </c>
      <c r="I545" t="s">
        <v>5116</v>
      </c>
      <c r="J545" t="s">
        <v>5117</v>
      </c>
      <c r="K545" t="s">
        <v>5118</v>
      </c>
      <c r="L545" t="s">
        <v>10827</v>
      </c>
    </row>
    <row r="546" spans="1:12" x14ac:dyDescent="0.35">
      <c r="A546" t="str">
        <f t="shared" si="8"/>
        <v>Other Available Credit</v>
      </c>
      <c r="B546" t="s">
        <v>496</v>
      </c>
      <c r="C546" t="s">
        <v>5119</v>
      </c>
      <c r="D546" t="s">
        <v>5120</v>
      </c>
      <c r="E546" t="s">
        <v>5121</v>
      </c>
      <c r="F546" t="s">
        <v>5122</v>
      </c>
      <c r="G546" t="s">
        <v>5123</v>
      </c>
      <c r="H546" t="s">
        <v>5124</v>
      </c>
      <c r="I546" t="s">
        <v>5125</v>
      </c>
      <c r="J546" t="s">
        <v>5126</v>
      </c>
      <c r="K546" t="s">
        <v>5127</v>
      </c>
      <c r="L546" t="s">
        <v>10828</v>
      </c>
    </row>
    <row r="547" spans="1:12" x14ac:dyDescent="0.35">
      <c r="A547" t="str">
        <f t="shared" si="8"/>
        <v>Total Undrawn Credit</v>
      </c>
      <c r="B547" t="s">
        <v>497</v>
      </c>
      <c r="C547" t="s">
        <v>5128</v>
      </c>
      <c r="D547" t="s">
        <v>5129</v>
      </c>
      <c r="E547" t="s">
        <v>5130</v>
      </c>
      <c r="F547" t="s">
        <v>5131</v>
      </c>
      <c r="G547" t="s">
        <v>5132</v>
      </c>
      <c r="H547" t="s">
        <v>5133</v>
      </c>
      <c r="I547" t="s">
        <v>5134</v>
      </c>
      <c r="J547" t="s">
        <v>5135</v>
      </c>
      <c r="K547" t="s">
        <v>5136</v>
      </c>
      <c r="L547" t="s">
        <v>10829</v>
      </c>
    </row>
    <row r="548" spans="1:12" x14ac:dyDescent="0.35">
      <c r="A548" t="str">
        <f t="shared" si="8"/>
        <v>Additional Totals</v>
      </c>
      <c r="B548" t="s">
        <v>498</v>
      </c>
      <c r="C548" t="s">
        <v>9149</v>
      </c>
      <c r="D548" t="s">
        <v>9150</v>
      </c>
      <c r="E548" t="s">
        <v>9151</v>
      </c>
      <c r="F548" t="s">
        <v>9152</v>
      </c>
      <c r="G548" t="s">
        <v>9153</v>
      </c>
      <c r="H548" t="s">
        <v>9154</v>
      </c>
      <c r="I548" t="s">
        <v>9155</v>
      </c>
      <c r="J548" t="s">
        <v>9156</v>
      </c>
      <c r="K548" t="s">
        <v>9157</v>
      </c>
      <c r="L548" t="s">
        <v>9158</v>
      </c>
    </row>
    <row r="549" spans="1:12" x14ac:dyDescent="0.35">
      <c r="A549" t="str">
        <f t="shared" si="8"/>
        <v>Total Senior Debt</v>
      </c>
      <c r="B549" t="s">
        <v>500</v>
      </c>
      <c r="C549" t="s">
        <v>5137</v>
      </c>
      <c r="D549" t="s">
        <v>5138</v>
      </c>
      <c r="E549" t="s">
        <v>5139</v>
      </c>
      <c r="F549" t="s">
        <v>5140</v>
      </c>
      <c r="G549" t="s">
        <v>5141</v>
      </c>
      <c r="H549" t="s">
        <v>5142</v>
      </c>
      <c r="I549" t="s">
        <v>5143</v>
      </c>
      <c r="J549" t="s">
        <v>5144</v>
      </c>
      <c r="K549" t="s">
        <v>5145</v>
      </c>
      <c r="L549" t="s">
        <v>10830</v>
      </c>
    </row>
    <row r="550" spans="1:12" x14ac:dyDescent="0.35">
      <c r="A550" t="str">
        <f t="shared" si="8"/>
        <v>Total Sub. Debt</v>
      </c>
      <c r="B550" t="s">
        <v>501</v>
      </c>
      <c r="C550" t="s">
        <v>8006</v>
      </c>
      <c r="D550" t="s">
        <v>8007</v>
      </c>
      <c r="E550" t="s">
        <v>8008</v>
      </c>
      <c r="F550" t="s">
        <v>8009</v>
      </c>
      <c r="G550" t="s">
        <v>8010</v>
      </c>
      <c r="H550" t="s">
        <v>8011</v>
      </c>
      <c r="I550" t="s">
        <v>8012</v>
      </c>
      <c r="J550" t="s">
        <v>8013</v>
      </c>
      <c r="K550" t="s">
        <v>8014</v>
      </c>
      <c r="L550" t="s">
        <v>10831</v>
      </c>
    </row>
    <row r="551" spans="1:12" x14ac:dyDescent="0.35">
      <c r="A551" t="str">
        <f t="shared" si="8"/>
        <v>Sr. Sub. Debt</v>
      </c>
      <c r="B551" t="s">
        <v>502</v>
      </c>
      <c r="C551" t="s">
        <v>8015</v>
      </c>
      <c r="D551" t="s">
        <v>8016</v>
      </c>
      <c r="E551" t="s">
        <v>8017</v>
      </c>
      <c r="F551" t="s">
        <v>8018</v>
      </c>
      <c r="G551" t="s">
        <v>8019</v>
      </c>
      <c r="H551" t="s">
        <v>8020</v>
      </c>
      <c r="I551" t="s">
        <v>8021</v>
      </c>
      <c r="J551" t="s">
        <v>8022</v>
      </c>
      <c r="K551" t="s">
        <v>8023</v>
      </c>
      <c r="L551" t="s">
        <v>10832</v>
      </c>
    </row>
    <row r="552" spans="1:12" x14ac:dyDescent="0.35">
      <c r="A552" t="str">
        <f t="shared" si="8"/>
        <v>Sub. Debt</v>
      </c>
      <c r="B552" t="s">
        <v>503</v>
      </c>
      <c r="C552" t="s">
        <v>8024</v>
      </c>
      <c r="D552" t="s">
        <v>8025</v>
      </c>
      <c r="E552" t="s">
        <v>8026</v>
      </c>
      <c r="F552" t="s">
        <v>8027</v>
      </c>
      <c r="G552" t="s">
        <v>8028</v>
      </c>
      <c r="H552" t="s">
        <v>8029</v>
      </c>
      <c r="I552" t="s">
        <v>8030</v>
      </c>
      <c r="J552" t="s">
        <v>8031</v>
      </c>
      <c r="K552" t="s">
        <v>8032</v>
      </c>
      <c r="L552" t="s">
        <v>10833</v>
      </c>
    </row>
    <row r="553" spans="1:12" x14ac:dyDescent="0.35">
      <c r="A553" t="str">
        <f t="shared" si="8"/>
        <v>Jr. Sub. Debt</v>
      </c>
      <c r="B553" t="s">
        <v>504</v>
      </c>
      <c r="C553" t="s">
        <v>8033</v>
      </c>
      <c r="D553" t="s">
        <v>8034</v>
      </c>
      <c r="E553" t="s">
        <v>8035</v>
      </c>
      <c r="F553" t="s">
        <v>8036</v>
      </c>
      <c r="G553" t="s">
        <v>8037</v>
      </c>
      <c r="H553" t="s">
        <v>8038</v>
      </c>
      <c r="I553" t="s">
        <v>8039</v>
      </c>
      <c r="J553" t="s">
        <v>8040</v>
      </c>
      <c r="K553" t="s">
        <v>8041</v>
      </c>
      <c r="L553" t="s">
        <v>10834</v>
      </c>
    </row>
    <row r="554" spans="1:12" x14ac:dyDescent="0.35">
      <c r="A554" t="str">
        <f t="shared" si="8"/>
        <v>Total Convertible Debt</v>
      </c>
      <c r="B554" t="s">
        <v>505</v>
      </c>
      <c r="C554" t="s">
        <v>5146</v>
      </c>
      <c r="D554" t="s">
        <v>5147</v>
      </c>
      <c r="E554" t="s">
        <v>5148</v>
      </c>
      <c r="F554" t="s">
        <v>5149</v>
      </c>
      <c r="G554" t="s">
        <v>5150</v>
      </c>
      <c r="H554" t="s">
        <v>5151</v>
      </c>
      <c r="I554" t="s">
        <v>5152</v>
      </c>
      <c r="J554" t="s">
        <v>5153</v>
      </c>
      <c r="K554" t="s">
        <v>5154</v>
      </c>
      <c r="L554" t="s">
        <v>10835</v>
      </c>
    </row>
    <row r="555" spans="1:12" x14ac:dyDescent="0.35">
      <c r="A555" t="str">
        <f t="shared" si="8"/>
        <v>Total Short-Term Debt</v>
      </c>
      <c r="B555" t="s">
        <v>506</v>
      </c>
      <c r="C555" t="s">
        <v>9159</v>
      </c>
      <c r="D555" t="s">
        <v>9160</v>
      </c>
      <c r="E555" t="s">
        <v>9161</v>
      </c>
      <c r="F555" t="s">
        <v>9162</v>
      </c>
      <c r="G555" t="s">
        <v>9163</v>
      </c>
      <c r="H555" t="s">
        <v>2886</v>
      </c>
      <c r="I555" t="s">
        <v>9164</v>
      </c>
      <c r="J555" t="s">
        <v>9165</v>
      </c>
      <c r="K555" t="s">
        <v>9166</v>
      </c>
      <c r="L555" t="s">
        <v>9167</v>
      </c>
    </row>
    <row r="556" spans="1:12" x14ac:dyDescent="0.35">
      <c r="A556" t="str">
        <f t="shared" si="8"/>
        <v>Curr. Port. of LT Debt/Cap. Leases</v>
      </c>
      <c r="B556" t="s">
        <v>507</v>
      </c>
      <c r="C556" t="s">
        <v>9168</v>
      </c>
      <c r="D556" t="s">
        <v>9169</v>
      </c>
      <c r="E556" t="s">
        <v>9170</v>
      </c>
      <c r="F556" t="s">
        <v>9171</v>
      </c>
      <c r="G556" t="s">
        <v>9172</v>
      </c>
      <c r="H556" t="s">
        <v>9173</v>
      </c>
      <c r="I556" t="s">
        <v>9174</v>
      </c>
      <c r="J556" t="s">
        <v>9175</v>
      </c>
      <c r="K556" t="s">
        <v>9176</v>
      </c>
      <c r="L556" t="s">
        <v>10926</v>
      </c>
    </row>
    <row r="557" spans="1:12" x14ac:dyDescent="0.35">
      <c r="A557" t="str">
        <f t="shared" si="8"/>
        <v>Long-Term Debt (Incl. Cap. Leases)</v>
      </c>
      <c r="B557" t="s">
        <v>508</v>
      </c>
      <c r="C557" t="s">
        <v>9177</v>
      </c>
      <c r="D557" t="s">
        <v>9178</v>
      </c>
      <c r="E557" t="s">
        <v>9179</v>
      </c>
      <c r="F557" t="s">
        <v>9180</v>
      </c>
      <c r="G557" t="s">
        <v>9181</v>
      </c>
      <c r="H557" t="s">
        <v>9182</v>
      </c>
      <c r="I557" t="s">
        <v>9183</v>
      </c>
      <c r="J557" t="s">
        <v>9184</v>
      </c>
      <c r="K557" t="s">
        <v>9185</v>
      </c>
      <c r="L557" t="s">
        <v>9186</v>
      </c>
    </row>
    <row r="558" spans="1:12" x14ac:dyDescent="0.35">
      <c r="A558" t="str">
        <f t="shared" si="8"/>
        <v>Total Bank Debt</v>
      </c>
      <c r="B558" t="s">
        <v>509</v>
      </c>
      <c r="C558" t="s">
        <v>5155</v>
      </c>
      <c r="D558" t="s">
        <v>5156</v>
      </c>
      <c r="E558" t="s">
        <v>5157</v>
      </c>
      <c r="F558" t="s">
        <v>5158</v>
      </c>
      <c r="G558" t="s">
        <v>5159</v>
      </c>
      <c r="H558" t="s">
        <v>5160</v>
      </c>
      <c r="I558" t="s">
        <v>5161</v>
      </c>
      <c r="J558" t="s">
        <v>5162</v>
      </c>
      <c r="K558" t="s">
        <v>5163</v>
      </c>
      <c r="L558" t="s">
        <v>10836</v>
      </c>
    </row>
    <row r="559" spans="1:12" x14ac:dyDescent="0.35">
      <c r="A559" t="str">
        <f t="shared" si="8"/>
        <v>Total Secured Debt</v>
      </c>
      <c r="B559" t="s">
        <v>510</v>
      </c>
      <c r="C559" t="s">
        <v>5164</v>
      </c>
      <c r="D559" t="s">
        <v>5165</v>
      </c>
      <c r="E559" t="s">
        <v>5166</v>
      </c>
      <c r="F559" t="s">
        <v>5167</v>
      </c>
      <c r="G559" t="s">
        <v>5168</v>
      </c>
      <c r="H559" t="s">
        <v>5169</v>
      </c>
      <c r="I559" t="s">
        <v>5170</v>
      </c>
      <c r="J559" t="s">
        <v>5171</v>
      </c>
      <c r="K559" t="s">
        <v>5172</v>
      </c>
      <c r="L559" t="s">
        <v>10837</v>
      </c>
    </row>
    <row r="560" spans="1:12" x14ac:dyDescent="0.35">
      <c r="A560" t="str">
        <f t="shared" si="8"/>
        <v>Sr. Secured Loans</v>
      </c>
      <c r="B560" t="s">
        <v>176</v>
      </c>
      <c r="C560" t="s">
        <v>9187</v>
      </c>
      <c r="D560" t="s">
        <v>9188</v>
      </c>
      <c r="E560" t="s">
        <v>9189</v>
      </c>
      <c r="F560" t="s">
        <v>9190</v>
      </c>
      <c r="G560" t="s">
        <v>9191</v>
      </c>
      <c r="H560" t="s">
        <v>9192</v>
      </c>
      <c r="I560" t="s">
        <v>9193</v>
      </c>
      <c r="J560" t="s">
        <v>9194</v>
      </c>
      <c r="K560" t="s">
        <v>9195</v>
      </c>
      <c r="L560" t="s">
        <v>9196</v>
      </c>
    </row>
    <row r="561" spans="1:12" x14ac:dyDescent="0.35">
      <c r="A561" t="str">
        <f t="shared" si="8"/>
        <v>Sr. Secured Bonds and Notes</v>
      </c>
      <c r="B561" t="s">
        <v>177</v>
      </c>
      <c r="C561" t="s">
        <v>9197</v>
      </c>
      <c r="D561" t="s">
        <v>9198</v>
      </c>
      <c r="E561" t="s">
        <v>9199</v>
      </c>
      <c r="F561" t="s">
        <v>9200</v>
      </c>
      <c r="G561" t="s">
        <v>9201</v>
      </c>
      <c r="H561" t="s">
        <v>9202</v>
      </c>
      <c r="I561" t="s">
        <v>9203</v>
      </c>
      <c r="J561" t="s">
        <v>9204</v>
      </c>
      <c r="K561" t="s">
        <v>9205</v>
      </c>
      <c r="L561" t="s">
        <v>10927</v>
      </c>
    </row>
    <row r="562" spans="1:12" x14ac:dyDescent="0.35">
      <c r="A562" t="str">
        <f t="shared" ref="A562:A625" si="9">INDEX($B562:$CW562,,$A$5)</f>
        <v>Total Sr. Secured</v>
      </c>
      <c r="B562" t="s">
        <v>178</v>
      </c>
      <c r="C562" t="s">
        <v>9206</v>
      </c>
      <c r="D562" t="s">
        <v>9207</v>
      </c>
      <c r="E562" t="s">
        <v>9208</v>
      </c>
      <c r="F562" t="s">
        <v>9209</v>
      </c>
      <c r="G562" t="s">
        <v>9210</v>
      </c>
      <c r="H562" t="s">
        <v>9211</v>
      </c>
      <c r="I562" t="s">
        <v>9212</v>
      </c>
      <c r="J562" t="s">
        <v>9213</v>
      </c>
      <c r="K562" t="s">
        <v>9214</v>
      </c>
      <c r="L562" t="s">
        <v>9215</v>
      </c>
    </row>
    <row r="563" spans="1:12" x14ac:dyDescent="0.35">
      <c r="A563" t="str">
        <f t="shared" si="9"/>
        <v>Senior Unsecured Bonds and Notes</v>
      </c>
      <c r="B563" t="s">
        <v>179</v>
      </c>
      <c r="C563" t="s">
        <v>9216</v>
      </c>
      <c r="D563" t="s">
        <v>9217</v>
      </c>
      <c r="E563" t="s">
        <v>9218</v>
      </c>
      <c r="F563" t="s">
        <v>9219</v>
      </c>
      <c r="G563" t="s">
        <v>9220</v>
      </c>
      <c r="H563" t="s">
        <v>9221</v>
      </c>
      <c r="I563" t="s">
        <v>9222</v>
      </c>
      <c r="J563" t="s">
        <v>9223</v>
      </c>
      <c r="K563" t="s">
        <v>9224</v>
      </c>
      <c r="L563" t="s">
        <v>10928</v>
      </c>
    </row>
    <row r="564" spans="1:12" x14ac:dyDescent="0.35">
      <c r="A564" t="str">
        <f t="shared" si="9"/>
        <v>Total Unsecured Debt</v>
      </c>
      <c r="B564" t="s">
        <v>511</v>
      </c>
      <c r="C564" t="s">
        <v>5173</v>
      </c>
      <c r="D564" t="s">
        <v>5174</v>
      </c>
      <c r="E564" t="s">
        <v>5175</v>
      </c>
      <c r="F564" t="s">
        <v>5176</v>
      </c>
      <c r="G564" t="s">
        <v>5177</v>
      </c>
      <c r="H564" t="s">
        <v>5178</v>
      </c>
      <c r="I564" t="s">
        <v>5179</v>
      </c>
      <c r="J564" t="s">
        <v>5180</v>
      </c>
      <c r="K564" t="s">
        <v>5181</v>
      </c>
      <c r="L564" t="s">
        <v>10929</v>
      </c>
    </row>
    <row r="565" spans="1:12" x14ac:dyDescent="0.35">
      <c r="A565" t="str">
        <f t="shared" si="9"/>
        <v>Securitized Debt</v>
      </c>
      <c r="B565" t="s">
        <v>180</v>
      </c>
      <c r="C565" t="s">
        <v>9225</v>
      </c>
      <c r="D565" t="s">
        <v>9226</v>
      </c>
      <c r="E565" t="s">
        <v>9227</v>
      </c>
      <c r="F565" t="s">
        <v>9228</v>
      </c>
      <c r="G565" t="s">
        <v>9229</v>
      </c>
      <c r="H565" t="s">
        <v>9230</v>
      </c>
      <c r="I565" t="s">
        <v>9231</v>
      </c>
      <c r="J565" t="s">
        <v>9232</v>
      </c>
      <c r="K565" t="s">
        <v>9233</v>
      </c>
      <c r="L565" t="s">
        <v>9234</v>
      </c>
    </row>
    <row r="566" spans="1:12" x14ac:dyDescent="0.35">
      <c r="A566" t="str">
        <f t="shared" si="9"/>
        <v>Second Lien Loans</v>
      </c>
      <c r="B566" t="s">
        <v>181</v>
      </c>
      <c r="C566" t="s">
        <v>9235</v>
      </c>
      <c r="D566" t="s">
        <v>9236</v>
      </c>
      <c r="E566" t="s">
        <v>9237</v>
      </c>
      <c r="F566" t="s">
        <v>9238</v>
      </c>
      <c r="G566" t="s">
        <v>9239</v>
      </c>
      <c r="H566" t="s">
        <v>9240</v>
      </c>
      <c r="I566" t="s">
        <v>9241</v>
      </c>
      <c r="J566" t="s">
        <v>9242</v>
      </c>
      <c r="K566" t="s">
        <v>9243</v>
      </c>
      <c r="L566" t="s">
        <v>9244</v>
      </c>
    </row>
    <row r="567" spans="1:12" x14ac:dyDescent="0.35">
      <c r="A567" t="str">
        <f t="shared" si="9"/>
        <v>Second Lien Bonds and Notes</v>
      </c>
      <c r="B567" t="s">
        <v>182</v>
      </c>
      <c r="C567" t="s">
        <v>9245</v>
      </c>
      <c r="D567" t="s">
        <v>9246</v>
      </c>
      <c r="E567" t="s">
        <v>9247</v>
      </c>
      <c r="F567" t="s">
        <v>9248</v>
      </c>
      <c r="G567" t="s">
        <v>9249</v>
      </c>
      <c r="H567" t="s">
        <v>9250</v>
      </c>
      <c r="I567" t="s">
        <v>9251</v>
      </c>
      <c r="J567" t="s">
        <v>9252</v>
      </c>
      <c r="K567" t="s">
        <v>9253</v>
      </c>
      <c r="L567" t="s">
        <v>10930</v>
      </c>
    </row>
    <row r="568" spans="1:12" x14ac:dyDescent="0.35">
      <c r="A568" t="str">
        <f t="shared" si="9"/>
        <v>Second Lien Debt</v>
      </c>
      <c r="B568" t="s">
        <v>183</v>
      </c>
      <c r="C568" t="s">
        <v>9254</v>
      </c>
      <c r="D568" t="s">
        <v>9255</v>
      </c>
      <c r="E568" t="s">
        <v>9256</v>
      </c>
      <c r="F568" t="s">
        <v>9257</v>
      </c>
      <c r="G568" t="s">
        <v>9258</v>
      </c>
      <c r="H568" t="s">
        <v>9259</v>
      </c>
      <c r="I568" t="s">
        <v>9260</v>
      </c>
      <c r="J568" t="s">
        <v>9261</v>
      </c>
      <c r="K568" t="s">
        <v>9262</v>
      </c>
      <c r="L568" t="s">
        <v>9263</v>
      </c>
    </row>
    <row r="569" spans="1:12" x14ac:dyDescent="0.35">
      <c r="A569" t="str">
        <f t="shared" si="9"/>
        <v>Total Non-Recourse Debt</v>
      </c>
      <c r="B569" t="s">
        <v>512</v>
      </c>
      <c r="C569" t="s">
        <v>5182</v>
      </c>
      <c r="D569" t="s">
        <v>5183</v>
      </c>
      <c r="E569" t="s">
        <v>5184</v>
      </c>
      <c r="F569" t="s">
        <v>5185</v>
      </c>
      <c r="G569" t="s">
        <v>5186</v>
      </c>
      <c r="H569" t="s">
        <v>5187</v>
      </c>
      <c r="I569" t="s">
        <v>5188</v>
      </c>
      <c r="J569" t="s">
        <v>5189</v>
      </c>
      <c r="K569" t="s">
        <v>5190</v>
      </c>
      <c r="L569" t="s">
        <v>10931</v>
      </c>
    </row>
    <row r="570" spans="1:12" x14ac:dyDescent="0.35">
      <c r="A570" t="str">
        <f t="shared" si="9"/>
        <v>Fixed Rate Debt</v>
      </c>
      <c r="B570" t="s">
        <v>184</v>
      </c>
      <c r="C570" t="s">
        <v>9264</v>
      </c>
      <c r="D570" t="s">
        <v>9265</v>
      </c>
      <c r="E570" t="s">
        <v>9266</v>
      </c>
      <c r="F570" t="s">
        <v>9267</v>
      </c>
      <c r="G570" t="s">
        <v>9268</v>
      </c>
      <c r="H570" t="s">
        <v>9269</v>
      </c>
      <c r="I570" t="s">
        <v>9270</v>
      </c>
      <c r="J570" t="s">
        <v>9271</v>
      </c>
      <c r="K570" t="s">
        <v>9272</v>
      </c>
      <c r="L570" t="s">
        <v>9273</v>
      </c>
    </row>
    <row r="571" spans="1:12" x14ac:dyDescent="0.35">
      <c r="A571" t="str">
        <f t="shared" si="9"/>
        <v>Zero Coupon Debt</v>
      </c>
      <c r="B571" t="s">
        <v>185</v>
      </c>
      <c r="C571" t="s">
        <v>9274</v>
      </c>
      <c r="D571" t="s">
        <v>9275</v>
      </c>
      <c r="E571" t="s">
        <v>9276</v>
      </c>
      <c r="F571" t="s">
        <v>9277</v>
      </c>
      <c r="G571" t="s">
        <v>9278</v>
      </c>
      <c r="H571" t="s">
        <v>9279</v>
      </c>
      <c r="I571" t="s">
        <v>9280</v>
      </c>
      <c r="J571" t="s">
        <v>9281</v>
      </c>
      <c r="K571" t="s">
        <v>9282</v>
      </c>
      <c r="L571" t="s">
        <v>10932</v>
      </c>
    </row>
    <row r="572" spans="1:12" x14ac:dyDescent="0.35">
      <c r="A572" t="str">
        <f t="shared" si="9"/>
        <v>Variable Rate Debt</v>
      </c>
      <c r="B572" t="s">
        <v>186</v>
      </c>
      <c r="C572" t="s">
        <v>9283</v>
      </c>
      <c r="D572" t="s">
        <v>9284</v>
      </c>
      <c r="E572" t="s">
        <v>9285</v>
      </c>
      <c r="F572" t="s">
        <v>9286</v>
      </c>
      <c r="G572" t="s">
        <v>9287</v>
      </c>
      <c r="H572" t="s">
        <v>9288</v>
      </c>
      <c r="I572" t="s">
        <v>9289</v>
      </c>
      <c r="J572" t="s">
        <v>9290</v>
      </c>
      <c r="K572" t="s">
        <v>9291</v>
      </c>
      <c r="L572" t="s">
        <v>9292</v>
      </c>
    </row>
    <row r="573" spans="1:12" x14ac:dyDescent="0.35">
      <c r="A573" t="str">
        <f t="shared" si="9"/>
        <v>Hedging Activities</v>
      </c>
      <c r="B573" t="s">
        <v>187</v>
      </c>
      <c r="C573" t="s">
        <v>9293</v>
      </c>
      <c r="D573" t="s">
        <v>9294</v>
      </c>
      <c r="E573" t="s">
        <v>9295</v>
      </c>
      <c r="F573" t="s">
        <v>9296</v>
      </c>
      <c r="G573" t="s">
        <v>9297</v>
      </c>
      <c r="H573" t="s">
        <v>9298</v>
      </c>
      <c r="I573" t="s">
        <v>9299</v>
      </c>
      <c r="J573" t="s">
        <v>9300</v>
      </c>
      <c r="K573" t="s">
        <v>9301</v>
      </c>
      <c r="L573" t="s">
        <v>9302</v>
      </c>
    </row>
    <row r="574" spans="1:12" x14ac:dyDescent="0.35">
      <c r="A574" t="str">
        <f t="shared" si="9"/>
        <v>Credit Ratios</v>
      </c>
      <c r="B574" t="s">
        <v>513</v>
      </c>
      <c r="C574" t="s">
        <v>5191</v>
      </c>
      <c r="D574" t="s">
        <v>5192</v>
      </c>
      <c r="E574" t="s">
        <v>5193</v>
      </c>
      <c r="F574" t="s">
        <v>5194</v>
      </c>
      <c r="G574" t="s">
        <v>5195</v>
      </c>
      <c r="H574" t="s">
        <v>5196</v>
      </c>
      <c r="I574" t="s">
        <v>5197</v>
      </c>
      <c r="J574" t="s">
        <v>5198</v>
      </c>
      <c r="K574" t="s">
        <v>5199</v>
      </c>
      <c r="L574" t="s">
        <v>10838</v>
      </c>
    </row>
    <row r="575" spans="1:12" x14ac:dyDescent="0.35">
      <c r="A575" t="str">
        <f t="shared" si="9"/>
        <v>Net Debt/EBITDA</v>
      </c>
      <c r="B575" t="s">
        <v>218</v>
      </c>
      <c r="C575" t="s">
        <v>5200</v>
      </c>
      <c r="D575" t="s">
        <v>5201</v>
      </c>
      <c r="E575" t="s">
        <v>5202</v>
      </c>
      <c r="F575" t="s">
        <v>5203</v>
      </c>
      <c r="G575" t="s">
        <v>5204</v>
      </c>
      <c r="H575" t="s">
        <v>5205</v>
      </c>
      <c r="I575" t="s">
        <v>5206</v>
      </c>
      <c r="J575" t="s">
        <v>5207</v>
      </c>
      <c r="K575" t="s">
        <v>5208</v>
      </c>
      <c r="L575" t="s">
        <v>10891</v>
      </c>
    </row>
    <row r="576" spans="1:12" x14ac:dyDescent="0.35">
      <c r="A576" t="str">
        <f t="shared" si="9"/>
        <v>Net Debt/EBITDA, Excl. Operating Leases</v>
      </c>
      <c r="B576" t="s">
        <v>955</v>
      </c>
      <c r="C576" t="s">
        <v>5209</v>
      </c>
      <c r="D576" t="s">
        <v>5210</v>
      </c>
      <c r="E576" t="s">
        <v>5211</v>
      </c>
      <c r="F576" t="s">
        <v>5212</v>
      </c>
      <c r="G576" t="s">
        <v>5213</v>
      </c>
      <c r="H576" t="s">
        <v>5214</v>
      </c>
      <c r="I576" t="s">
        <v>5215</v>
      </c>
      <c r="J576" t="s">
        <v>5216</v>
      </c>
      <c r="K576" t="s">
        <v>5217</v>
      </c>
      <c r="L576" t="s">
        <v>8531</v>
      </c>
    </row>
    <row r="577" spans="1:12" x14ac:dyDescent="0.35">
      <c r="A577" t="str">
        <f t="shared" si="9"/>
        <v>Total Debt/EBITDA</v>
      </c>
      <c r="B577" s="19" t="s">
        <v>219</v>
      </c>
      <c r="C577" t="s">
        <v>5218</v>
      </c>
      <c r="D577" t="s">
        <v>5219</v>
      </c>
      <c r="E577" t="s">
        <v>5220</v>
      </c>
      <c r="F577" t="s">
        <v>5221</v>
      </c>
      <c r="G577" t="s">
        <v>5222</v>
      </c>
      <c r="H577" t="s">
        <v>5223</v>
      </c>
      <c r="I577" t="s">
        <v>5224</v>
      </c>
      <c r="J577" t="s">
        <v>5225</v>
      </c>
      <c r="K577" t="s">
        <v>5226</v>
      </c>
      <c r="L577" s="19" t="s">
        <v>10892</v>
      </c>
    </row>
    <row r="578" spans="1:12" x14ac:dyDescent="0.35">
      <c r="A578" t="str">
        <f t="shared" si="9"/>
        <v>Total Debt / EBITDA, Excl. Operating Leases</v>
      </c>
      <c r="B578" t="s">
        <v>956</v>
      </c>
      <c r="C578" t="s">
        <v>5227</v>
      </c>
      <c r="D578" t="s">
        <v>5228</v>
      </c>
      <c r="E578" t="s">
        <v>5229</v>
      </c>
      <c r="F578" t="s">
        <v>5230</v>
      </c>
      <c r="G578" t="s">
        <v>5231</v>
      </c>
      <c r="H578" t="s">
        <v>5232</v>
      </c>
      <c r="I578" t="s">
        <v>5233</v>
      </c>
      <c r="J578" t="s">
        <v>5234</v>
      </c>
      <c r="K578" t="s">
        <v>5235</v>
      </c>
      <c r="L578" t="s">
        <v>8532</v>
      </c>
    </row>
    <row r="579" spans="1:12" x14ac:dyDescent="0.35">
      <c r="A579" t="str">
        <f t="shared" si="9"/>
        <v>Senior Debt/EBITDA</v>
      </c>
      <c r="B579" t="s">
        <v>514</v>
      </c>
      <c r="C579" t="s">
        <v>5236</v>
      </c>
      <c r="D579" t="s">
        <v>5237</v>
      </c>
      <c r="E579" t="s">
        <v>5238</v>
      </c>
      <c r="F579" t="s">
        <v>5239</v>
      </c>
      <c r="G579" t="s">
        <v>5240</v>
      </c>
      <c r="H579" t="s">
        <v>5241</v>
      </c>
      <c r="I579" t="s">
        <v>5242</v>
      </c>
      <c r="J579" t="s">
        <v>5243</v>
      </c>
      <c r="K579" t="s">
        <v>5244</v>
      </c>
      <c r="L579" t="s">
        <v>10839</v>
      </c>
    </row>
    <row r="580" spans="1:12" x14ac:dyDescent="0.35">
      <c r="A580" t="str">
        <f t="shared" si="9"/>
        <v>Senior Debt/EBITDA, Excl. Operating Leases</v>
      </c>
      <c r="B580" t="s">
        <v>957</v>
      </c>
      <c r="C580" t="s">
        <v>9303</v>
      </c>
      <c r="D580" t="s">
        <v>9304</v>
      </c>
      <c r="E580" t="s">
        <v>9305</v>
      </c>
      <c r="F580" t="s">
        <v>9306</v>
      </c>
      <c r="G580" t="s">
        <v>9307</v>
      </c>
      <c r="H580" t="s">
        <v>9308</v>
      </c>
      <c r="I580" t="s">
        <v>9309</v>
      </c>
      <c r="J580" t="s">
        <v>9310</v>
      </c>
      <c r="K580" t="s">
        <v>9311</v>
      </c>
      <c r="L580" t="s">
        <v>9312</v>
      </c>
    </row>
    <row r="581" spans="1:12" x14ac:dyDescent="0.35">
      <c r="A581" t="str">
        <f t="shared" si="9"/>
        <v>Total Senior Secured/EBITDA</v>
      </c>
      <c r="B581" t="s">
        <v>189</v>
      </c>
      <c r="C581" t="s">
        <v>9313</v>
      </c>
      <c r="D581" t="s">
        <v>9314</v>
      </c>
      <c r="E581" t="s">
        <v>9315</v>
      </c>
      <c r="F581" t="s">
        <v>9316</v>
      </c>
      <c r="G581" t="s">
        <v>9317</v>
      </c>
      <c r="H581" t="s">
        <v>9318</v>
      </c>
      <c r="I581" t="s">
        <v>9319</v>
      </c>
      <c r="J581" t="s">
        <v>9320</v>
      </c>
      <c r="K581" t="s">
        <v>9321</v>
      </c>
      <c r="L581" t="s">
        <v>9322</v>
      </c>
    </row>
    <row r="582" spans="1:12" x14ac:dyDescent="0.35">
      <c r="A582" t="str">
        <f t="shared" si="9"/>
        <v>Total Senior Secured/EBITDA, Excl. Operating Leases</v>
      </c>
      <c r="B582" t="s">
        <v>958</v>
      </c>
      <c r="C582" t="s">
        <v>9323</v>
      </c>
      <c r="D582" t="s">
        <v>9324</v>
      </c>
      <c r="E582" t="s">
        <v>9325</v>
      </c>
      <c r="F582" t="s">
        <v>9326</v>
      </c>
      <c r="G582" t="s">
        <v>9327</v>
      </c>
      <c r="H582" t="s">
        <v>9328</v>
      </c>
      <c r="I582" t="s">
        <v>9329</v>
      </c>
      <c r="J582" t="s">
        <v>9330</v>
      </c>
      <c r="K582" t="s">
        <v>9331</v>
      </c>
      <c r="L582" t="s">
        <v>9332</v>
      </c>
    </row>
    <row r="583" spans="1:12" x14ac:dyDescent="0.35">
      <c r="A583" t="str">
        <f t="shared" si="9"/>
        <v>Total Sub. Debt/ EBITDA</v>
      </c>
      <c r="B583" t="s">
        <v>515</v>
      </c>
      <c r="C583" t="s">
        <v>5245</v>
      </c>
      <c r="D583" t="s">
        <v>5246</v>
      </c>
      <c r="E583" t="s">
        <v>5247</v>
      </c>
      <c r="F583" t="s">
        <v>5248</v>
      </c>
      <c r="G583" t="s">
        <v>5249</v>
      </c>
      <c r="H583" t="s">
        <v>5250</v>
      </c>
      <c r="I583" t="s">
        <v>5251</v>
      </c>
      <c r="J583" t="s">
        <v>5252</v>
      </c>
      <c r="K583" t="s">
        <v>5253</v>
      </c>
      <c r="L583" t="s">
        <v>10840</v>
      </c>
    </row>
    <row r="584" spans="1:12" x14ac:dyDescent="0.35">
      <c r="A584" t="str">
        <f t="shared" si="9"/>
        <v>Total Sub. Debt/ EBITDA, Excl. Operating Leases</v>
      </c>
      <c r="B584" t="s">
        <v>970</v>
      </c>
      <c r="C584" t="s">
        <v>9333</v>
      </c>
      <c r="D584" t="s">
        <v>9334</v>
      </c>
      <c r="E584" t="s">
        <v>9335</v>
      </c>
      <c r="F584" t="s">
        <v>9336</v>
      </c>
      <c r="G584" t="s">
        <v>9337</v>
      </c>
      <c r="H584" t="s">
        <v>9338</v>
      </c>
      <c r="I584" t="s">
        <v>9339</v>
      </c>
      <c r="J584" t="s">
        <v>9340</v>
      </c>
      <c r="K584" t="s">
        <v>9341</v>
      </c>
      <c r="L584" t="s">
        <v>9342</v>
      </c>
    </row>
    <row r="585" spans="1:12" x14ac:dyDescent="0.35">
      <c r="A585" t="str">
        <f t="shared" si="9"/>
        <v>Sr. Sub. Debt/EBITDA</v>
      </c>
      <c r="B585" t="s">
        <v>516</v>
      </c>
      <c r="C585" t="s">
        <v>5254</v>
      </c>
      <c r="D585" t="s">
        <v>5255</v>
      </c>
      <c r="E585" t="s">
        <v>5256</v>
      </c>
      <c r="F585" t="s">
        <v>5257</v>
      </c>
      <c r="G585" t="s">
        <v>5258</v>
      </c>
      <c r="H585" t="s">
        <v>5259</v>
      </c>
      <c r="I585" t="s">
        <v>5260</v>
      </c>
      <c r="J585" t="s">
        <v>5261</v>
      </c>
      <c r="K585" t="s">
        <v>5262</v>
      </c>
      <c r="L585" t="s">
        <v>10841</v>
      </c>
    </row>
    <row r="586" spans="1:12" x14ac:dyDescent="0.35">
      <c r="A586" t="str">
        <f t="shared" si="9"/>
        <v>Sr. Sub. Debt/EBITDA, Excl. Operating Leases</v>
      </c>
      <c r="B586" t="s">
        <v>964</v>
      </c>
      <c r="C586" t="s">
        <v>9343</v>
      </c>
      <c r="D586" t="s">
        <v>9344</v>
      </c>
      <c r="E586" t="s">
        <v>9345</v>
      </c>
      <c r="F586" t="s">
        <v>9346</v>
      </c>
      <c r="G586" t="s">
        <v>9347</v>
      </c>
      <c r="H586" t="s">
        <v>9348</v>
      </c>
      <c r="I586" t="s">
        <v>9349</v>
      </c>
      <c r="J586" t="s">
        <v>9350</v>
      </c>
      <c r="K586" t="s">
        <v>9351</v>
      </c>
      <c r="L586" t="s">
        <v>9352</v>
      </c>
    </row>
    <row r="587" spans="1:12" x14ac:dyDescent="0.35">
      <c r="A587" t="str">
        <f t="shared" si="9"/>
        <v>Sub. Debt/EBITDA</v>
      </c>
      <c r="B587" t="s">
        <v>517</v>
      </c>
      <c r="C587" t="s">
        <v>5263</v>
      </c>
      <c r="D587" t="s">
        <v>5264</v>
      </c>
      <c r="E587" t="s">
        <v>5265</v>
      </c>
      <c r="F587" t="s">
        <v>5266</v>
      </c>
      <c r="G587" t="s">
        <v>5267</v>
      </c>
      <c r="H587" t="s">
        <v>5268</v>
      </c>
      <c r="I587" t="s">
        <v>5269</v>
      </c>
      <c r="J587" t="s">
        <v>5270</v>
      </c>
      <c r="K587" t="s">
        <v>5271</v>
      </c>
      <c r="L587" t="s">
        <v>10842</v>
      </c>
    </row>
    <row r="588" spans="1:12" x14ac:dyDescent="0.35">
      <c r="A588" t="str">
        <f t="shared" si="9"/>
        <v>Sub. Debt/EBITDA, Excl. Operating Leases</v>
      </c>
      <c r="B588" t="s">
        <v>965</v>
      </c>
      <c r="C588" t="s">
        <v>9353</v>
      </c>
      <c r="D588" t="s">
        <v>9354</v>
      </c>
      <c r="E588" t="s">
        <v>9355</v>
      </c>
      <c r="F588" t="s">
        <v>9356</v>
      </c>
      <c r="G588" t="s">
        <v>9357</v>
      </c>
      <c r="H588" t="s">
        <v>9358</v>
      </c>
      <c r="I588" t="s">
        <v>9359</v>
      </c>
      <c r="J588" t="s">
        <v>9360</v>
      </c>
      <c r="K588" t="s">
        <v>9361</v>
      </c>
      <c r="L588" t="s">
        <v>9362</v>
      </c>
    </row>
    <row r="589" spans="1:12" x14ac:dyDescent="0.35">
      <c r="A589" t="str">
        <f t="shared" si="9"/>
        <v>Jr. Sub Debt/EBITDA</v>
      </c>
      <c r="B589" t="s">
        <v>685</v>
      </c>
      <c r="C589" t="s">
        <v>5272</v>
      </c>
      <c r="D589" t="s">
        <v>5273</v>
      </c>
      <c r="E589" t="s">
        <v>5274</v>
      </c>
      <c r="F589" t="s">
        <v>5275</v>
      </c>
      <c r="G589" t="s">
        <v>5276</v>
      </c>
      <c r="H589" t="s">
        <v>5277</v>
      </c>
      <c r="I589" t="s">
        <v>5278</v>
      </c>
      <c r="J589" t="s">
        <v>5279</v>
      </c>
      <c r="K589" t="s">
        <v>5280</v>
      </c>
      <c r="L589" t="s">
        <v>10843</v>
      </c>
    </row>
    <row r="590" spans="1:12" x14ac:dyDescent="0.35">
      <c r="A590" t="str">
        <f t="shared" si="9"/>
        <v>Jr. Sub Debt/EBITDA, Excl. Operating Leases</v>
      </c>
      <c r="B590" t="s">
        <v>966</v>
      </c>
      <c r="C590" t="s">
        <v>9363</v>
      </c>
      <c r="D590" t="s">
        <v>9364</v>
      </c>
      <c r="E590" t="s">
        <v>9365</v>
      </c>
      <c r="F590" t="s">
        <v>9366</v>
      </c>
      <c r="G590" t="s">
        <v>9367</v>
      </c>
      <c r="H590" t="s">
        <v>9368</v>
      </c>
      <c r="I590" t="s">
        <v>9369</v>
      </c>
      <c r="J590" t="s">
        <v>9370</v>
      </c>
      <c r="K590" t="s">
        <v>9371</v>
      </c>
      <c r="L590" t="s">
        <v>9372</v>
      </c>
    </row>
    <row r="591" spans="1:12" x14ac:dyDescent="0.35">
      <c r="A591" t="str">
        <f t="shared" si="9"/>
        <v>Net Debt/(EBITDA-CAPEX)</v>
      </c>
      <c r="B591" t="s">
        <v>585</v>
      </c>
      <c r="C591" t="s">
        <v>5281</v>
      </c>
      <c r="D591" t="s">
        <v>5282</v>
      </c>
      <c r="E591" t="s">
        <v>5283</v>
      </c>
      <c r="F591" t="s">
        <v>5284</v>
      </c>
      <c r="G591" t="s">
        <v>5285</v>
      </c>
      <c r="H591" t="s">
        <v>5286</v>
      </c>
      <c r="I591" t="s">
        <v>5287</v>
      </c>
      <c r="J591" t="s">
        <v>5288</v>
      </c>
      <c r="K591" t="s">
        <v>5289</v>
      </c>
      <c r="L591" s="19" t="s">
        <v>10894</v>
      </c>
    </row>
    <row r="592" spans="1:12" x14ac:dyDescent="0.35">
      <c r="A592" t="str">
        <f t="shared" si="9"/>
        <v>Net Debt/(EBITDA, Excl. Operating Leases - CAPEX)</v>
      </c>
      <c r="B592" t="s">
        <v>959</v>
      </c>
      <c r="C592" t="s">
        <v>5290</v>
      </c>
      <c r="D592" t="s">
        <v>5291</v>
      </c>
      <c r="E592" t="s">
        <v>5292</v>
      </c>
      <c r="F592" t="s">
        <v>5293</v>
      </c>
      <c r="G592" t="s">
        <v>5294</v>
      </c>
      <c r="H592" t="s">
        <v>5295</v>
      </c>
      <c r="I592" t="s">
        <v>5296</v>
      </c>
      <c r="J592" t="s">
        <v>5297</v>
      </c>
      <c r="K592" t="s">
        <v>5298</v>
      </c>
      <c r="L592" t="s">
        <v>8533</v>
      </c>
    </row>
    <row r="593" spans="1:12" x14ac:dyDescent="0.35">
      <c r="A593" t="str">
        <f t="shared" si="9"/>
        <v>Total Debt/(EBITDA-CAPEX)</v>
      </c>
      <c r="B593" t="s">
        <v>584</v>
      </c>
      <c r="C593" t="s">
        <v>5299</v>
      </c>
      <c r="D593" t="s">
        <v>5300</v>
      </c>
      <c r="E593" t="s">
        <v>5301</v>
      </c>
      <c r="F593" t="s">
        <v>5302</v>
      </c>
      <c r="G593" t="s">
        <v>5303</v>
      </c>
      <c r="H593" t="s">
        <v>5304</v>
      </c>
      <c r="I593" t="s">
        <v>5305</v>
      </c>
      <c r="J593" t="s">
        <v>5306</v>
      </c>
      <c r="K593" t="s">
        <v>5307</v>
      </c>
      <c r="L593" s="19" t="s">
        <v>10895</v>
      </c>
    </row>
    <row r="594" spans="1:12" x14ac:dyDescent="0.35">
      <c r="A594" t="str">
        <f t="shared" si="9"/>
        <v>Total Debt/(EBITDA, Excl. Operating Leases - CAPEX)</v>
      </c>
      <c r="B594" t="s">
        <v>960</v>
      </c>
      <c r="C594" t="s">
        <v>5308</v>
      </c>
      <c r="D594" t="s">
        <v>5309</v>
      </c>
      <c r="E594" t="s">
        <v>5310</v>
      </c>
      <c r="F594" t="s">
        <v>5311</v>
      </c>
      <c r="G594" t="s">
        <v>5312</v>
      </c>
      <c r="H594" t="s">
        <v>5313</v>
      </c>
      <c r="I594" t="s">
        <v>5314</v>
      </c>
      <c r="J594" t="s">
        <v>5315</v>
      </c>
      <c r="K594" t="s">
        <v>5316</v>
      </c>
      <c r="L594" t="s">
        <v>8534</v>
      </c>
    </row>
    <row r="595" spans="1:12" x14ac:dyDescent="0.35">
      <c r="A595" t="str">
        <f t="shared" si="9"/>
        <v>Senior Debt/(EBITDA - CAPEX)</v>
      </c>
      <c r="B595" t="s">
        <v>686</v>
      </c>
      <c r="C595" t="s">
        <v>5317</v>
      </c>
      <c r="D595" t="s">
        <v>5318</v>
      </c>
      <c r="E595" t="s">
        <v>5319</v>
      </c>
      <c r="F595" t="s">
        <v>5320</v>
      </c>
      <c r="G595" t="s">
        <v>5321</v>
      </c>
      <c r="H595" t="s">
        <v>5322</v>
      </c>
      <c r="I595" t="s">
        <v>5323</v>
      </c>
      <c r="J595" t="s">
        <v>5324</v>
      </c>
      <c r="K595" t="s">
        <v>5325</v>
      </c>
      <c r="L595" t="s">
        <v>10844</v>
      </c>
    </row>
    <row r="596" spans="1:12" x14ac:dyDescent="0.35">
      <c r="A596" t="str">
        <f t="shared" si="9"/>
        <v>Senior Debt/(EBITDA, Excl. Operating Leases - CAPEX)</v>
      </c>
      <c r="B596" t="s">
        <v>961</v>
      </c>
      <c r="C596" t="s">
        <v>9373</v>
      </c>
      <c r="D596" t="s">
        <v>9374</v>
      </c>
      <c r="E596" t="s">
        <v>9375</v>
      </c>
      <c r="F596" t="s">
        <v>9376</v>
      </c>
      <c r="G596" t="s">
        <v>9377</v>
      </c>
      <c r="H596" t="s">
        <v>9378</v>
      </c>
      <c r="I596" t="s">
        <v>9379</v>
      </c>
      <c r="J596" t="s">
        <v>9380</v>
      </c>
      <c r="K596" t="s">
        <v>9381</v>
      </c>
      <c r="L596" t="s">
        <v>9382</v>
      </c>
    </row>
    <row r="597" spans="1:12" x14ac:dyDescent="0.35">
      <c r="A597" t="str">
        <f t="shared" si="9"/>
        <v>Total Senior Secured/(EBITDA-CAPEX)</v>
      </c>
      <c r="B597" t="s">
        <v>190</v>
      </c>
      <c r="C597" t="s">
        <v>9383</v>
      </c>
      <c r="D597" t="s">
        <v>9384</v>
      </c>
      <c r="E597" t="s">
        <v>9385</v>
      </c>
      <c r="F597" t="s">
        <v>9386</v>
      </c>
      <c r="G597" t="s">
        <v>9387</v>
      </c>
      <c r="H597" t="s">
        <v>9388</v>
      </c>
      <c r="I597" t="s">
        <v>9389</v>
      </c>
      <c r="J597" t="s">
        <v>9390</v>
      </c>
      <c r="K597" t="s">
        <v>9391</v>
      </c>
      <c r="L597" t="s">
        <v>9392</v>
      </c>
    </row>
    <row r="598" spans="1:12" x14ac:dyDescent="0.35">
      <c r="A598" t="str">
        <f t="shared" si="9"/>
        <v>Total Senior Secured/(EBITDA, Excl. Operating Leases-CAPEX)</v>
      </c>
      <c r="B598" t="s">
        <v>962</v>
      </c>
      <c r="C598" t="s">
        <v>9393</v>
      </c>
      <c r="D598" t="s">
        <v>9394</v>
      </c>
      <c r="E598" t="s">
        <v>9395</v>
      </c>
      <c r="F598" t="s">
        <v>9396</v>
      </c>
      <c r="G598" t="s">
        <v>9397</v>
      </c>
      <c r="H598" t="s">
        <v>9398</v>
      </c>
      <c r="I598" t="s">
        <v>9399</v>
      </c>
      <c r="J598" t="s">
        <v>9400</v>
      </c>
      <c r="K598" t="s">
        <v>9401</v>
      </c>
      <c r="L598" t="s">
        <v>9402</v>
      </c>
    </row>
    <row r="599" spans="1:12" x14ac:dyDescent="0.35">
      <c r="A599" t="str">
        <f t="shared" si="9"/>
        <v>Total Sub. Debt/(EBITDA - CAPEX)</v>
      </c>
      <c r="B599" t="s">
        <v>687</v>
      </c>
      <c r="C599" t="s">
        <v>5326</v>
      </c>
      <c r="D599" t="s">
        <v>5327</v>
      </c>
      <c r="E599" t="s">
        <v>5328</v>
      </c>
      <c r="F599" t="s">
        <v>5329</v>
      </c>
      <c r="G599" t="s">
        <v>5330</v>
      </c>
      <c r="H599" t="s">
        <v>5331</v>
      </c>
      <c r="I599" t="s">
        <v>5332</v>
      </c>
      <c r="J599" t="s">
        <v>5333</v>
      </c>
      <c r="K599" t="s">
        <v>5334</v>
      </c>
      <c r="L599" t="s">
        <v>10845</v>
      </c>
    </row>
    <row r="600" spans="1:12" x14ac:dyDescent="0.35">
      <c r="A600" t="str">
        <f t="shared" si="9"/>
        <v>Total Sub. Debt/(EBITDA, Excl. Operating Leases-CAPEX)</v>
      </c>
      <c r="B600" t="s">
        <v>963</v>
      </c>
      <c r="C600" t="s">
        <v>9403</v>
      </c>
      <c r="D600" t="s">
        <v>9404</v>
      </c>
      <c r="E600" t="s">
        <v>9405</v>
      </c>
      <c r="F600" t="s">
        <v>9406</v>
      </c>
      <c r="G600" t="s">
        <v>9407</v>
      </c>
      <c r="H600" t="s">
        <v>9408</v>
      </c>
      <c r="I600" t="s">
        <v>9409</v>
      </c>
      <c r="J600" t="s">
        <v>9410</v>
      </c>
      <c r="K600" t="s">
        <v>9411</v>
      </c>
      <c r="L600" t="s">
        <v>9412</v>
      </c>
    </row>
    <row r="601" spans="1:12" x14ac:dyDescent="0.35">
      <c r="A601" t="str">
        <f t="shared" si="9"/>
        <v>Sr. Sub. Debt/(EBITDA-CAPEX)</v>
      </c>
      <c r="B601" t="s">
        <v>688</v>
      </c>
      <c r="C601" t="s">
        <v>5335</v>
      </c>
      <c r="D601" t="s">
        <v>5336</v>
      </c>
      <c r="E601" t="s">
        <v>5337</v>
      </c>
      <c r="F601" t="s">
        <v>5338</v>
      </c>
      <c r="G601" t="s">
        <v>5339</v>
      </c>
      <c r="H601" t="s">
        <v>5340</v>
      </c>
      <c r="I601" t="s">
        <v>5341</v>
      </c>
      <c r="J601" t="s">
        <v>5342</v>
      </c>
      <c r="K601" t="s">
        <v>5343</v>
      </c>
      <c r="L601" t="s">
        <v>10846</v>
      </c>
    </row>
    <row r="602" spans="1:12" x14ac:dyDescent="0.35">
      <c r="A602" t="str">
        <f t="shared" si="9"/>
        <v>Sr. Sub. Debt/(EBITDA, Excl. Operating Leases-CAPEX)</v>
      </c>
      <c r="B602" t="s">
        <v>967</v>
      </c>
      <c r="C602" t="s">
        <v>9413</v>
      </c>
      <c r="D602" t="s">
        <v>9414</v>
      </c>
      <c r="E602" t="s">
        <v>9415</v>
      </c>
      <c r="F602" t="s">
        <v>9416</v>
      </c>
      <c r="G602" t="s">
        <v>9417</v>
      </c>
      <c r="H602" t="s">
        <v>9418</v>
      </c>
      <c r="I602" t="s">
        <v>9419</v>
      </c>
      <c r="J602" t="s">
        <v>9420</v>
      </c>
      <c r="K602" t="s">
        <v>9421</v>
      </c>
      <c r="L602" t="s">
        <v>9422</v>
      </c>
    </row>
    <row r="603" spans="1:12" x14ac:dyDescent="0.35">
      <c r="A603" t="str">
        <f t="shared" si="9"/>
        <v>Sub. Debt/(EBITDA-CAPEX)</v>
      </c>
      <c r="B603" t="s">
        <v>689</v>
      </c>
      <c r="C603" t="s">
        <v>5344</v>
      </c>
      <c r="D603" t="s">
        <v>5345</v>
      </c>
      <c r="E603" t="s">
        <v>5346</v>
      </c>
      <c r="F603" t="s">
        <v>5347</v>
      </c>
      <c r="G603" t="s">
        <v>5348</v>
      </c>
      <c r="H603" t="s">
        <v>5349</v>
      </c>
      <c r="I603" t="s">
        <v>5350</v>
      </c>
      <c r="J603" t="s">
        <v>5351</v>
      </c>
      <c r="K603" t="s">
        <v>5352</v>
      </c>
      <c r="L603" t="s">
        <v>10847</v>
      </c>
    </row>
    <row r="604" spans="1:12" x14ac:dyDescent="0.35">
      <c r="A604" t="str">
        <f t="shared" si="9"/>
        <v>Sub. Debt/(EBITDA, Excl. Operating Leases-CAPEX)</v>
      </c>
      <c r="B604" t="s">
        <v>968</v>
      </c>
      <c r="C604" t="s">
        <v>9423</v>
      </c>
      <c r="D604" t="s">
        <v>9424</v>
      </c>
      <c r="E604" t="s">
        <v>9425</v>
      </c>
      <c r="F604" t="s">
        <v>9426</v>
      </c>
      <c r="G604" t="s">
        <v>9427</v>
      </c>
      <c r="H604" t="s">
        <v>9428</v>
      </c>
      <c r="I604" t="s">
        <v>9429</v>
      </c>
      <c r="J604" t="s">
        <v>9430</v>
      </c>
      <c r="K604" t="s">
        <v>9431</v>
      </c>
      <c r="L604" t="s">
        <v>9432</v>
      </c>
    </row>
    <row r="605" spans="1:12" x14ac:dyDescent="0.35">
      <c r="A605" t="str">
        <f t="shared" si="9"/>
        <v>Jr. Sub Debt/(EBITDA-CAPEX)</v>
      </c>
      <c r="B605" t="s">
        <v>690</v>
      </c>
      <c r="C605" t="s">
        <v>5353</v>
      </c>
      <c r="D605" t="s">
        <v>5354</v>
      </c>
      <c r="E605" t="s">
        <v>5355</v>
      </c>
      <c r="F605" t="s">
        <v>5356</v>
      </c>
      <c r="G605" t="s">
        <v>5357</v>
      </c>
      <c r="H605" t="s">
        <v>5358</v>
      </c>
      <c r="I605" t="s">
        <v>5359</v>
      </c>
      <c r="J605" t="s">
        <v>5360</v>
      </c>
      <c r="K605" t="s">
        <v>5361</v>
      </c>
      <c r="L605" t="s">
        <v>10848</v>
      </c>
    </row>
    <row r="606" spans="1:12" x14ac:dyDescent="0.35">
      <c r="A606" t="str">
        <f t="shared" si="9"/>
        <v>Jr. Sub Debt/(EBITDA, Excl. Operating Leases-CAPEX)</v>
      </c>
      <c r="B606" t="s">
        <v>969</v>
      </c>
      <c r="C606" t="s">
        <v>9433</v>
      </c>
      <c r="D606" t="s">
        <v>9434</v>
      </c>
      <c r="E606" t="s">
        <v>9435</v>
      </c>
      <c r="F606" t="s">
        <v>9426</v>
      </c>
      <c r="G606" t="s">
        <v>9436</v>
      </c>
      <c r="H606" t="s">
        <v>9437</v>
      </c>
      <c r="I606" t="s">
        <v>9438</v>
      </c>
      <c r="J606" t="s">
        <v>9439</v>
      </c>
      <c r="K606" t="s">
        <v>9440</v>
      </c>
      <c r="L606" t="s">
        <v>9441</v>
      </c>
    </row>
    <row r="607" spans="1:12" x14ac:dyDescent="0.35">
      <c r="A607" t="str">
        <f t="shared" si="9"/>
        <v>Fixed Payment Schedule</v>
      </c>
      <c r="B607" t="s">
        <v>422</v>
      </c>
      <c r="C607" t="s">
        <v>9442</v>
      </c>
      <c r="D607" t="s">
        <v>9443</v>
      </c>
      <c r="E607" t="s">
        <v>9444</v>
      </c>
      <c r="F607" t="s">
        <v>9445</v>
      </c>
      <c r="G607" t="s">
        <v>9446</v>
      </c>
      <c r="H607" t="s">
        <v>9447</v>
      </c>
      <c r="I607" t="s">
        <v>9448</v>
      </c>
      <c r="J607" t="s">
        <v>9449</v>
      </c>
      <c r="K607" t="s">
        <v>9450</v>
      </c>
      <c r="L607" t="s">
        <v>10933</v>
      </c>
    </row>
    <row r="608" spans="1:12" x14ac:dyDescent="0.35">
      <c r="A608" t="str">
        <f t="shared" si="9"/>
        <v>LT Debt Due + 1</v>
      </c>
      <c r="B608" t="s">
        <v>691</v>
      </c>
      <c r="C608" t="s">
        <v>5362</v>
      </c>
      <c r="D608" t="s">
        <v>5363</v>
      </c>
      <c r="E608" t="s">
        <v>5364</v>
      </c>
      <c r="F608" t="s">
        <v>5365</v>
      </c>
      <c r="G608" t="s">
        <v>5366</v>
      </c>
      <c r="H608" t="s">
        <v>5367</v>
      </c>
      <c r="I608" t="s">
        <v>5368</v>
      </c>
      <c r="J608" t="s">
        <v>5369</v>
      </c>
      <c r="K608" t="s">
        <v>5370</v>
      </c>
      <c r="L608" t="s">
        <v>10849</v>
      </c>
    </row>
    <row r="609" spans="1:12" x14ac:dyDescent="0.35">
      <c r="A609" t="str">
        <f t="shared" si="9"/>
        <v>LT Debt Due + 2</v>
      </c>
      <c r="B609" t="s">
        <v>692</v>
      </c>
      <c r="C609" t="s">
        <v>5371</v>
      </c>
      <c r="D609" t="s">
        <v>5372</v>
      </c>
      <c r="E609" t="s">
        <v>5373</v>
      </c>
      <c r="F609" t="s">
        <v>5374</v>
      </c>
      <c r="G609" t="s">
        <v>5375</v>
      </c>
      <c r="H609" t="s">
        <v>5376</v>
      </c>
      <c r="I609" t="s">
        <v>5377</v>
      </c>
      <c r="J609" t="s">
        <v>5378</v>
      </c>
      <c r="K609" t="s">
        <v>5379</v>
      </c>
      <c r="L609" t="s">
        <v>10850</v>
      </c>
    </row>
    <row r="610" spans="1:12" x14ac:dyDescent="0.35">
      <c r="A610" t="str">
        <f t="shared" si="9"/>
        <v>LT Debt Due + 3</v>
      </c>
      <c r="B610" t="s">
        <v>693</v>
      </c>
      <c r="C610" t="s">
        <v>5380</v>
      </c>
      <c r="D610" t="s">
        <v>5381</v>
      </c>
      <c r="E610" t="s">
        <v>5382</v>
      </c>
      <c r="F610" t="s">
        <v>5383</v>
      </c>
      <c r="G610" t="s">
        <v>5384</v>
      </c>
      <c r="H610" t="s">
        <v>5385</v>
      </c>
      <c r="I610" t="s">
        <v>5386</v>
      </c>
      <c r="J610" t="s">
        <v>5387</v>
      </c>
      <c r="K610" t="s">
        <v>5388</v>
      </c>
      <c r="L610" t="s">
        <v>10851</v>
      </c>
    </row>
    <row r="611" spans="1:12" x14ac:dyDescent="0.35">
      <c r="A611" t="str">
        <f t="shared" si="9"/>
        <v>LT Debt Due + 4</v>
      </c>
      <c r="B611" t="s">
        <v>694</v>
      </c>
      <c r="C611" t="s">
        <v>5389</v>
      </c>
      <c r="D611" t="s">
        <v>5390</v>
      </c>
      <c r="E611" t="s">
        <v>5391</v>
      </c>
      <c r="F611" t="s">
        <v>5392</v>
      </c>
      <c r="G611" t="s">
        <v>5393</v>
      </c>
      <c r="H611" t="s">
        <v>5394</v>
      </c>
      <c r="I611" t="s">
        <v>5395</v>
      </c>
      <c r="J611" t="s">
        <v>5396</v>
      </c>
      <c r="K611" t="s">
        <v>5397</v>
      </c>
      <c r="L611" t="s">
        <v>10852</v>
      </c>
    </row>
    <row r="612" spans="1:12" x14ac:dyDescent="0.35">
      <c r="A612" t="str">
        <f t="shared" si="9"/>
        <v>LT Debt Due + 5</v>
      </c>
      <c r="B612" t="s">
        <v>695</v>
      </c>
      <c r="C612" t="s">
        <v>5398</v>
      </c>
      <c r="D612" t="s">
        <v>5399</v>
      </c>
      <c r="E612" t="s">
        <v>5400</v>
      </c>
      <c r="F612" t="s">
        <v>5401</v>
      </c>
      <c r="G612" t="s">
        <v>5402</v>
      </c>
      <c r="H612" t="s">
        <v>5403</v>
      </c>
      <c r="I612" t="s">
        <v>5404</v>
      </c>
      <c r="J612" t="s">
        <v>5405</v>
      </c>
      <c r="K612" t="s">
        <v>5406</v>
      </c>
      <c r="L612" t="s">
        <v>10853</v>
      </c>
    </row>
    <row r="613" spans="1:12" x14ac:dyDescent="0.35">
      <c r="A613" t="str">
        <f t="shared" si="9"/>
        <v>LT Debt Due, Next Five Years</v>
      </c>
      <c r="B613" t="s">
        <v>696</v>
      </c>
      <c r="C613" t="s">
        <v>5407</v>
      </c>
      <c r="D613" t="s">
        <v>5408</v>
      </c>
      <c r="E613" t="s">
        <v>5409</v>
      </c>
      <c r="F613" t="s">
        <v>5410</v>
      </c>
      <c r="G613" t="s">
        <v>5411</v>
      </c>
      <c r="H613" t="s">
        <v>5412</v>
      </c>
      <c r="I613" t="s">
        <v>5413</v>
      </c>
      <c r="J613" t="s">
        <v>5414</v>
      </c>
      <c r="K613" t="s">
        <v>5415</v>
      </c>
      <c r="L613" t="s">
        <v>10854</v>
      </c>
    </row>
    <row r="614" spans="1:12" x14ac:dyDescent="0.35">
      <c r="A614" t="str">
        <f t="shared" si="9"/>
        <v>LT Debt Due After 5 Years</v>
      </c>
      <c r="B614" t="s">
        <v>697</v>
      </c>
      <c r="C614" t="s">
        <v>5416</v>
      </c>
      <c r="D614" t="s">
        <v>5417</v>
      </c>
      <c r="E614" t="s">
        <v>5418</v>
      </c>
      <c r="F614" t="s">
        <v>5419</v>
      </c>
      <c r="G614" t="s">
        <v>5420</v>
      </c>
      <c r="H614" t="s">
        <v>5421</v>
      </c>
      <c r="I614" t="s">
        <v>5422</v>
      </c>
      <c r="J614" t="s">
        <v>5423</v>
      </c>
      <c r="K614" t="s">
        <v>5424</v>
      </c>
      <c r="L614" t="s">
        <v>10855</v>
      </c>
    </row>
    <row r="615" spans="1:12" x14ac:dyDescent="0.35">
      <c r="A615" t="str">
        <f t="shared" si="9"/>
        <v>Capital Lease Payment Due (Incl. Interest)+1</v>
      </c>
      <c r="B615" t="s">
        <v>265</v>
      </c>
      <c r="C615" t="s">
        <v>9451</v>
      </c>
      <c r="D615" t="s">
        <v>9452</v>
      </c>
      <c r="E615" t="s">
        <v>9453</v>
      </c>
      <c r="F615" t="s">
        <v>9454</v>
      </c>
      <c r="G615" t="s">
        <v>9455</v>
      </c>
      <c r="H615" t="s">
        <v>9456</v>
      </c>
      <c r="I615" t="s">
        <v>9457</v>
      </c>
      <c r="J615" t="s">
        <v>9458</v>
      </c>
      <c r="K615" t="s">
        <v>9459</v>
      </c>
      <c r="L615" t="s">
        <v>9460</v>
      </c>
    </row>
    <row r="616" spans="1:12" x14ac:dyDescent="0.35">
      <c r="A616" t="str">
        <f t="shared" si="9"/>
        <v>Capital Lease Payment Due + 1</v>
      </c>
      <c r="B616" t="s">
        <v>698</v>
      </c>
      <c r="C616" t="s">
        <v>9461</v>
      </c>
      <c r="D616" t="s">
        <v>9462</v>
      </c>
      <c r="E616" t="s">
        <v>9463</v>
      </c>
      <c r="F616" t="s">
        <v>9464</v>
      </c>
      <c r="G616" t="s">
        <v>9465</v>
      </c>
      <c r="H616" t="s">
        <v>9466</v>
      </c>
      <c r="I616" t="s">
        <v>9467</v>
      </c>
      <c r="J616" t="s">
        <v>9468</v>
      </c>
      <c r="K616" t="s">
        <v>9469</v>
      </c>
      <c r="L616" t="s">
        <v>9470</v>
      </c>
    </row>
    <row r="617" spans="1:12" x14ac:dyDescent="0.35">
      <c r="A617" t="str">
        <f t="shared" si="9"/>
        <v>Capital Lease Payment Due + 2</v>
      </c>
      <c r="B617" t="s">
        <v>699</v>
      </c>
      <c r="C617" t="s">
        <v>9471</v>
      </c>
      <c r="D617" t="s">
        <v>9472</v>
      </c>
      <c r="E617" t="s">
        <v>9473</v>
      </c>
      <c r="F617" t="s">
        <v>9474</v>
      </c>
      <c r="G617" t="s">
        <v>9475</v>
      </c>
      <c r="H617" t="s">
        <v>9476</v>
      </c>
      <c r="I617" t="s">
        <v>9477</v>
      </c>
      <c r="J617" t="s">
        <v>9478</v>
      </c>
      <c r="K617" t="s">
        <v>9479</v>
      </c>
      <c r="L617" t="s">
        <v>9480</v>
      </c>
    </row>
    <row r="618" spans="1:12" x14ac:dyDescent="0.35">
      <c r="A618" t="str">
        <f t="shared" si="9"/>
        <v>Capital Lease Payment Due + 3</v>
      </c>
      <c r="B618" t="s">
        <v>700</v>
      </c>
      <c r="C618" t="s">
        <v>9481</v>
      </c>
      <c r="D618" t="s">
        <v>9482</v>
      </c>
      <c r="E618" t="s">
        <v>9483</v>
      </c>
      <c r="F618" t="s">
        <v>9484</v>
      </c>
      <c r="G618" t="s">
        <v>9485</v>
      </c>
      <c r="H618" t="s">
        <v>9486</v>
      </c>
      <c r="I618" t="s">
        <v>9487</v>
      </c>
      <c r="J618" t="s">
        <v>9488</v>
      </c>
      <c r="K618" t="s">
        <v>9489</v>
      </c>
      <c r="L618" t="s">
        <v>9490</v>
      </c>
    </row>
    <row r="619" spans="1:12" x14ac:dyDescent="0.35">
      <c r="A619" t="str">
        <f t="shared" si="9"/>
        <v>Capital Lease Payment Due + 4</v>
      </c>
      <c r="B619" t="s">
        <v>701</v>
      </c>
      <c r="C619" t="s">
        <v>9491</v>
      </c>
      <c r="D619" t="s">
        <v>9492</v>
      </c>
      <c r="E619" t="s">
        <v>9493</v>
      </c>
      <c r="F619" t="s">
        <v>9494</v>
      </c>
      <c r="G619" t="s">
        <v>9495</v>
      </c>
      <c r="H619" t="s">
        <v>9496</v>
      </c>
      <c r="I619" t="s">
        <v>9497</v>
      </c>
      <c r="J619" t="s">
        <v>9498</v>
      </c>
      <c r="K619" t="s">
        <v>9499</v>
      </c>
      <c r="L619" t="s">
        <v>9500</v>
      </c>
    </row>
    <row r="620" spans="1:12" x14ac:dyDescent="0.35">
      <c r="A620" t="str">
        <f t="shared" si="9"/>
        <v>Capital Lease Payment Due + 5</v>
      </c>
      <c r="B620" t="s">
        <v>702</v>
      </c>
      <c r="C620" t="s">
        <v>9501</v>
      </c>
      <c r="D620" t="s">
        <v>9502</v>
      </c>
      <c r="E620" t="s">
        <v>9503</v>
      </c>
      <c r="F620" t="s">
        <v>9504</v>
      </c>
      <c r="G620" t="s">
        <v>9505</v>
      </c>
      <c r="H620" t="s">
        <v>9506</v>
      </c>
      <c r="I620" t="s">
        <v>9507</v>
      </c>
      <c r="J620" t="s">
        <v>9508</v>
      </c>
      <c r="K620" t="s">
        <v>9509</v>
      </c>
      <c r="L620" t="s">
        <v>9510</v>
      </c>
    </row>
    <row r="621" spans="1:12" x14ac:dyDescent="0.35">
      <c r="A621" t="str">
        <f t="shared" si="9"/>
        <v>Capital Lease Payment Due, Next Five Years</v>
      </c>
      <c r="B621" t="s">
        <v>703</v>
      </c>
      <c r="C621" t="s">
        <v>9511</v>
      </c>
      <c r="D621" t="s">
        <v>9512</v>
      </c>
      <c r="E621" t="s">
        <v>9513</v>
      </c>
      <c r="F621" t="s">
        <v>9514</v>
      </c>
      <c r="G621" t="s">
        <v>9515</v>
      </c>
      <c r="H621" t="s">
        <v>9516</v>
      </c>
      <c r="I621" t="s">
        <v>9517</v>
      </c>
      <c r="J621" t="s">
        <v>9518</v>
      </c>
      <c r="K621" t="s">
        <v>9519</v>
      </c>
      <c r="L621" t="s">
        <v>9520</v>
      </c>
    </row>
    <row r="622" spans="1:12" x14ac:dyDescent="0.35">
      <c r="A622" t="str">
        <f t="shared" si="9"/>
        <v>Capital Lease payment Due After 5 Years</v>
      </c>
      <c r="B622" t="s">
        <v>704</v>
      </c>
      <c r="C622" t="s">
        <v>9521</v>
      </c>
      <c r="D622" t="s">
        <v>9522</v>
      </c>
      <c r="E622" t="s">
        <v>9523</v>
      </c>
      <c r="F622" t="s">
        <v>9524</v>
      </c>
      <c r="G622" t="s">
        <v>9525</v>
      </c>
      <c r="H622" t="s">
        <v>9526</v>
      </c>
      <c r="I622" t="s">
        <v>9527</v>
      </c>
      <c r="J622" t="s">
        <v>9528</v>
      </c>
      <c r="K622" t="s">
        <v>9529</v>
      </c>
      <c r="L622" t="s">
        <v>9530</v>
      </c>
    </row>
    <row r="623" spans="1:12" x14ac:dyDescent="0.35">
      <c r="A623" t="str">
        <f t="shared" si="9"/>
        <v>Operating Lease Commitment+ 1</v>
      </c>
      <c r="B623" t="s">
        <v>705</v>
      </c>
      <c r="C623" t="s">
        <v>9531</v>
      </c>
      <c r="D623" t="s">
        <v>9532</v>
      </c>
      <c r="E623" t="s">
        <v>9533</v>
      </c>
      <c r="F623" t="s">
        <v>9534</v>
      </c>
      <c r="G623" t="s">
        <v>9535</v>
      </c>
      <c r="H623" t="s">
        <v>9536</v>
      </c>
      <c r="I623" t="s">
        <v>9537</v>
      </c>
      <c r="J623" t="s">
        <v>9538</v>
      </c>
      <c r="K623" t="s">
        <v>9539</v>
      </c>
      <c r="L623" t="s">
        <v>9540</v>
      </c>
    </row>
    <row r="624" spans="1:12" x14ac:dyDescent="0.35">
      <c r="A624" t="str">
        <f t="shared" si="9"/>
        <v>Operating Lease Commitment+ 2</v>
      </c>
      <c r="B624" t="s">
        <v>706</v>
      </c>
      <c r="C624" t="s">
        <v>9541</v>
      </c>
      <c r="D624" t="s">
        <v>9542</v>
      </c>
      <c r="E624" t="s">
        <v>9543</v>
      </c>
      <c r="F624" t="s">
        <v>9544</v>
      </c>
      <c r="G624" t="s">
        <v>9545</v>
      </c>
      <c r="H624" t="s">
        <v>9546</v>
      </c>
      <c r="I624" t="s">
        <v>9547</v>
      </c>
      <c r="J624" t="s">
        <v>9548</v>
      </c>
      <c r="K624" t="s">
        <v>9549</v>
      </c>
      <c r="L624" t="s">
        <v>9550</v>
      </c>
    </row>
    <row r="625" spans="1:12" x14ac:dyDescent="0.35">
      <c r="A625" t="str">
        <f t="shared" si="9"/>
        <v>Operating Lease Commitment+ 3</v>
      </c>
      <c r="B625" t="s">
        <v>707</v>
      </c>
      <c r="C625" t="s">
        <v>9551</v>
      </c>
      <c r="D625" t="s">
        <v>9552</v>
      </c>
      <c r="E625" t="s">
        <v>9553</v>
      </c>
      <c r="F625" t="s">
        <v>9554</v>
      </c>
      <c r="G625" t="s">
        <v>9555</v>
      </c>
      <c r="H625" t="s">
        <v>9556</v>
      </c>
      <c r="I625" t="s">
        <v>9557</v>
      </c>
      <c r="J625" t="s">
        <v>9558</v>
      </c>
      <c r="K625" t="s">
        <v>9559</v>
      </c>
      <c r="L625" t="s">
        <v>9560</v>
      </c>
    </row>
    <row r="626" spans="1:12" x14ac:dyDescent="0.35">
      <c r="A626" t="str">
        <f t="shared" ref="A626:A683" si="10">INDEX($B626:$CW626,,$A$5)</f>
        <v>Operating Lease Commitment+ 4</v>
      </c>
      <c r="B626" t="s">
        <v>708</v>
      </c>
      <c r="C626" t="s">
        <v>9561</v>
      </c>
      <c r="D626" t="s">
        <v>9562</v>
      </c>
      <c r="E626" t="s">
        <v>9563</v>
      </c>
      <c r="F626" t="s">
        <v>9564</v>
      </c>
      <c r="G626" t="s">
        <v>9565</v>
      </c>
      <c r="H626" t="s">
        <v>9566</v>
      </c>
      <c r="I626" t="s">
        <v>9567</v>
      </c>
      <c r="J626" t="s">
        <v>9568</v>
      </c>
      <c r="K626" t="s">
        <v>9569</v>
      </c>
      <c r="L626" t="s">
        <v>9570</v>
      </c>
    </row>
    <row r="627" spans="1:12" x14ac:dyDescent="0.35">
      <c r="A627" t="str">
        <f t="shared" si="10"/>
        <v>Operating Lease Commitment+ 5</v>
      </c>
      <c r="B627" t="s">
        <v>709</v>
      </c>
      <c r="C627" t="s">
        <v>9571</v>
      </c>
      <c r="D627" t="s">
        <v>9572</v>
      </c>
      <c r="E627" t="s">
        <v>9573</v>
      </c>
      <c r="F627" t="s">
        <v>9574</v>
      </c>
      <c r="G627" t="s">
        <v>9575</v>
      </c>
      <c r="H627" t="s">
        <v>9576</v>
      </c>
      <c r="I627" t="s">
        <v>9577</v>
      </c>
      <c r="J627" t="s">
        <v>9578</v>
      </c>
      <c r="K627" t="s">
        <v>9579</v>
      </c>
      <c r="L627" t="s">
        <v>9580</v>
      </c>
    </row>
    <row r="628" spans="1:12" x14ac:dyDescent="0.35">
      <c r="A628" t="str">
        <f t="shared" si="10"/>
        <v>Operating Lease Commitment, Next Five Years</v>
      </c>
      <c r="B628" t="s">
        <v>710</v>
      </c>
      <c r="C628" t="s">
        <v>9581</v>
      </c>
      <c r="D628" t="s">
        <v>9582</v>
      </c>
      <c r="E628" t="s">
        <v>9583</v>
      </c>
      <c r="F628" t="s">
        <v>9584</v>
      </c>
      <c r="G628" t="s">
        <v>9585</v>
      </c>
      <c r="H628" t="s">
        <v>9586</v>
      </c>
      <c r="I628" t="s">
        <v>9587</v>
      </c>
      <c r="J628" t="s">
        <v>9588</v>
      </c>
      <c r="K628" t="s">
        <v>9589</v>
      </c>
      <c r="L628" t="s">
        <v>9590</v>
      </c>
    </row>
    <row r="629" spans="1:12" x14ac:dyDescent="0.35">
      <c r="A629" t="str">
        <f t="shared" si="10"/>
        <v>Operating Lease CommitmentAfter 5 Years</v>
      </c>
      <c r="B629" t="s">
        <v>711</v>
      </c>
      <c r="C629" t="s">
        <v>9591</v>
      </c>
      <c r="D629" t="s">
        <v>9592</v>
      </c>
      <c r="E629" t="s">
        <v>9593</v>
      </c>
      <c r="F629" t="s">
        <v>9594</v>
      </c>
      <c r="G629" t="s">
        <v>9595</v>
      </c>
      <c r="H629" t="s">
        <v>9596</v>
      </c>
      <c r="I629" t="s">
        <v>9597</v>
      </c>
      <c r="J629" t="s">
        <v>9598</v>
      </c>
      <c r="K629" t="s">
        <v>9599</v>
      </c>
      <c r="L629" t="s">
        <v>9600</v>
      </c>
    </row>
    <row r="630" spans="1:12" x14ac:dyDescent="0.35">
      <c r="A630" t="str">
        <f t="shared" si="10"/>
        <v>Present Value Adjustment on Operating Lease Liabilities</v>
      </c>
      <c r="B630" t="s">
        <v>902</v>
      </c>
      <c r="C630" t="s">
        <v>9601</v>
      </c>
      <c r="D630" t="s">
        <v>9602</v>
      </c>
      <c r="E630" t="s">
        <v>9603</v>
      </c>
      <c r="F630" t="s">
        <v>9604</v>
      </c>
      <c r="G630" t="s">
        <v>9605</v>
      </c>
      <c r="H630" t="s">
        <v>9606</v>
      </c>
      <c r="I630" t="s">
        <v>9607</v>
      </c>
      <c r="J630" t="s">
        <v>9608</v>
      </c>
      <c r="K630" t="s">
        <v>9609</v>
      </c>
      <c r="L630" t="s">
        <v>9610</v>
      </c>
    </row>
    <row r="631" spans="1:12" x14ac:dyDescent="0.35">
      <c r="A631" t="str">
        <f t="shared" si="10"/>
        <v>Sub-Lease Income+ 1</v>
      </c>
      <c r="B631" t="s">
        <v>712</v>
      </c>
      <c r="C631" t="s">
        <v>9611</v>
      </c>
      <c r="D631" t="s">
        <v>9612</v>
      </c>
      <c r="E631" t="s">
        <v>9613</v>
      </c>
      <c r="F631" t="s">
        <v>9614</v>
      </c>
      <c r="G631" t="s">
        <v>9615</v>
      </c>
      <c r="H631" t="s">
        <v>9616</v>
      </c>
      <c r="I631" t="s">
        <v>9617</v>
      </c>
      <c r="J631" t="s">
        <v>9618</v>
      </c>
      <c r="K631" t="s">
        <v>9619</v>
      </c>
      <c r="L631" t="s">
        <v>9620</v>
      </c>
    </row>
    <row r="632" spans="1:12" x14ac:dyDescent="0.35">
      <c r="A632" t="str">
        <f t="shared" si="10"/>
        <v>Sub-Lease Income+ 2</v>
      </c>
      <c r="B632" t="s">
        <v>713</v>
      </c>
      <c r="C632" t="s">
        <v>9621</v>
      </c>
      <c r="D632" t="s">
        <v>9622</v>
      </c>
      <c r="E632" t="s">
        <v>9623</v>
      </c>
      <c r="F632" t="s">
        <v>9624</v>
      </c>
      <c r="G632" t="s">
        <v>9625</v>
      </c>
      <c r="H632" t="s">
        <v>9626</v>
      </c>
      <c r="I632" t="s">
        <v>9627</v>
      </c>
      <c r="J632" t="s">
        <v>9628</v>
      </c>
      <c r="K632" t="s">
        <v>9629</v>
      </c>
      <c r="L632" t="s">
        <v>9630</v>
      </c>
    </row>
    <row r="633" spans="1:12" x14ac:dyDescent="0.35">
      <c r="A633" t="str">
        <f t="shared" si="10"/>
        <v>Sub-Lease Income+ 3</v>
      </c>
      <c r="B633" t="s">
        <v>714</v>
      </c>
      <c r="C633" t="s">
        <v>9631</v>
      </c>
      <c r="D633" t="s">
        <v>9632</v>
      </c>
      <c r="E633" t="s">
        <v>9633</v>
      </c>
      <c r="F633" t="s">
        <v>9634</v>
      </c>
      <c r="G633" t="s">
        <v>9635</v>
      </c>
      <c r="H633" t="s">
        <v>9636</v>
      </c>
      <c r="I633" t="s">
        <v>9637</v>
      </c>
      <c r="J633" t="s">
        <v>9638</v>
      </c>
      <c r="K633" t="s">
        <v>9639</v>
      </c>
      <c r="L633" t="s">
        <v>9640</v>
      </c>
    </row>
    <row r="634" spans="1:12" x14ac:dyDescent="0.35">
      <c r="A634" t="str">
        <f t="shared" si="10"/>
        <v>Sub-Lease Income+ 4</v>
      </c>
      <c r="B634" t="s">
        <v>715</v>
      </c>
      <c r="C634" t="s">
        <v>9641</v>
      </c>
      <c r="D634" t="s">
        <v>9642</v>
      </c>
      <c r="E634" t="s">
        <v>9643</v>
      </c>
      <c r="F634" t="s">
        <v>9644</v>
      </c>
      <c r="G634" t="s">
        <v>9645</v>
      </c>
      <c r="H634" t="s">
        <v>9646</v>
      </c>
      <c r="I634" t="s">
        <v>9647</v>
      </c>
      <c r="J634" t="s">
        <v>9648</v>
      </c>
      <c r="K634" t="s">
        <v>9649</v>
      </c>
      <c r="L634" t="s">
        <v>9650</v>
      </c>
    </row>
    <row r="635" spans="1:12" x14ac:dyDescent="0.35">
      <c r="A635" t="str">
        <f t="shared" si="10"/>
        <v>Sub-Lease Income+ 5</v>
      </c>
      <c r="B635" t="s">
        <v>716</v>
      </c>
      <c r="C635" t="s">
        <v>9651</v>
      </c>
      <c r="D635" t="s">
        <v>9652</v>
      </c>
      <c r="E635" t="s">
        <v>9653</v>
      </c>
      <c r="F635" t="s">
        <v>9654</v>
      </c>
      <c r="G635" t="s">
        <v>9655</v>
      </c>
      <c r="H635" t="s">
        <v>9656</v>
      </c>
      <c r="I635" t="s">
        <v>9657</v>
      </c>
      <c r="J635" t="s">
        <v>9658</v>
      </c>
      <c r="K635" t="s">
        <v>9659</v>
      </c>
      <c r="L635" t="s">
        <v>9660</v>
      </c>
    </row>
    <row r="636" spans="1:12" x14ac:dyDescent="0.35">
      <c r="A636" t="str">
        <f t="shared" si="10"/>
        <v>Sub-Lease Income, Next Five Years</v>
      </c>
      <c r="B636" t="s">
        <v>717</v>
      </c>
      <c r="C636" t="s">
        <v>9661</v>
      </c>
      <c r="D636" t="s">
        <v>9662</v>
      </c>
      <c r="E636" t="s">
        <v>9663</v>
      </c>
      <c r="F636" t="s">
        <v>9664</v>
      </c>
      <c r="G636" t="s">
        <v>9665</v>
      </c>
      <c r="H636" t="s">
        <v>9666</v>
      </c>
      <c r="I636" t="s">
        <v>9667</v>
      </c>
      <c r="J636" t="s">
        <v>9668</v>
      </c>
      <c r="K636" t="s">
        <v>9669</v>
      </c>
      <c r="L636" t="s">
        <v>9670</v>
      </c>
    </row>
    <row r="637" spans="1:12" x14ac:dyDescent="0.35">
      <c r="A637" t="str">
        <f t="shared" si="10"/>
        <v>Sub-Lease IncomeAfter 5 Years</v>
      </c>
      <c r="B637" t="s">
        <v>718</v>
      </c>
      <c r="C637" t="s">
        <v>9671</v>
      </c>
      <c r="D637" t="s">
        <v>9672</v>
      </c>
      <c r="E637" t="s">
        <v>9673</v>
      </c>
      <c r="F637" t="s">
        <v>9674</v>
      </c>
      <c r="G637" t="s">
        <v>9675</v>
      </c>
      <c r="H637" t="s">
        <v>9676</v>
      </c>
      <c r="I637" t="s">
        <v>9677</v>
      </c>
      <c r="J637" t="s">
        <v>9678</v>
      </c>
      <c r="K637" t="s">
        <v>9679</v>
      </c>
      <c r="L637" t="s">
        <v>9680</v>
      </c>
    </row>
    <row r="638" spans="1:12" x14ac:dyDescent="0.35">
      <c r="A638" t="str">
        <f t="shared" si="10"/>
        <v>Contractual Obligations Due +1</v>
      </c>
      <c r="B638" t="s">
        <v>197</v>
      </c>
      <c r="C638" t="s">
        <v>9681</v>
      </c>
      <c r="D638" t="s">
        <v>9682</v>
      </c>
      <c r="E638" t="s">
        <v>9683</v>
      </c>
      <c r="F638" t="s">
        <v>9684</v>
      </c>
      <c r="G638" t="s">
        <v>9685</v>
      </c>
      <c r="H638" t="s">
        <v>9686</v>
      </c>
      <c r="I638" t="s">
        <v>9687</v>
      </c>
      <c r="J638" t="s">
        <v>9688</v>
      </c>
      <c r="K638" t="s">
        <v>9689</v>
      </c>
      <c r="L638" t="s">
        <v>9690</v>
      </c>
    </row>
    <row r="639" spans="1:12" x14ac:dyDescent="0.35">
      <c r="A639" t="str">
        <f t="shared" si="10"/>
        <v>Contractual Obligations Due + 2</v>
      </c>
      <c r="B639" t="s">
        <v>198</v>
      </c>
      <c r="C639" t="s">
        <v>9691</v>
      </c>
      <c r="D639" t="s">
        <v>9692</v>
      </c>
      <c r="E639" t="s">
        <v>9693</v>
      </c>
      <c r="F639" t="s">
        <v>9694</v>
      </c>
      <c r="G639" t="s">
        <v>9695</v>
      </c>
      <c r="H639" t="s">
        <v>9696</v>
      </c>
      <c r="I639" t="s">
        <v>9697</v>
      </c>
      <c r="J639" t="s">
        <v>9698</v>
      </c>
      <c r="K639" t="s">
        <v>9699</v>
      </c>
      <c r="L639" t="s">
        <v>9700</v>
      </c>
    </row>
    <row r="640" spans="1:12" x14ac:dyDescent="0.35">
      <c r="A640" t="str">
        <f t="shared" si="10"/>
        <v>Contractual Obligations Due + 3</v>
      </c>
      <c r="B640" t="s">
        <v>199</v>
      </c>
      <c r="C640" t="s">
        <v>9701</v>
      </c>
      <c r="D640" t="s">
        <v>9702</v>
      </c>
      <c r="E640" t="s">
        <v>9703</v>
      </c>
      <c r="F640" t="s">
        <v>9704</v>
      </c>
      <c r="G640" t="s">
        <v>9705</v>
      </c>
      <c r="H640" t="s">
        <v>9706</v>
      </c>
      <c r="I640" t="s">
        <v>9707</v>
      </c>
      <c r="J640" t="s">
        <v>9708</v>
      </c>
      <c r="K640" t="s">
        <v>9709</v>
      </c>
      <c r="L640" t="s">
        <v>9710</v>
      </c>
    </row>
    <row r="641" spans="1:12" x14ac:dyDescent="0.35">
      <c r="A641" t="str">
        <f t="shared" si="10"/>
        <v>Contractual Obligations Due + 4</v>
      </c>
      <c r="B641" t="s">
        <v>200</v>
      </c>
      <c r="C641" t="s">
        <v>9711</v>
      </c>
      <c r="D641" t="s">
        <v>9712</v>
      </c>
      <c r="E641" t="s">
        <v>9713</v>
      </c>
      <c r="F641" t="s">
        <v>9714</v>
      </c>
      <c r="G641" t="s">
        <v>9715</v>
      </c>
      <c r="H641" t="s">
        <v>9716</v>
      </c>
      <c r="I641" t="s">
        <v>9717</v>
      </c>
      <c r="J641" t="s">
        <v>9718</v>
      </c>
      <c r="K641" t="s">
        <v>9719</v>
      </c>
      <c r="L641" t="s">
        <v>9720</v>
      </c>
    </row>
    <row r="642" spans="1:12" x14ac:dyDescent="0.35">
      <c r="A642" t="str">
        <f t="shared" si="10"/>
        <v>Contractual Obligations Due + 5</v>
      </c>
      <c r="B642" t="s">
        <v>201</v>
      </c>
      <c r="C642" t="s">
        <v>9721</v>
      </c>
      <c r="D642" t="s">
        <v>9722</v>
      </c>
      <c r="E642" t="s">
        <v>9723</v>
      </c>
      <c r="F642" t="s">
        <v>9724</v>
      </c>
      <c r="G642" t="s">
        <v>9725</v>
      </c>
      <c r="H642" t="s">
        <v>9726</v>
      </c>
      <c r="I642" t="s">
        <v>9727</v>
      </c>
      <c r="J642" t="s">
        <v>9728</v>
      </c>
      <c r="K642" t="s">
        <v>9729</v>
      </c>
      <c r="L642" t="s">
        <v>9730</v>
      </c>
    </row>
    <row r="643" spans="1:12" x14ac:dyDescent="0.35">
      <c r="A643" t="str">
        <f t="shared" si="10"/>
        <v>Contractual Obligations Due, Next 5 Yrs</v>
      </c>
      <c r="B643" t="s">
        <v>202</v>
      </c>
      <c r="C643" t="s">
        <v>9731</v>
      </c>
      <c r="D643" t="s">
        <v>9732</v>
      </c>
      <c r="E643" t="s">
        <v>9733</v>
      </c>
      <c r="F643" t="s">
        <v>9734</v>
      </c>
      <c r="G643" t="s">
        <v>9735</v>
      </c>
      <c r="H643" t="s">
        <v>9736</v>
      </c>
      <c r="I643" t="s">
        <v>9737</v>
      </c>
      <c r="J643" t="s">
        <v>9738</v>
      </c>
      <c r="K643" t="s">
        <v>9739</v>
      </c>
      <c r="L643" t="s">
        <v>9740</v>
      </c>
    </row>
    <row r="644" spans="1:12" x14ac:dyDescent="0.35">
      <c r="A644" t="str">
        <f t="shared" si="10"/>
        <v>Contractual Obligations Due, After 5 Yrs</v>
      </c>
      <c r="B644" t="s">
        <v>203</v>
      </c>
      <c r="C644" t="s">
        <v>9741</v>
      </c>
      <c r="D644" t="s">
        <v>9742</v>
      </c>
      <c r="E644" t="s">
        <v>9743</v>
      </c>
      <c r="F644" t="s">
        <v>9744</v>
      </c>
      <c r="G644" t="s">
        <v>9745</v>
      </c>
      <c r="H644" t="s">
        <v>9746</v>
      </c>
      <c r="I644" t="s">
        <v>9747</v>
      </c>
      <c r="J644" t="s">
        <v>9748</v>
      </c>
      <c r="K644" t="s">
        <v>9749</v>
      </c>
      <c r="L644" t="s">
        <v>9750</v>
      </c>
    </row>
    <row r="645" spans="1:12" x14ac:dyDescent="0.35">
      <c r="A645" t="str">
        <f t="shared" si="10"/>
        <v>Total Contractual Obligations</v>
      </c>
      <c r="B645" t="s">
        <v>204</v>
      </c>
      <c r="C645" t="s">
        <v>9751</v>
      </c>
      <c r="D645" t="s">
        <v>9752</v>
      </c>
      <c r="E645" t="s">
        <v>9753</v>
      </c>
      <c r="F645" t="s">
        <v>9754</v>
      </c>
      <c r="G645" t="s">
        <v>9755</v>
      </c>
      <c r="H645" t="s">
        <v>9756</v>
      </c>
      <c r="I645" t="s">
        <v>9757</v>
      </c>
      <c r="J645" t="s">
        <v>9758</v>
      </c>
      <c r="K645" t="s">
        <v>9759</v>
      </c>
      <c r="L645" t="s">
        <v>9760</v>
      </c>
    </row>
    <row r="646" spans="1:12" x14ac:dyDescent="0.35">
      <c r="A646" t="str">
        <f t="shared" si="10"/>
        <v>Interest Rate Data</v>
      </c>
      <c r="B646" t="s">
        <v>757</v>
      </c>
      <c r="C646" t="s">
        <v>9761</v>
      </c>
      <c r="D646" t="s">
        <v>9762</v>
      </c>
      <c r="E646" t="s">
        <v>9763</v>
      </c>
      <c r="F646" t="s">
        <v>9764</v>
      </c>
      <c r="G646" t="s">
        <v>9765</v>
      </c>
      <c r="H646" t="s">
        <v>9766</v>
      </c>
      <c r="I646" t="s">
        <v>9767</v>
      </c>
      <c r="J646" t="s">
        <v>9768</v>
      </c>
      <c r="K646" t="s">
        <v>9769</v>
      </c>
      <c r="L646" t="s">
        <v>9770</v>
      </c>
    </row>
    <row r="647" spans="1:12" x14ac:dyDescent="0.35">
      <c r="A647" t="str">
        <f t="shared" si="10"/>
        <v>W/Avg. Interest Rate - Long-term Debt</v>
      </c>
      <c r="B647" t="s">
        <v>205</v>
      </c>
      <c r="C647" t="s">
        <v>9771</v>
      </c>
      <c r="D647" t="s">
        <v>9772</v>
      </c>
      <c r="E647" t="s">
        <v>9773</v>
      </c>
      <c r="F647" t="s">
        <v>9774</v>
      </c>
      <c r="G647" t="s">
        <v>9775</v>
      </c>
      <c r="H647" t="s">
        <v>9776</v>
      </c>
      <c r="I647" t="s">
        <v>9777</v>
      </c>
      <c r="J647" t="s">
        <v>9778</v>
      </c>
      <c r="K647" t="s">
        <v>9779</v>
      </c>
      <c r="L647" t="s">
        <v>9780</v>
      </c>
    </row>
    <row r="648" spans="1:12" x14ac:dyDescent="0.35">
      <c r="A648" t="str">
        <f t="shared" si="10"/>
        <v>W/Avg. Interest Rate - Total Debt</v>
      </c>
      <c r="B648" t="s">
        <v>206</v>
      </c>
      <c r="C648" t="s">
        <v>9781</v>
      </c>
      <c r="D648" t="s">
        <v>9782</v>
      </c>
      <c r="E648" t="s">
        <v>9783</v>
      </c>
      <c r="F648" t="s">
        <v>9784</v>
      </c>
      <c r="G648" t="s">
        <v>9785</v>
      </c>
      <c r="H648" t="s">
        <v>9786</v>
      </c>
      <c r="I648" t="s">
        <v>9787</v>
      </c>
      <c r="J648" t="s">
        <v>9788</v>
      </c>
      <c r="K648" t="s">
        <v>9789</v>
      </c>
      <c r="L648" t="s">
        <v>9790</v>
      </c>
    </row>
    <row r="649" spans="1:12" x14ac:dyDescent="0.35">
      <c r="A649" t="str">
        <f t="shared" si="10"/>
        <v>Avg. Interest Rate + 1</v>
      </c>
      <c r="B649" t="s">
        <v>207</v>
      </c>
      <c r="C649" t="s">
        <v>9791</v>
      </c>
      <c r="D649" t="s">
        <v>9791</v>
      </c>
      <c r="E649" t="s">
        <v>9792</v>
      </c>
      <c r="F649" t="s">
        <v>9793</v>
      </c>
      <c r="G649" t="s">
        <v>9794</v>
      </c>
      <c r="H649" t="s">
        <v>9795</v>
      </c>
      <c r="I649" t="s">
        <v>9796</v>
      </c>
      <c r="J649" t="s">
        <v>9797</v>
      </c>
      <c r="K649" t="s">
        <v>9798</v>
      </c>
      <c r="L649" t="s">
        <v>9799</v>
      </c>
    </row>
    <row r="650" spans="1:12" x14ac:dyDescent="0.35">
      <c r="A650" t="str">
        <f t="shared" si="10"/>
        <v>Avg. Interest Rate + 2</v>
      </c>
      <c r="B650" t="s">
        <v>208</v>
      </c>
      <c r="C650" t="s">
        <v>9800</v>
      </c>
      <c r="D650" t="s">
        <v>9800</v>
      </c>
      <c r="E650" t="s">
        <v>9801</v>
      </c>
      <c r="F650" t="s">
        <v>9802</v>
      </c>
      <c r="G650" t="s">
        <v>9803</v>
      </c>
      <c r="H650" t="s">
        <v>9804</v>
      </c>
      <c r="I650" t="s">
        <v>9805</v>
      </c>
      <c r="J650" t="s">
        <v>9806</v>
      </c>
      <c r="K650" t="s">
        <v>9807</v>
      </c>
      <c r="L650" t="s">
        <v>9808</v>
      </c>
    </row>
    <row r="651" spans="1:12" x14ac:dyDescent="0.35">
      <c r="A651" t="str">
        <f t="shared" si="10"/>
        <v>Avg. Interest Rate + 3</v>
      </c>
      <c r="B651" t="s">
        <v>209</v>
      </c>
      <c r="C651" t="s">
        <v>9809</v>
      </c>
      <c r="D651" t="s">
        <v>9809</v>
      </c>
      <c r="E651" t="s">
        <v>9810</v>
      </c>
      <c r="F651" t="s">
        <v>9811</v>
      </c>
      <c r="G651" t="s">
        <v>9812</v>
      </c>
      <c r="H651" t="s">
        <v>9813</v>
      </c>
      <c r="I651" t="s">
        <v>9814</v>
      </c>
      <c r="J651" t="s">
        <v>9815</v>
      </c>
      <c r="K651" t="s">
        <v>9816</v>
      </c>
      <c r="L651" t="s">
        <v>9817</v>
      </c>
    </row>
    <row r="652" spans="1:12" x14ac:dyDescent="0.35">
      <c r="A652" t="str">
        <f t="shared" si="10"/>
        <v>Avg. Interest Rate + 4</v>
      </c>
      <c r="B652" t="s">
        <v>210</v>
      </c>
      <c r="C652" t="s">
        <v>9818</v>
      </c>
      <c r="D652" t="s">
        <v>9818</v>
      </c>
      <c r="E652" t="s">
        <v>9819</v>
      </c>
      <c r="F652" t="s">
        <v>9820</v>
      </c>
      <c r="G652" t="s">
        <v>9821</v>
      </c>
      <c r="H652" t="s">
        <v>9822</v>
      </c>
      <c r="I652" t="s">
        <v>9823</v>
      </c>
      <c r="J652" t="s">
        <v>9824</v>
      </c>
      <c r="K652" t="s">
        <v>9825</v>
      </c>
      <c r="L652" t="s">
        <v>9826</v>
      </c>
    </row>
    <row r="653" spans="1:12" x14ac:dyDescent="0.35">
      <c r="A653" t="str">
        <f t="shared" si="10"/>
        <v>Avg. Interest Rate + 5</v>
      </c>
      <c r="B653" t="s">
        <v>211</v>
      </c>
      <c r="C653" t="s">
        <v>9827</v>
      </c>
      <c r="D653" t="s">
        <v>9827</v>
      </c>
      <c r="E653" t="s">
        <v>9828</v>
      </c>
      <c r="F653" t="s">
        <v>9829</v>
      </c>
      <c r="G653" t="s">
        <v>9830</v>
      </c>
      <c r="H653" t="s">
        <v>9831</v>
      </c>
      <c r="I653" t="s">
        <v>9832</v>
      </c>
      <c r="J653" t="s">
        <v>9833</v>
      </c>
      <c r="K653" t="s">
        <v>9834</v>
      </c>
      <c r="L653" t="s">
        <v>9835</v>
      </c>
    </row>
    <row r="654" spans="1:12" x14ac:dyDescent="0.35">
      <c r="A654" t="str">
        <f t="shared" si="10"/>
        <v>Avg. Interest Rate, After 5 Yrs</v>
      </c>
      <c r="B654" t="s">
        <v>212</v>
      </c>
      <c r="C654" t="s">
        <v>9836</v>
      </c>
      <c r="D654" t="s">
        <v>9837</v>
      </c>
      <c r="E654" t="s">
        <v>9838</v>
      </c>
      <c r="F654" t="s">
        <v>9839</v>
      </c>
      <c r="G654" t="s">
        <v>9840</v>
      </c>
      <c r="H654" t="s">
        <v>9841</v>
      </c>
      <c r="I654" t="s">
        <v>9842</v>
      </c>
      <c r="J654" t="s">
        <v>9843</v>
      </c>
      <c r="K654" t="s">
        <v>9844</v>
      </c>
      <c r="L654" t="s">
        <v>9845</v>
      </c>
    </row>
    <row r="655" spans="1:12" x14ac:dyDescent="0.35">
      <c r="A655" t="str">
        <f t="shared" si="10"/>
        <v>Yes</v>
      </c>
      <c r="B655" t="s">
        <v>893</v>
      </c>
      <c r="C655" t="s">
        <v>5425</v>
      </c>
      <c r="D655" t="s">
        <v>5425</v>
      </c>
      <c r="E655" t="s">
        <v>5426</v>
      </c>
      <c r="F655" t="s">
        <v>5427</v>
      </c>
      <c r="G655" t="s">
        <v>5428</v>
      </c>
      <c r="H655" t="s">
        <v>5429</v>
      </c>
      <c r="I655" t="s">
        <v>5430</v>
      </c>
      <c r="J655" t="s">
        <v>5431</v>
      </c>
      <c r="K655" t="s">
        <v>5432</v>
      </c>
      <c r="L655" t="s">
        <v>10856</v>
      </c>
    </row>
    <row r="656" spans="1:12" x14ac:dyDescent="0.35">
      <c r="A656" t="str">
        <f t="shared" si="10"/>
        <v>No</v>
      </c>
      <c r="B656" t="s">
        <v>894</v>
      </c>
      <c r="C656" t="s">
        <v>5433</v>
      </c>
      <c r="D656" t="s">
        <v>5433</v>
      </c>
      <c r="E656" t="s">
        <v>5434</v>
      </c>
      <c r="F656" t="s">
        <v>5435</v>
      </c>
      <c r="G656" t="s">
        <v>894</v>
      </c>
      <c r="H656" t="s">
        <v>5436</v>
      </c>
      <c r="I656" t="s">
        <v>5437</v>
      </c>
      <c r="J656" t="s">
        <v>894</v>
      </c>
      <c r="K656" t="s">
        <v>5438</v>
      </c>
      <c r="L656" t="s">
        <v>10857</v>
      </c>
    </row>
    <row r="657" spans="1:12" x14ac:dyDescent="0.35">
      <c r="A657" t="str">
        <f t="shared" si="10"/>
        <v>Convertible</v>
      </c>
      <c r="B657" t="s">
        <v>895</v>
      </c>
      <c r="C657" t="s">
        <v>9846</v>
      </c>
      <c r="D657" t="s">
        <v>9847</v>
      </c>
      <c r="E657" t="s">
        <v>895</v>
      </c>
      <c r="F657" t="s">
        <v>9848</v>
      </c>
      <c r="G657" t="s">
        <v>9849</v>
      </c>
      <c r="H657" t="s">
        <v>9850</v>
      </c>
      <c r="I657" t="s">
        <v>9851</v>
      </c>
      <c r="J657" t="s">
        <v>895</v>
      </c>
      <c r="K657" t="s">
        <v>9852</v>
      </c>
      <c r="L657" t="s">
        <v>9853</v>
      </c>
    </row>
    <row r="658" spans="1:12" x14ac:dyDescent="0.35">
      <c r="A658" t="str">
        <f t="shared" si="10"/>
        <v>Repayment</v>
      </c>
      <c r="B658" t="s">
        <v>890</v>
      </c>
      <c r="C658" t="s">
        <v>9854</v>
      </c>
      <c r="D658" t="s">
        <v>9855</v>
      </c>
      <c r="E658" t="s">
        <v>9856</v>
      </c>
      <c r="F658" t="s">
        <v>9857</v>
      </c>
      <c r="G658" t="s">
        <v>9858</v>
      </c>
      <c r="H658" t="s">
        <v>9859</v>
      </c>
      <c r="I658" t="s">
        <v>9860</v>
      </c>
      <c r="J658" t="s">
        <v>9861</v>
      </c>
      <c r="K658" t="s">
        <v>9862</v>
      </c>
      <c r="L658" t="s">
        <v>9861</v>
      </c>
    </row>
    <row r="659" spans="1:12" x14ac:dyDescent="0.35">
      <c r="A659" t="str">
        <f t="shared" si="10"/>
        <v>Description</v>
      </c>
      <c r="B659" t="s">
        <v>884</v>
      </c>
      <c r="C659" t="s">
        <v>10735</v>
      </c>
      <c r="D659" t="s">
        <v>10735</v>
      </c>
      <c r="E659" t="s">
        <v>10736</v>
      </c>
      <c r="F659" t="s">
        <v>10737</v>
      </c>
      <c r="G659" t="s">
        <v>10738</v>
      </c>
      <c r="H659" t="s">
        <v>10739</v>
      </c>
      <c r="I659" t="s">
        <v>10740</v>
      </c>
      <c r="J659" t="s">
        <v>10741</v>
      </c>
      <c r="K659" t="s">
        <v>10742</v>
      </c>
      <c r="L659" t="s">
        <v>10858</v>
      </c>
    </row>
    <row r="660" spans="1:12" x14ac:dyDescent="0.35">
      <c r="A660" t="str">
        <f t="shared" si="10"/>
        <v>Type</v>
      </c>
      <c r="B660" t="s">
        <v>885</v>
      </c>
      <c r="C660" t="s">
        <v>5439</v>
      </c>
      <c r="D660" t="s">
        <v>5440</v>
      </c>
      <c r="E660" t="s">
        <v>885</v>
      </c>
      <c r="F660" t="s">
        <v>5441</v>
      </c>
      <c r="G660" t="s">
        <v>5442</v>
      </c>
      <c r="H660" t="s">
        <v>5443</v>
      </c>
      <c r="I660" t="s">
        <v>5444</v>
      </c>
      <c r="J660" t="s">
        <v>5445</v>
      </c>
      <c r="K660" t="s">
        <v>5446</v>
      </c>
      <c r="L660" t="s">
        <v>5445</v>
      </c>
    </row>
    <row r="661" spans="1:12" x14ac:dyDescent="0.35">
      <c r="A661" t="str">
        <f t="shared" si="10"/>
        <v>Principal Due</v>
      </c>
      <c r="B661" t="s">
        <v>886</v>
      </c>
      <c r="C661" t="s">
        <v>9863</v>
      </c>
      <c r="D661" t="s">
        <v>9863</v>
      </c>
      <c r="E661" t="s">
        <v>9864</v>
      </c>
      <c r="F661" t="s">
        <v>9865</v>
      </c>
      <c r="G661" t="s">
        <v>9866</v>
      </c>
      <c r="H661" t="s">
        <v>9867</v>
      </c>
      <c r="I661" t="s">
        <v>9868</v>
      </c>
      <c r="J661" t="s">
        <v>9869</v>
      </c>
      <c r="K661" t="s">
        <v>9870</v>
      </c>
      <c r="L661" t="s">
        <v>9871</v>
      </c>
    </row>
    <row r="662" spans="1:12" x14ac:dyDescent="0.35">
      <c r="A662" t="str">
        <f t="shared" si="10"/>
        <v>Coupon/Base Rate</v>
      </c>
      <c r="B662" t="s">
        <v>887</v>
      </c>
      <c r="C662" t="s">
        <v>9872</v>
      </c>
      <c r="D662" t="s">
        <v>9872</v>
      </c>
      <c r="E662" t="s">
        <v>9873</v>
      </c>
      <c r="F662" t="s">
        <v>9874</v>
      </c>
      <c r="G662" t="s">
        <v>9875</v>
      </c>
      <c r="H662" t="s">
        <v>9876</v>
      </c>
      <c r="I662" t="s">
        <v>9877</v>
      </c>
      <c r="J662" t="s">
        <v>9878</v>
      </c>
      <c r="K662" t="s">
        <v>9879</v>
      </c>
      <c r="L662" t="s">
        <v>9880</v>
      </c>
    </row>
    <row r="663" spans="1:12" x14ac:dyDescent="0.35">
      <c r="A663" t="str">
        <f t="shared" si="10"/>
        <v>Floating Rate</v>
      </c>
      <c r="B663" t="s">
        <v>896</v>
      </c>
      <c r="C663" t="s">
        <v>9881</v>
      </c>
      <c r="D663" t="s">
        <v>9882</v>
      </c>
      <c r="E663" t="s">
        <v>9883</v>
      </c>
      <c r="F663" t="s">
        <v>9884</v>
      </c>
      <c r="G663" t="s">
        <v>9885</v>
      </c>
      <c r="H663" t="s">
        <v>9886</v>
      </c>
      <c r="I663" t="s">
        <v>9887</v>
      </c>
      <c r="J663" t="s">
        <v>9888</v>
      </c>
      <c r="K663" t="s">
        <v>9889</v>
      </c>
      <c r="L663" t="s">
        <v>9890</v>
      </c>
    </row>
    <row r="664" spans="1:12" x14ac:dyDescent="0.35">
      <c r="A664" t="str">
        <f t="shared" si="10"/>
        <v>Coupon Type</v>
      </c>
      <c r="B664" t="s">
        <v>892</v>
      </c>
      <c r="C664" t="s">
        <v>9891</v>
      </c>
      <c r="D664" t="s">
        <v>9892</v>
      </c>
      <c r="E664" t="s">
        <v>9893</v>
      </c>
      <c r="F664" t="s">
        <v>9894</v>
      </c>
      <c r="G664" t="s">
        <v>9895</v>
      </c>
      <c r="H664" t="s">
        <v>9896</v>
      </c>
      <c r="I664" t="s">
        <v>9897</v>
      </c>
      <c r="J664" t="s">
        <v>9898</v>
      </c>
      <c r="K664" t="s">
        <v>9899</v>
      </c>
      <c r="L664" t="s">
        <v>9900</v>
      </c>
    </row>
    <row r="665" spans="1:12" x14ac:dyDescent="0.35">
      <c r="A665" t="str">
        <f t="shared" si="10"/>
        <v>Maturity</v>
      </c>
      <c r="B665" t="s">
        <v>888</v>
      </c>
      <c r="C665" t="s">
        <v>9901</v>
      </c>
      <c r="D665" t="s">
        <v>9901</v>
      </c>
      <c r="E665" t="s">
        <v>9902</v>
      </c>
      <c r="F665" t="s">
        <v>9903</v>
      </c>
      <c r="G665" t="s">
        <v>9904</v>
      </c>
      <c r="H665" t="s">
        <v>9905</v>
      </c>
      <c r="I665" t="s">
        <v>9906</v>
      </c>
      <c r="J665" t="s">
        <v>9907</v>
      </c>
      <c r="K665" t="s">
        <v>9908</v>
      </c>
      <c r="L665" t="s">
        <v>9909</v>
      </c>
    </row>
    <row r="666" spans="1:12" x14ac:dyDescent="0.35">
      <c r="A666" t="str">
        <f t="shared" si="10"/>
        <v>Seniority</v>
      </c>
      <c r="B666" t="s">
        <v>889</v>
      </c>
      <c r="C666" t="s">
        <v>5447</v>
      </c>
      <c r="D666" t="s">
        <v>5448</v>
      </c>
      <c r="E666" t="s">
        <v>5449</v>
      </c>
      <c r="F666" t="s">
        <v>5450</v>
      </c>
      <c r="G666" t="s">
        <v>5451</v>
      </c>
      <c r="H666" t="s">
        <v>5452</v>
      </c>
      <c r="I666" t="s">
        <v>5453</v>
      </c>
      <c r="J666" t="s">
        <v>5454</v>
      </c>
      <c r="K666" t="s">
        <v>5455</v>
      </c>
      <c r="L666" t="s">
        <v>10934</v>
      </c>
    </row>
    <row r="667" spans="1:12" x14ac:dyDescent="0.35">
      <c r="A667" t="str">
        <f t="shared" si="10"/>
        <v>Secured</v>
      </c>
      <c r="B667" t="s">
        <v>897</v>
      </c>
      <c r="C667" t="s">
        <v>9910</v>
      </c>
      <c r="D667" t="s">
        <v>9911</v>
      </c>
      <c r="E667" t="s">
        <v>9912</v>
      </c>
      <c r="F667" t="s">
        <v>9913</v>
      </c>
      <c r="G667" t="s">
        <v>9914</v>
      </c>
      <c r="H667" t="s">
        <v>9915</v>
      </c>
      <c r="I667" t="s">
        <v>9916</v>
      </c>
      <c r="J667" t="s">
        <v>9917</v>
      </c>
      <c r="K667" t="s">
        <v>9918</v>
      </c>
      <c r="L667" t="s">
        <v>9919</v>
      </c>
    </row>
    <row r="668" spans="1:12" x14ac:dyDescent="0.35">
      <c r="A668" t="str">
        <f t="shared" si="10"/>
        <v>Profitability</v>
      </c>
      <c r="B668" t="s">
        <v>415</v>
      </c>
      <c r="C668" t="s">
        <v>5456</v>
      </c>
      <c r="D668" t="s">
        <v>5457</v>
      </c>
      <c r="E668" t="s">
        <v>5458</v>
      </c>
      <c r="F668" t="s">
        <v>5459</v>
      </c>
      <c r="G668" t="s">
        <v>5460</v>
      </c>
      <c r="H668" t="s">
        <v>5461</v>
      </c>
      <c r="I668" t="s">
        <v>5462</v>
      </c>
      <c r="J668" t="s">
        <v>5463</v>
      </c>
      <c r="K668" t="s">
        <v>5464</v>
      </c>
      <c r="L668" t="s">
        <v>8535</v>
      </c>
    </row>
    <row r="669" spans="1:12" x14ac:dyDescent="0.35">
      <c r="A669" t="str">
        <f t="shared" si="10"/>
        <v>Return on Assets %</v>
      </c>
      <c r="B669" t="s">
        <v>314</v>
      </c>
      <c r="C669" t="s">
        <v>5465</v>
      </c>
      <c r="D669" t="s">
        <v>5466</v>
      </c>
      <c r="E669" t="s">
        <v>5467</v>
      </c>
      <c r="F669" t="s">
        <v>5468</v>
      </c>
      <c r="G669" t="s">
        <v>5469</v>
      </c>
      <c r="H669" t="s">
        <v>5470</v>
      </c>
      <c r="I669" t="s">
        <v>5471</v>
      </c>
      <c r="J669" t="s">
        <v>5472</v>
      </c>
      <c r="K669" t="s">
        <v>5473</v>
      </c>
      <c r="L669" s="19" t="s">
        <v>10896</v>
      </c>
    </row>
    <row r="670" spans="1:12" x14ac:dyDescent="0.35">
      <c r="A670" t="str">
        <f t="shared" si="10"/>
        <v>Return on Capital %</v>
      </c>
      <c r="B670" t="s">
        <v>315</v>
      </c>
      <c r="C670" t="s">
        <v>5474</v>
      </c>
      <c r="D670" t="s">
        <v>5475</v>
      </c>
      <c r="E670" t="s">
        <v>5476</v>
      </c>
      <c r="F670" t="s">
        <v>5477</v>
      </c>
      <c r="G670" t="s">
        <v>5478</v>
      </c>
      <c r="H670" t="s">
        <v>5479</v>
      </c>
      <c r="I670" t="s">
        <v>5480</v>
      </c>
      <c r="J670" t="s">
        <v>5481</v>
      </c>
      <c r="K670" t="s">
        <v>5482</v>
      </c>
      <c r="L670" s="19" t="s">
        <v>10897</v>
      </c>
    </row>
    <row r="671" spans="1:12" x14ac:dyDescent="0.35">
      <c r="A671" t="str">
        <f t="shared" si="10"/>
        <v>Return on Equity %</v>
      </c>
      <c r="B671" t="s">
        <v>316</v>
      </c>
      <c r="C671" t="s">
        <v>5483</v>
      </c>
      <c r="D671" t="s">
        <v>5484</v>
      </c>
      <c r="E671" t="s">
        <v>5485</v>
      </c>
      <c r="F671" t="s">
        <v>5486</v>
      </c>
      <c r="G671" t="s">
        <v>5487</v>
      </c>
      <c r="H671" t="s">
        <v>5488</v>
      </c>
      <c r="I671" t="s">
        <v>5489</v>
      </c>
      <c r="J671" t="s">
        <v>5490</v>
      </c>
      <c r="K671" t="s">
        <v>5491</v>
      </c>
      <c r="L671" s="19" t="s">
        <v>10898</v>
      </c>
    </row>
    <row r="672" spans="1:12" x14ac:dyDescent="0.35">
      <c r="A672" t="str">
        <f t="shared" si="10"/>
        <v>Return on Common Equity %</v>
      </c>
      <c r="B672" t="s">
        <v>317</v>
      </c>
      <c r="C672" t="s">
        <v>5492</v>
      </c>
      <c r="D672" t="s">
        <v>5493</v>
      </c>
      <c r="E672" t="s">
        <v>5494</v>
      </c>
      <c r="F672" t="s">
        <v>5495</v>
      </c>
      <c r="G672" t="s">
        <v>5496</v>
      </c>
      <c r="H672" t="s">
        <v>5497</v>
      </c>
      <c r="I672" t="s">
        <v>5489</v>
      </c>
      <c r="J672" t="s">
        <v>5498</v>
      </c>
      <c r="K672" t="s">
        <v>5499</v>
      </c>
      <c r="L672" s="19" t="s">
        <v>10899</v>
      </c>
    </row>
    <row r="673" spans="1:12" x14ac:dyDescent="0.35">
      <c r="A673" t="str">
        <f t="shared" si="10"/>
        <v>Margin Analysis</v>
      </c>
      <c r="B673" t="s">
        <v>416</v>
      </c>
      <c r="C673" t="s">
        <v>5500</v>
      </c>
      <c r="D673" t="s">
        <v>5501</v>
      </c>
      <c r="E673" t="s">
        <v>5502</v>
      </c>
      <c r="F673" t="s">
        <v>5503</v>
      </c>
      <c r="G673" t="s">
        <v>5504</v>
      </c>
      <c r="H673" t="s">
        <v>5505</v>
      </c>
      <c r="I673" t="s">
        <v>5506</v>
      </c>
      <c r="J673" t="s">
        <v>5507</v>
      </c>
      <c r="K673" t="s">
        <v>5508</v>
      </c>
      <c r="L673" t="s">
        <v>8536</v>
      </c>
    </row>
    <row r="674" spans="1:12" x14ac:dyDescent="0.35">
      <c r="A674" t="str">
        <f t="shared" si="10"/>
        <v>Gross Margin %</v>
      </c>
      <c r="B674" t="s">
        <v>319</v>
      </c>
      <c r="C674" t="s">
        <v>5509</v>
      </c>
      <c r="D674" t="s">
        <v>5509</v>
      </c>
      <c r="E674" t="s">
        <v>5510</v>
      </c>
      <c r="F674" t="s">
        <v>5511</v>
      </c>
      <c r="G674" t="s">
        <v>5512</v>
      </c>
      <c r="H674" t="s">
        <v>5513</v>
      </c>
      <c r="I674" t="s">
        <v>5514</v>
      </c>
      <c r="J674" t="s">
        <v>5515</v>
      </c>
      <c r="K674" t="s">
        <v>5516</v>
      </c>
      <c r="L674" t="s">
        <v>10900</v>
      </c>
    </row>
    <row r="675" spans="1:12" x14ac:dyDescent="0.35">
      <c r="A675" t="str">
        <f t="shared" si="10"/>
        <v>SG&amp;A Margin %</v>
      </c>
      <c r="B675" t="s">
        <v>320</v>
      </c>
      <c r="C675" t="s">
        <v>5517</v>
      </c>
      <c r="D675" t="s">
        <v>5518</v>
      </c>
      <c r="E675" t="s">
        <v>5519</v>
      </c>
      <c r="F675" t="s">
        <v>5520</v>
      </c>
      <c r="G675" t="s">
        <v>5521</v>
      </c>
      <c r="H675" t="s">
        <v>5522</v>
      </c>
      <c r="I675" t="s">
        <v>5523</v>
      </c>
      <c r="J675" t="s">
        <v>5524</v>
      </c>
      <c r="K675" t="s">
        <v>5525</v>
      </c>
      <c r="L675" t="s">
        <v>10859</v>
      </c>
    </row>
    <row r="676" spans="1:12" x14ac:dyDescent="0.35">
      <c r="A676" t="str">
        <f t="shared" si="10"/>
        <v>EBITDA Margin %</v>
      </c>
      <c r="B676" t="s">
        <v>321</v>
      </c>
      <c r="C676" t="s">
        <v>5526</v>
      </c>
      <c r="D676" t="s">
        <v>5527</v>
      </c>
      <c r="E676" t="s">
        <v>5528</v>
      </c>
      <c r="F676" t="s">
        <v>5529</v>
      </c>
      <c r="G676" t="s">
        <v>5530</v>
      </c>
      <c r="H676" t="s">
        <v>5531</v>
      </c>
      <c r="I676" t="s">
        <v>5532</v>
      </c>
      <c r="J676" t="s">
        <v>5533</v>
      </c>
      <c r="K676" t="s">
        <v>5534</v>
      </c>
      <c r="L676" t="s">
        <v>10901</v>
      </c>
    </row>
    <row r="677" spans="1:12" x14ac:dyDescent="0.35">
      <c r="A677" t="str">
        <f t="shared" si="10"/>
        <v>EBITA Margin %</v>
      </c>
      <c r="B677" t="s">
        <v>322</v>
      </c>
      <c r="C677" t="s">
        <v>5535</v>
      </c>
      <c r="D677" t="s">
        <v>5536</v>
      </c>
      <c r="E677" t="s">
        <v>5537</v>
      </c>
      <c r="F677" t="s">
        <v>5538</v>
      </c>
      <c r="G677" t="s">
        <v>5539</v>
      </c>
      <c r="H677" t="s">
        <v>5540</v>
      </c>
      <c r="I677" t="s">
        <v>5541</v>
      </c>
      <c r="J677" t="s">
        <v>5542</v>
      </c>
      <c r="K677" s="19" t="s">
        <v>10912</v>
      </c>
      <c r="L677" t="s">
        <v>10860</v>
      </c>
    </row>
    <row r="678" spans="1:12" x14ac:dyDescent="0.35">
      <c r="A678" t="str">
        <f t="shared" si="10"/>
        <v>EBIT Margin %</v>
      </c>
      <c r="B678" t="s">
        <v>323</v>
      </c>
      <c r="C678" t="s">
        <v>5543</v>
      </c>
      <c r="D678" t="s">
        <v>5544</v>
      </c>
      <c r="E678" t="s">
        <v>5545</v>
      </c>
      <c r="F678" t="s">
        <v>5546</v>
      </c>
      <c r="G678" t="s">
        <v>5547</v>
      </c>
      <c r="H678" t="s">
        <v>5548</v>
      </c>
      <c r="I678" t="s">
        <v>5549</v>
      </c>
      <c r="J678" t="s">
        <v>5550</v>
      </c>
      <c r="K678" s="19" t="s">
        <v>10911</v>
      </c>
      <c r="L678" t="s">
        <v>10902</v>
      </c>
    </row>
    <row r="679" spans="1:12" x14ac:dyDescent="0.35">
      <c r="A679" t="str">
        <f t="shared" si="10"/>
        <v>Earnings from Cont. Ops Margin %</v>
      </c>
      <c r="B679" t="s">
        <v>324</v>
      </c>
      <c r="C679" t="s">
        <v>5551</v>
      </c>
      <c r="D679" t="s">
        <v>5552</v>
      </c>
      <c r="E679" t="s">
        <v>5553</v>
      </c>
      <c r="F679" t="s">
        <v>5554</v>
      </c>
      <c r="G679" t="s">
        <v>5555</v>
      </c>
      <c r="H679" t="s">
        <v>5556</v>
      </c>
      <c r="I679" t="s">
        <v>5557</v>
      </c>
      <c r="J679" t="s">
        <v>5558</v>
      </c>
      <c r="K679" t="s">
        <v>5559</v>
      </c>
      <c r="L679" t="s">
        <v>10861</v>
      </c>
    </row>
    <row r="680" spans="1:12" x14ac:dyDescent="0.35">
      <c r="A680" t="str">
        <f t="shared" si="10"/>
        <v>Net Income Margin %</v>
      </c>
      <c r="B680" t="s">
        <v>325</v>
      </c>
      <c r="C680" t="s">
        <v>5560</v>
      </c>
      <c r="D680" t="s">
        <v>5561</v>
      </c>
      <c r="E680" t="s">
        <v>5562</v>
      </c>
      <c r="F680" t="s">
        <v>5563</v>
      </c>
      <c r="G680" t="s">
        <v>5564</v>
      </c>
      <c r="H680" t="s">
        <v>5565</v>
      </c>
      <c r="I680" t="s">
        <v>5566</v>
      </c>
      <c r="J680" t="s">
        <v>5567</v>
      </c>
      <c r="K680" t="s">
        <v>5568</v>
      </c>
      <c r="L680" t="s">
        <v>10903</v>
      </c>
    </row>
    <row r="681" spans="1:12" x14ac:dyDescent="0.35">
      <c r="A681" t="str">
        <f t="shared" si="10"/>
        <v>Net Income Avail. for Common Margin %</v>
      </c>
      <c r="B681" t="s">
        <v>326</v>
      </c>
      <c r="C681" t="s">
        <v>5569</v>
      </c>
      <c r="D681" t="s">
        <v>5570</v>
      </c>
      <c r="E681" t="s">
        <v>5571</v>
      </c>
      <c r="F681" t="s">
        <v>5572</v>
      </c>
      <c r="G681" t="s">
        <v>5573</v>
      </c>
      <c r="H681" t="s">
        <v>5574</v>
      </c>
      <c r="I681" t="s">
        <v>5575</v>
      </c>
      <c r="J681" t="s">
        <v>5576</v>
      </c>
      <c r="K681" t="s">
        <v>5577</v>
      </c>
      <c r="L681" t="s">
        <v>10862</v>
      </c>
    </row>
    <row r="682" spans="1:12" x14ac:dyDescent="0.35">
      <c r="A682" t="str">
        <f t="shared" si="10"/>
        <v>Normalized Net Income Margin %</v>
      </c>
      <c r="B682" t="s">
        <v>327</v>
      </c>
      <c r="C682" t="s">
        <v>5578</v>
      </c>
      <c r="D682" t="s">
        <v>5579</v>
      </c>
      <c r="E682" t="s">
        <v>5580</v>
      </c>
      <c r="F682" t="s">
        <v>5581</v>
      </c>
      <c r="G682" t="s">
        <v>5582</v>
      </c>
      <c r="H682" t="s">
        <v>5583</v>
      </c>
      <c r="I682" t="s">
        <v>5584</v>
      </c>
      <c r="J682" t="s">
        <v>5585</v>
      </c>
      <c r="K682" t="s">
        <v>5586</v>
      </c>
      <c r="L682" t="s">
        <v>10863</v>
      </c>
    </row>
    <row r="683" spans="1:12" x14ac:dyDescent="0.35">
      <c r="A683" t="str">
        <f t="shared" si="10"/>
        <v>Levered Free Cash Flow Margin %</v>
      </c>
      <c r="B683" t="s">
        <v>328</v>
      </c>
      <c r="C683" t="s">
        <v>5587</v>
      </c>
      <c r="D683" t="s">
        <v>5588</v>
      </c>
      <c r="E683" t="s">
        <v>5589</v>
      </c>
      <c r="F683" t="s">
        <v>5590</v>
      </c>
      <c r="G683" t="s">
        <v>5591</v>
      </c>
      <c r="H683" t="s">
        <v>5592</v>
      </c>
      <c r="I683" t="s">
        <v>5593</v>
      </c>
      <c r="J683" t="s">
        <v>5594</v>
      </c>
      <c r="K683" t="s">
        <v>5595</v>
      </c>
      <c r="L683" t="s">
        <v>10864</v>
      </c>
    </row>
    <row r="684" spans="1:12" x14ac:dyDescent="0.35">
      <c r="A684" t="str">
        <f t="shared" ref="A684:A746" si="11">INDEX($B684:$CW684,,$A$5)</f>
        <v>Unlevered Free Cash Flow Margin %</v>
      </c>
      <c r="B684" t="s">
        <v>329</v>
      </c>
      <c r="C684" t="s">
        <v>5596</v>
      </c>
      <c r="D684" t="s">
        <v>5597</v>
      </c>
      <c r="E684" t="s">
        <v>5598</v>
      </c>
      <c r="F684" t="s">
        <v>5599</v>
      </c>
      <c r="G684" t="s">
        <v>5600</v>
      </c>
      <c r="H684" t="s">
        <v>5601</v>
      </c>
      <c r="I684" t="s">
        <v>5602</v>
      </c>
      <c r="J684" t="s">
        <v>5603</v>
      </c>
      <c r="K684" t="s">
        <v>5604</v>
      </c>
      <c r="L684" t="s">
        <v>10865</v>
      </c>
    </row>
    <row r="685" spans="1:12" x14ac:dyDescent="0.35">
      <c r="A685" t="str">
        <f t="shared" si="11"/>
        <v>Capex as % of Revenues</v>
      </c>
      <c r="B685" t="s">
        <v>330</v>
      </c>
      <c r="C685" t="s">
        <v>5605</v>
      </c>
      <c r="D685" t="s">
        <v>5606</v>
      </c>
      <c r="E685" t="s">
        <v>5607</v>
      </c>
      <c r="F685" t="s">
        <v>5608</v>
      </c>
      <c r="G685" t="s">
        <v>5609</v>
      </c>
      <c r="H685" t="s">
        <v>5610</v>
      </c>
      <c r="I685" t="s">
        <v>5611</v>
      </c>
      <c r="J685" t="s">
        <v>5612</v>
      </c>
      <c r="K685" t="s">
        <v>5613</v>
      </c>
      <c r="L685" t="s">
        <v>8537</v>
      </c>
    </row>
    <row r="686" spans="1:12" x14ac:dyDescent="0.35">
      <c r="A686" t="str">
        <f t="shared" si="11"/>
        <v>Asset Turnover</v>
      </c>
      <c r="B686" t="s">
        <v>418</v>
      </c>
      <c r="C686" t="s">
        <v>5614</v>
      </c>
      <c r="D686" t="s">
        <v>5615</v>
      </c>
      <c r="E686" t="s">
        <v>5616</v>
      </c>
      <c r="F686" t="s">
        <v>5617</v>
      </c>
      <c r="G686" t="s">
        <v>5618</v>
      </c>
      <c r="H686" t="s">
        <v>5619</v>
      </c>
      <c r="I686" t="s">
        <v>5620</v>
      </c>
      <c r="J686" t="s">
        <v>5621</v>
      </c>
      <c r="K686" t="s">
        <v>5622</v>
      </c>
      <c r="L686" t="s">
        <v>8538</v>
      </c>
    </row>
    <row r="687" spans="1:12" x14ac:dyDescent="0.35">
      <c r="A687" t="str">
        <f t="shared" si="11"/>
        <v>Total Asset Turnover</v>
      </c>
      <c r="B687" t="s">
        <v>331</v>
      </c>
      <c r="C687" t="s">
        <v>5623</v>
      </c>
      <c r="D687" t="s">
        <v>5624</v>
      </c>
      <c r="E687" t="s">
        <v>5625</v>
      </c>
      <c r="F687" t="s">
        <v>5626</v>
      </c>
      <c r="G687" t="s">
        <v>5627</v>
      </c>
      <c r="H687" t="s">
        <v>5628</v>
      </c>
      <c r="I687" t="s">
        <v>5629</v>
      </c>
      <c r="J687" t="s">
        <v>5630</v>
      </c>
      <c r="K687" t="s">
        <v>5631</v>
      </c>
      <c r="L687" t="s">
        <v>8539</v>
      </c>
    </row>
    <row r="688" spans="1:12" x14ac:dyDescent="0.35">
      <c r="A688" t="str">
        <f t="shared" si="11"/>
        <v>Fixed Asset Turnover</v>
      </c>
      <c r="B688" t="s">
        <v>332</v>
      </c>
      <c r="C688" t="s">
        <v>5632</v>
      </c>
      <c r="D688" t="s">
        <v>5633</v>
      </c>
      <c r="E688" t="s">
        <v>5634</v>
      </c>
      <c r="F688" t="s">
        <v>5635</v>
      </c>
      <c r="G688" t="s">
        <v>5636</v>
      </c>
      <c r="H688" t="s">
        <v>5637</v>
      </c>
      <c r="I688" t="s">
        <v>5638</v>
      </c>
      <c r="J688" t="s">
        <v>5639</v>
      </c>
      <c r="K688" t="s">
        <v>5640</v>
      </c>
      <c r="L688" t="s">
        <v>8540</v>
      </c>
    </row>
    <row r="689" spans="1:12" x14ac:dyDescent="0.35">
      <c r="A689" t="str">
        <f t="shared" si="11"/>
        <v>Accounts Receivable Turnover</v>
      </c>
      <c r="B689" t="s">
        <v>333</v>
      </c>
      <c r="C689" t="s">
        <v>5641</v>
      </c>
      <c r="D689" t="s">
        <v>5642</v>
      </c>
      <c r="E689" t="s">
        <v>5643</v>
      </c>
      <c r="F689" t="s">
        <v>5644</v>
      </c>
      <c r="G689" t="s">
        <v>5645</v>
      </c>
      <c r="H689" t="s">
        <v>5646</v>
      </c>
      <c r="I689" t="s">
        <v>5647</v>
      </c>
      <c r="J689" t="s">
        <v>5648</v>
      </c>
      <c r="K689" t="s">
        <v>5649</v>
      </c>
      <c r="L689" t="s">
        <v>8541</v>
      </c>
    </row>
    <row r="690" spans="1:12" x14ac:dyDescent="0.35">
      <c r="A690" t="str">
        <f t="shared" si="11"/>
        <v>Inventory Turnover</v>
      </c>
      <c r="B690" t="s">
        <v>334</v>
      </c>
      <c r="C690" t="s">
        <v>5650</v>
      </c>
      <c r="D690" t="s">
        <v>5651</v>
      </c>
      <c r="E690" t="s">
        <v>5652</v>
      </c>
      <c r="F690" t="s">
        <v>5653</v>
      </c>
      <c r="G690" t="s">
        <v>5654</v>
      </c>
      <c r="H690" t="s">
        <v>5655</v>
      </c>
      <c r="I690" t="s">
        <v>5656</v>
      </c>
      <c r="J690" t="s">
        <v>5657</v>
      </c>
      <c r="K690" t="s">
        <v>5658</v>
      </c>
      <c r="L690" t="s">
        <v>8542</v>
      </c>
    </row>
    <row r="691" spans="1:12" x14ac:dyDescent="0.35">
      <c r="A691" t="str">
        <f t="shared" si="11"/>
        <v>Short Term Liquidity</v>
      </c>
      <c r="B691" t="s">
        <v>419</v>
      </c>
      <c r="C691" t="s">
        <v>10781</v>
      </c>
      <c r="D691" t="s">
        <v>10782</v>
      </c>
      <c r="E691" t="s">
        <v>10783</v>
      </c>
      <c r="F691" t="s">
        <v>10784</v>
      </c>
      <c r="G691" t="s">
        <v>10785</v>
      </c>
      <c r="H691" t="s">
        <v>10782</v>
      </c>
      <c r="I691" t="s">
        <v>10786</v>
      </c>
      <c r="J691" t="s">
        <v>10787</v>
      </c>
      <c r="K691" t="s">
        <v>10788</v>
      </c>
      <c r="L691" t="s">
        <v>10789</v>
      </c>
    </row>
    <row r="692" spans="1:12" x14ac:dyDescent="0.35">
      <c r="A692" t="str">
        <f t="shared" si="11"/>
        <v>Current Ratio</v>
      </c>
      <c r="B692" t="s">
        <v>335</v>
      </c>
      <c r="C692" t="s">
        <v>5659</v>
      </c>
      <c r="D692" t="s">
        <v>5660</v>
      </c>
      <c r="E692" t="s">
        <v>5661</v>
      </c>
      <c r="F692" t="s">
        <v>5662</v>
      </c>
      <c r="G692" t="s">
        <v>5663</v>
      </c>
      <c r="H692" t="s">
        <v>5660</v>
      </c>
      <c r="I692" t="s">
        <v>5664</v>
      </c>
      <c r="J692" t="s">
        <v>5665</v>
      </c>
      <c r="K692" t="s">
        <v>5666</v>
      </c>
      <c r="L692" t="s">
        <v>8543</v>
      </c>
    </row>
    <row r="693" spans="1:12" x14ac:dyDescent="0.35">
      <c r="A693" t="str">
        <f t="shared" si="11"/>
        <v>Quick Ratio</v>
      </c>
      <c r="B693" t="s">
        <v>336</v>
      </c>
      <c r="C693" t="s">
        <v>5667</v>
      </c>
      <c r="D693" t="s">
        <v>5668</v>
      </c>
      <c r="E693" t="s">
        <v>5669</v>
      </c>
      <c r="F693" t="s">
        <v>5670</v>
      </c>
      <c r="G693" t="s">
        <v>5671</v>
      </c>
      <c r="H693" t="s">
        <v>5672</v>
      </c>
      <c r="I693" t="s">
        <v>5673</v>
      </c>
      <c r="J693" t="s">
        <v>5674</v>
      </c>
      <c r="K693" t="s">
        <v>5675</v>
      </c>
      <c r="L693" t="s">
        <v>8544</v>
      </c>
    </row>
    <row r="694" spans="1:12" x14ac:dyDescent="0.35">
      <c r="A694" t="str">
        <f t="shared" si="11"/>
        <v>Cash from Ops. to Curr. Liab.</v>
      </c>
      <c r="B694" t="s">
        <v>337</v>
      </c>
      <c r="C694" t="s">
        <v>5676</v>
      </c>
      <c r="D694" t="s">
        <v>5677</v>
      </c>
      <c r="E694" t="s">
        <v>5678</v>
      </c>
      <c r="F694" t="s">
        <v>5679</v>
      </c>
      <c r="G694" t="s">
        <v>5680</v>
      </c>
      <c r="H694" t="s">
        <v>5681</v>
      </c>
      <c r="I694" t="s">
        <v>5682</v>
      </c>
      <c r="J694" t="s">
        <v>5683</v>
      </c>
      <c r="K694" t="s">
        <v>5684</v>
      </c>
      <c r="L694" t="s">
        <v>10866</v>
      </c>
    </row>
    <row r="695" spans="1:12" x14ac:dyDescent="0.35">
      <c r="A695" t="str">
        <f t="shared" si="11"/>
        <v>Avg. Days Sales Out.</v>
      </c>
      <c r="B695" t="s">
        <v>338</v>
      </c>
      <c r="C695" t="s">
        <v>5685</v>
      </c>
      <c r="D695" t="s">
        <v>5686</v>
      </c>
      <c r="E695" t="s">
        <v>5687</v>
      </c>
      <c r="F695" t="s">
        <v>5688</v>
      </c>
      <c r="G695" t="s">
        <v>5689</v>
      </c>
      <c r="H695" t="s">
        <v>5690</v>
      </c>
      <c r="I695" s="19" t="s">
        <v>10913</v>
      </c>
      <c r="J695" t="s">
        <v>5691</v>
      </c>
      <c r="K695" t="s">
        <v>5692</v>
      </c>
      <c r="L695" t="s">
        <v>10867</v>
      </c>
    </row>
    <row r="696" spans="1:12" x14ac:dyDescent="0.35">
      <c r="A696" t="str">
        <f t="shared" si="11"/>
        <v>Avg. Days Inventory Out.</v>
      </c>
      <c r="B696" t="s">
        <v>339</v>
      </c>
      <c r="C696" t="s">
        <v>5693</v>
      </c>
      <c r="D696" t="s">
        <v>5694</v>
      </c>
      <c r="E696" t="s">
        <v>5695</v>
      </c>
      <c r="F696" t="s">
        <v>5696</v>
      </c>
      <c r="G696" t="s">
        <v>5697</v>
      </c>
      <c r="H696" t="s">
        <v>5698</v>
      </c>
      <c r="I696" t="s">
        <v>5699</v>
      </c>
      <c r="J696" t="s">
        <v>5700</v>
      </c>
      <c r="K696" t="s">
        <v>5701</v>
      </c>
      <c r="L696" t="s">
        <v>10868</v>
      </c>
    </row>
    <row r="697" spans="1:12" x14ac:dyDescent="0.35">
      <c r="A697" t="str">
        <f t="shared" si="11"/>
        <v>Avg. Days Payable Out.</v>
      </c>
      <c r="B697" t="s">
        <v>340</v>
      </c>
      <c r="C697" t="s">
        <v>5702</v>
      </c>
      <c r="D697" t="s">
        <v>5703</v>
      </c>
      <c r="E697" t="s">
        <v>5704</v>
      </c>
      <c r="F697" t="s">
        <v>5705</v>
      </c>
      <c r="G697" t="s">
        <v>5706</v>
      </c>
      <c r="H697" t="s">
        <v>5707</v>
      </c>
      <c r="I697" s="19" t="s">
        <v>10914</v>
      </c>
      <c r="J697" t="s">
        <v>5708</v>
      </c>
      <c r="K697" t="s">
        <v>5709</v>
      </c>
      <c r="L697" t="s">
        <v>10935</v>
      </c>
    </row>
    <row r="698" spans="1:12" x14ac:dyDescent="0.35">
      <c r="A698" t="str">
        <f t="shared" si="11"/>
        <v>Avg. Cash Conversion Cycle</v>
      </c>
      <c r="B698" t="s">
        <v>341</v>
      </c>
      <c r="C698" t="s">
        <v>5710</v>
      </c>
      <c r="D698" t="s">
        <v>5711</v>
      </c>
      <c r="E698" t="s">
        <v>5712</v>
      </c>
      <c r="F698" t="s">
        <v>5713</v>
      </c>
      <c r="G698" t="s">
        <v>5714</v>
      </c>
      <c r="H698" t="s">
        <v>5715</v>
      </c>
      <c r="I698" t="s">
        <v>5716</v>
      </c>
      <c r="J698" t="s">
        <v>5717</v>
      </c>
      <c r="K698" t="s">
        <v>5718</v>
      </c>
      <c r="L698" t="s">
        <v>8545</v>
      </c>
    </row>
    <row r="699" spans="1:12" x14ac:dyDescent="0.35">
      <c r="A699" t="str">
        <f t="shared" si="11"/>
        <v>Long Term Solvency</v>
      </c>
      <c r="B699" t="s">
        <v>420</v>
      </c>
      <c r="C699" t="s">
        <v>10790</v>
      </c>
      <c r="D699" t="s">
        <v>10791</v>
      </c>
      <c r="E699" t="s">
        <v>10792</v>
      </c>
      <c r="F699" t="s">
        <v>10793</v>
      </c>
      <c r="G699" t="s">
        <v>10794</v>
      </c>
      <c r="H699" t="s">
        <v>10795</v>
      </c>
      <c r="I699" t="s">
        <v>10796</v>
      </c>
      <c r="J699" t="s">
        <v>10797</v>
      </c>
      <c r="K699" t="s">
        <v>10798</v>
      </c>
      <c r="L699" t="s">
        <v>10799</v>
      </c>
    </row>
    <row r="700" spans="1:12" x14ac:dyDescent="0.35">
      <c r="A700" t="str">
        <f t="shared" si="11"/>
        <v>Total Debt/Equity</v>
      </c>
      <c r="B700" t="s">
        <v>342</v>
      </c>
      <c r="C700" t="s">
        <v>5719</v>
      </c>
      <c r="D700" t="s">
        <v>5720</v>
      </c>
      <c r="E700" t="s">
        <v>5721</v>
      </c>
      <c r="F700" t="s">
        <v>5722</v>
      </c>
      <c r="G700" t="s">
        <v>5723</v>
      </c>
      <c r="H700" t="s">
        <v>5724</v>
      </c>
      <c r="I700" t="s">
        <v>5725</v>
      </c>
      <c r="J700" t="s">
        <v>5726</v>
      </c>
      <c r="K700" t="s">
        <v>5727</v>
      </c>
      <c r="L700" s="19" t="s">
        <v>10906</v>
      </c>
    </row>
    <row r="701" spans="1:12" x14ac:dyDescent="0.35">
      <c r="A701" t="str">
        <f t="shared" si="11"/>
        <v>Total Debt/Capital</v>
      </c>
      <c r="B701" t="s">
        <v>343</v>
      </c>
      <c r="C701" t="s">
        <v>5728</v>
      </c>
      <c r="D701" t="s">
        <v>5729</v>
      </c>
      <c r="E701" t="s">
        <v>5730</v>
      </c>
      <c r="F701" t="s">
        <v>5731</v>
      </c>
      <c r="G701" t="s">
        <v>5732</v>
      </c>
      <c r="H701" t="s">
        <v>5733</v>
      </c>
      <c r="I701" t="s">
        <v>5734</v>
      </c>
      <c r="J701" t="s">
        <v>5735</v>
      </c>
      <c r="K701" t="s">
        <v>5736</v>
      </c>
      <c r="L701" s="19" t="s">
        <v>10893</v>
      </c>
    </row>
    <row r="702" spans="1:12" x14ac:dyDescent="0.35">
      <c r="A702" t="str">
        <f t="shared" si="11"/>
        <v>LT Debt/Equity</v>
      </c>
      <c r="B702" t="s">
        <v>344</v>
      </c>
      <c r="C702" t="s">
        <v>5737</v>
      </c>
      <c r="D702" t="s">
        <v>5738</v>
      </c>
      <c r="E702" t="s">
        <v>5739</v>
      </c>
      <c r="F702" t="s">
        <v>5740</v>
      </c>
      <c r="G702" t="s">
        <v>5741</v>
      </c>
      <c r="H702" t="s">
        <v>5742</v>
      </c>
      <c r="I702" t="s">
        <v>5743</v>
      </c>
      <c r="J702" t="s">
        <v>5744</v>
      </c>
      <c r="K702" t="s">
        <v>5745</v>
      </c>
      <c r="L702" s="19" t="s">
        <v>10907</v>
      </c>
    </row>
    <row r="703" spans="1:12" x14ac:dyDescent="0.35">
      <c r="A703" t="str">
        <f t="shared" si="11"/>
        <v>LT Debt/Capital</v>
      </c>
      <c r="B703" t="s">
        <v>345</v>
      </c>
      <c r="C703" t="s">
        <v>5746</v>
      </c>
      <c r="D703" t="s">
        <v>5747</v>
      </c>
      <c r="E703" t="s">
        <v>5748</v>
      </c>
      <c r="F703" t="s">
        <v>5749</v>
      </c>
      <c r="G703" t="s">
        <v>5750</v>
      </c>
      <c r="H703" t="s">
        <v>5751</v>
      </c>
      <c r="I703" t="s">
        <v>5752</v>
      </c>
      <c r="J703" t="s">
        <v>5753</v>
      </c>
      <c r="K703" t="s">
        <v>5745</v>
      </c>
      <c r="L703" s="19" t="s">
        <v>10908</v>
      </c>
    </row>
    <row r="704" spans="1:12" x14ac:dyDescent="0.35">
      <c r="A704" t="str">
        <f t="shared" si="11"/>
        <v>Total Liabilities/Total Assets</v>
      </c>
      <c r="B704" t="s">
        <v>346</v>
      </c>
      <c r="C704" t="s">
        <v>5754</v>
      </c>
      <c r="D704" t="s">
        <v>5755</v>
      </c>
      <c r="E704" t="s">
        <v>5756</v>
      </c>
      <c r="F704" t="s">
        <v>5757</v>
      </c>
      <c r="G704" t="s">
        <v>5758</v>
      </c>
      <c r="H704" t="s">
        <v>5759</v>
      </c>
      <c r="I704" t="s">
        <v>5760</v>
      </c>
      <c r="J704" t="s">
        <v>5761</v>
      </c>
      <c r="K704" t="s">
        <v>5762</v>
      </c>
      <c r="L704" s="19" t="s">
        <v>10909</v>
      </c>
    </row>
    <row r="705" spans="1:12" x14ac:dyDescent="0.35">
      <c r="A705" t="str">
        <f t="shared" si="11"/>
        <v>EBIT / Interest Exp.</v>
      </c>
      <c r="B705" t="s">
        <v>347</v>
      </c>
      <c r="C705" t="s">
        <v>5763</v>
      </c>
      <c r="D705" t="s">
        <v>5764</v>
      </c>
      <c r="E705" t="s">
        <v>5765</v>
      </c>
      <c r="F705" t="s">
        <v>5766</v>
      </c>
      <c r="G705" t="s">
        <v>5767</v>
      </c>
      <c r="H705" t="s">
        <v>5768</v>
      </c>
      <c r="I705" t="s">
        <v>5769</v>
      </c>
      <c r="J705" t="s">
        <v>5770</v>
      </c>
      <c r="K705" t="s">
        <v>5771</v>
      </c>
      <c r="L705" t="s">
        <v>10904</v>
      </c>
    </row>
    <row r="706" spans="1:12" x14ac:dyDescent="0.35">
      <c r="A706" t="str">
        <f t="shared" si="11"/>
        <v>EBITDA / Interest Exp.</v>
      </c>
      <c r="B706" t="s">
        <v>348</v>
      </c>
      <c r="C706" t="s">
        <v>5772</v>
      </c>
      <c r="D706" t="s">
        <v>5773</v>
      </c>
      <c r="E706" t="s">
        <v>5774</v>
      </c>
      <c r="F706" t="s">
        <v>5775</v>
      </c>
      <c r="G706" t="s">
        <v>5776</v>
      </c>
      <c r="H706" t="s">
        <v>5777</v>
      </c>
      <c r="I706" t="s">
        <v>5778</v>
      </c>
      <c r="J706" t="s">
        <v>5779</v>
      </c>
      <c r="K706" t="s">
        <v>5780</v>
      </c>
      <c r="L706" t="s">
        <v>10905</v>
      </c>
    </row>
    <row r="707" spans="1:12" x14ac:dyDescent="0.35">
      <c r="A707" t="str">
        <f t="shared" si="11"/>
        <v>EBITDA, Excl. Operating Leases / Interest Exp.</v>
      </c>
      <c r="B707" t="s">
        <v>972</v>
      </c>
      <c r="C707" t="s">
        <v>10671</v>
      </c>
      <c r="D707" t="s">
        <v>10672</v>
      </c>
      <c r="E707" t="s">
        <v>10673</v>
      </c>
      <c r="F707" t="s">
        <v>10674</v>
      </c>
      <c r="G707" t="s">
        <v>10675</v>
      </c>
      <c r="H707" t="s">
        <v>10676</v>
      </c>
      <c r="I707" t="s">
        <v>10677</v>
      </c>
      <c r="J707" t="s">
        <v>10678</v>
      </c>
      <c r="K707" t="s">
        <v>10679</v>
      </c>
      <c r="L707" t="s">
        <v>10680</v>
      </c>
    </row>
    <row r="708" spans="1:12" x14ac:dyDescent="0.35">
      <c r="A708" t="str">
        <f t="shared" si="11"/>
        <v>(EBITDA-CAPEX) / Interest Exp.</v>
      </c>
      <c r="B708" t="s">
        <v>349</v>
      </c>
      <c r="C708" t="s">
        <v>5781</v>
      </c>
      <c r="D708" t="s">
        <v>5782</v>
      </c>
      <c r="E708" t="s">
        <v>5783</v>
      </c>
      <c r="F708" t="s">
        <v>5784</v>
      </c>
      <c r="G708" t="s">
        <v>5785</v>
      </c>
      <c r="H708" t="s">
        <v>5786</v>
      </c>
      <c r="I708" t="s">
        <v>5787</v>
      </c>
      <c r="J708" t="s">
        <v>5788</v>
      </c>
      <c r="K708" t="s">
        <v>5789</v>
      </c>
      <c r="L708" s="19" t="s">
        <v>10910</v>
      </c>
    </row>
    <row r="709" spans="1:12" x14ac:dyDescent="0.35">
      <c r="A709" t="str">
        <f t="shared" si="11"/>
        <v>(EBITDA, Excl. Operating Leases-CAPEX)/Interest Exp.</v>
      </c>
      <c r="B709" t="s">
        <v>971</v>
      </c>
      <c r="C709" t="s">
        <v>5790</v>
      </c>
      <c r="D709" t="s">
        <v>5791</v>
      </c>
      <c r="E709" t="s">
        <v>5792</v>
      </c>
      <c r="F709" t="s">
        <v>5793</v>
      </c>
      <c r="G709" t="s">
        <v>5794</v>
      </c>
      <c r="H709" t="s">
        <v>5795</v>
      </c>
      <c r="I709" t="s">
        <v>5796</v>
      </c>
      <c r="J709" t="s">
        <v>5797</v>
      </c>
      <c r="K709" t="s">
        <v>5798</v>
      </c>
      <c r="L709" t="s">
        <v>8546</v>
      </c>
    </row>
    <row r="710" spans="1:12" x14ac:dyDescent="0.35">
      <c r="A710" t="str">
        <f t="shared" si="11"/>
        <v>Altman Z Score</v>
      </c>
      <c r="B710" t="s">
        <v>350</v>
      </c>
      <c r="C710" t="s">
        <v>350</v>
      </c>
      <c r="D710" t="s">
        <v>350</v>
      </c>
      <c r="E710" t="s">
        <v>5799</v>
      </c>
      <c r="F710" t="s">
        <v>5800</v>
      </c>
      <c r="G710" t="s">
        <v>5801</v>
      </c>
      <c r="H710" t="s">
        <v>5802</v>
      </c>
      <c r="I710" t="s">
        <v>5803</v>
      </c>
      <c r="J710" t="s">
        <v>5804</v>
      </c>
      <c r="K710" t="s">
        <v>5805</v>
      </c>
      <c r="L710" t="s">
        <v>8547</v>
      </c>
    </row>
    <row r="711" spans="1:12" x14ac:dyDescent="0.35">
      <c r="A711" t="str">
        <f t="shared" si="11"/>
        <v>Total Revenues / Employee</v>
      </c>
      <c r="B711" t="s">
        <v>351</v>
      </c>
      <c r="C711" t="s">
        <v>10683</v>
      </c>
      <c r="D711" t="s">
        <v>10684</v>
      </c>
      <c r="E711" t="s">
        <v>10685</v>
      </c>
      <c r="F711" t="s">
        <v>10686</v>
      </c>
      <c r="G711" t="s">
        <v>10687</v>
      </c>
      <c r="H711" t="s">
        <v>10688</v>
      </c>
      <c r="I711" t="s">
        <v>10689</v>
      </c>
      <c r="J711" t="s">
        <v>10681</v>
      </c>
      <c r="K711" t="s">
        <v>10690</v>
      </c>
      <c r="L711" t="s">
        <v>10682</v>
      </c>
    </row>
    <row r="712" spans="1:12" x14ac:dyDescent="0.35">
      <c r="A712" t="str">
        <f t="shared" si="11"/>
        <v>Growth Over Prior Year</v>
      </c>
      <c r="B712" t="s">
        <v>429</v>
      </c>
      <c r="C712" t="s">
        <v>5806</v>
      </c>
      <c r="D712" t="s">
        <v>5807</v>
      </c>
      <c r="E712" t="s">
        <v>5808</v>
      </c>
      <c r="F712" t="s">
        <v>5809</v>
      </c>
      <c r="G712" t="s">
        <v>5810</v>
      </c>
      <c r="H712" t="s">
        <v>5811</v>
      </c>
      <c r="I712" t="s">
        <v>5812</v>
      </c>
      <c r="J712" t="s">
        <v>5813</v>
      </c>
      <c r="K712" t="s">
        <v>5814</v>
      </c>
      <c r="L712" t="s">
        <v>8548</v>
      </c>
    </row>
    <row r="713" spans="1:12" x14ac:dyDescent="0.35">
      <c r="A713" t="str">
        <f t="shared" si="11"/>
        <v>Diluted EPS before Extra</v>
      </c>
      <c r="B713" t="s">
        <v>352</v>
      </c>
      <c r="C713" t="s">
        <v>5815</v>
      </c>
      <c r="D713" t="s">
        <v>1172</v>
      </c>
      <c r="E713" t="s">
        <v>5816</v>
      </c>
      <c r="F713" t="s">
        <v>5817</v>
      </c>
      <c r="G713" t="s">
        <v>5818</v>
      </c>
      <c r="H713" t="s">
        <v>5819</v>
      </c>
      <c r="I713" t="s">
        <v>5820</v>
      </c>
      <c r="J713" t="s">
        <v>5821</v>
      </c>
      <c r="K713" t="s">
        <v>5822</v>
      </c>
      <c r="L713" s="19" t="s">
        <v>10936</v>
      </c>
    </row>
    <row r="714" spans="1:12" x14ac:dyDescent="0.35">
      <c r="A714" t="str">
        <f t="shared" si="11"/>
        <v>Net PP&amp;E</v>
      </c>
      <c r="B714" t="s">
        <v>353</v>
      </c>
      <c r="C714" t="s">
        <v>2759</v>
      </c>
      <c r="D714" t="s">
        <v>2760</v>
      </c>
      <c r="E714" t="s">
        <v>2761</v>
      </c>
      <c r="F714" t="s">
        <v>2762</v>
      </c>
      <c r="G714" t="s">
        <v>2763</v>
      </c>
      <c r="H714" t="s">
        <v>2764</v>
      </c>
      <c r="I714" t="s">
        <v>2765</v>
      </c>
      <c r="J714" t="s">
        <v>2766</v>
      </c>
      <c r="K714" t="s">
        <v>2767</v>
      </c>
      <c r="L714" t="s">
        <v>10869</v>
      </c>
    </row>
    <row r="715" spans="1:12" x14ac:dyDescent="0.35">
      <c r="A715" t="str">
        <f t="shared" si="11"/>
        <v>Total Assets</v>
      </c>
      <c r="B715" t="s">
        <v>354</v>
      </c>
      <c r="C715" t="s">
        <v>5823</v>
      </c>
      <c r="D715" t="s">
        <v>5824</v>
      </c>
      <c r="E715" t="s">
        <v>5825</v>
      </c>
      <c r="F715" t="s">
        <v>5826</v>
      </c>
      <c r="G715" t="s">
        <v>5827</v>
      </c>
      <c r="H715" t="s">
        <v>5828</v>
      </c>
      <c r="I715" t="s">
        <v>5829</v>
      </c>
      <c r="J715" t="s">
        <v>5830</v>
      </c>
      <c r="K715" t="s">
        <v>5831</v>
      </c>
      <c r="L715" t="s">
        <v>8549</v>
      </c>
    </row>
    <row r="716" spans="1:12" x14ac:dyDescent="0.35">
      <c r="A716" t="str">
        <f t="shared" si="11"/>
        <v>Capital Expenditures</v>
      </c>
      <c r="B716" t="s">
        <v>355</v>
      </c>
      <c r="C716" t="s">
        <v>4385</v>
      </c>
      <c r="D716" t="s">
        <v>4386</v>
      </c>
      <c r="E716" t="s">
        <v>5832</v>
      </c>
      <c r="F716" t="s">
        <v>4388</v>
      </c>
      <c r="G716" t="s">
        <v>4389</v>
      </c>
      <c r="H716" t="s">
        <v>5833</v>
      </c>
      <c r="I716" t="s">
        <v>4391</v>
      </c>
      <c r="J716" t="s">
        <v>4392</v>
      </c>
      <c r="K716" t="s">
        <v>4393</v>
      </c>
      <c r="L716" t="s">
        <v>10870</v>
      </c>
    </row>
    <row r="717" spans="1:12" x14ac:dyDescent="0.35">
      <c r="A717" t="str">
        <f t="shared" si="11"/>
        <v>Dividend per Share</v>
      </c>
      <c r="B717" t="s">
        <v>356</v>
      </c>
      <c r="C717" t="s">
        <v>10664</v>
      </c>
      <c r="D717" t="s">
        <v>10664</v>
      </c>
      <c r="E717" t="s">
        <v>10665</v>
      </c>
      <c r="F717" t="s">
        <v>10666</v>
      </c>
      <c r="G717" t="s">
        <v>10667</v>
      </c>
      <c r="H717" t="s">
        <v>1721</v>
      </c>
      <c r="I717" t="s">
        <v>10668</v>
      </c>
      <c r="J717" t="s">
        <v>10669</v>
      </c>
      <c r="K717" t="s">
        <v>1724</v>
      </c>
      <c r="L717" t="s">
        <v>10670</v>
      </c>
    </row>
    <row r="718" spans="1:12" x14ac:dyDescent="0.35">
      <c r="A718" t="str">
        <f t="shared" si="11"/>
        <v>Levered Free Cash Flow</v>
      </c>
      <c r="B718" t="s">
        <v>357</v>
      </c>
      <c r="C718" t="s">
        <v>5834</v>
      </c>
      <c r="D718" t="s">
        <v>5835</v>
      </c>
      <c r="E718" t="s">
        <v>5836</v>
      </c>
      <c r="F718" t="s">
        <v>5837</v>
      </c>
      <c r="G718" t="s">
        <v>5838</v>
      </c>
      <c r="H718" t="s">
        <v>5839</v>
      </c>
      <c r="I718" t="s">
        <v>5840</v>
      </c>
      <c r="J718" t="s">
        <v>5841</v>
      </c>
      <c r="K718" t="s">
        <v>5842</v>
      </c>
      <c r="L718" t="s">
        <v>8550</v>
      </c>
    </row>
    <row r="719" spans="1:12" x14ac:dyDescent="0.35">
      <c r="A719" t="str">
        <f t="shared" si="11"/>
        <v>Unlevered Free Cash Flow</v>
      </c>
      <c r="B719" t="s">
        <v>358</v>
      </c>
      <c r="C719" t="s">
        <v>5843</v>
      </c>
      <c r="D719" t="s">
        <v>5844</v>
      </c>
      <c r="E719" t="s">
        <v>5845</v>
      </c>
      <c r="F719" t="s">
        <v>5846</v>
      </c>
      <c r="G719" t="s">
        <v>5847</v>
      </c>
      <c r="H719" t="s">
        <v>5848</v>
      </c>
      <c r="I719" t="s">
        <v>5849</v>
      </c>
      <c r="J719" t="s">
        <v>5850</v>
      </c>
      <c r="K719" t="s">
        <v>5851</v>
      </c>
      <c r="L719" t="s">
        <v>8551</v>
      </c>
    </row>
    <row r="720" spans="1:12" x14ac:dyDescent="0.35">
      <c r="A720" t="str">
        <f t="shared" si="11"/>
        <v>Compounded Annual Growth Rate Over Two Years</v>
      </c>
      <c r="B720" t="s">
        <v>736</v>
      </c>
      <c r="C720" t="s">
        <v>9920</v>
      </c>
      <c r="D720" t="s">
        <v>9921</v>
      </c>
      <c r="E720" t="s">
        <v>9922</v>
      </c>
      <c r="F720" t="s">
        <v>9923</v>
      </c>
      <c r="G720" t="s">
        <v>9924</v>
      </c>
      <c r="H720" t="s">
        <v>9925</v>
      </c>
      <c r="I720" t="s">
        <v>9926</v>
      </c>
      <c r="J720" t="s">
        <v>9927</v>
      </c>
      <c r="K720" t="s">
        <v>9928</v>
      </c>
      <c r="L720" t="s">
        <v>9929</v>
      </c>
    </row>
    <row r="721" spans="1:12" x14ac:dyDescent="0.35">
      <c r="A721" t="str">
        <f t="shared" si="11"/>
        <v>Compounded Annual Growth Rate Over Three Years</v>
      </c>
      <c r="B721" t="s">
        <v>737</v>
      </c>
      <c r="C721" t="s">
        <v>9930</v>
      </c>
      <c r="D721" t="s">
        <v>9931</v>
      </c>
      <c r="E721" t="s">
        <v>9932</v>
      </c>
      <c r="F721" t="s">
        <v>9933</v>
      </c>
      <c r="G721" t="s">
        <v>9934</v>
      </c>
      <c r="H721" t="s">
        <v>9935</v>
      </c>
      <c r="I721" t="s">
        <v>9936</v>
      </c>
      <c r="J721" t="s">
        <v>9937</v>
      </c>
      <c r="K721" t="s">
        <v>9938</v>
      </c>
      <c r="L721" t="s">
        <v>9939</v>
      </c>
    </row>
    <row r="722" spans="1:12" x14ac:dyDescent="0.35">
      <c r="A722" t="str">
        <f t="shared" si="11"/>
        <v>Compounded Annual Growth Rate Over Five Years</v>
      </c>
      <c r="B722" t="s">
        <v>738</v>
      </c>
      <c r="C722" t="s">
        <v>9940</v>
      </c>
      <c r="D722" t="s">
        <v>9941</v>
      </c>
      <c r="E722" t="s">
        <v>9942</v>
      </c>
      <c r="F722" t="s">
        <v>9943</v>
      </c>
      <c r="G722" t="s">
        <v>9944</v>
      </c>
      <c r="H722" t="s">
        <v>9945</v>
      </c>
      <c r="I722" t="s">
        <v>9946</v>
      </c>
      <c r="J722" t="s">
        <v>9947</v>
      </c>
      <c r="K722" t="s">
        <v>9948</v>
      </c>
      <c r="L722" t="s">
        <v>9949</v>
      </c>
    </row>
    <row r="723" spans="1:12" x14ac:dyDescent="0.35">
      <c r="A723" t="str">
        <f t="shared" si="11"/>
        <v>Source:  S&amp;P Capital IQ</v>
      </c>
      <c r="B723" s="19" t="s">
        <v>10949</v>
      </c>
      <c r="C723" t="s">
        <v>5852</v>
      </c>
      <c r="D723" t="s">
        <v>5853</v>
      </c>
      <c r="E723" t="s">
        <v>5854</v>
      </c>
      <c r="F723" t="s">
        <v>5855</v>
      </c>
      <c r="G723" t="s">
        <v>5856</v>
      </c>
      <c r="H723" t="s">
        <v>5857</v>
      </c>
      <c r="I723" t="s">
        <v>5858</v>
      </c>
      <c r="J723" t="s">
        <v>5859</v>
      </c>
      <c r="K723" t="s">
        <v>5860</v>
      </c>
      <c r="L723" t="s">
        <v>5856</v>
      </c>
    </row>
    <row r="724" spans="1:12" x14ac:dyDescent="0.35">
      <c r="A724" t="str">
        <f t="shared" si="11"/>
        <v>Auditor Name</v>
      </c>
      <c r="B724" t="s">
        <v>222</v>
      </c>
      <c r="C724" t="s">
        <v>5861</v>
      </c>
      <c r="D724" t="s">
        <v>5862</v>
      </c>
      <c r="E724" t="s">
        <v>5863</v>
      </c>
      <c r="F724" t="s">
        <v>5864</v>
      </c>
      <c r="G724" t="s">
        <v>5865</v>
      </c>
      <c r="H724" t="s">
        <v>5866</v>
      </c>
      <c r="I724" t="s">
        <v>5867</v>
      </c>
      <c r="J724" t="s">
        <v>5868</v>
      </c>
      <c r="K724" t="s">
        <v>5869</v>
      </c>
      <c r="L724" t="s">
        <v>8552</v>
      </c>
    </row>
    <row r="725" spans="1:12" x14ac:dyDescent="0.35">
      <c r="A725" t="str">
        <f t="shared" si="11"/>
        <v>Auditor Opinion</v>
      </c>
      <c r="B725" t="s">
        <v>223</v>
      </c>
      <c r="C725" t="s">
        <v>5870</v>
      </c>
      <c r="D725" t="s">
        <v>5871</v>
      </c>
      <c r="E725" t="s">
        <v>5872</v>
      </c>
      <c r="F725" t="s">
        <v>5873</v>
      </c>
      <c r="G725" t="s">
        <v>5874</v>
      </c>
      <c r="H725" t="s">
        <v>5875</v>
      </c>
      <c r="I725" t="s">
        <v>5876</v>
      </c>
      <c r="J725" t="s">
        <v>5877</v>
      </c>
      <c r="K725" t="s">
        <v>5878</v>
      </c>
      <c r="L725" t="s">
        <v>8553</v>
      </c>
    </row>
    <row r="726" spans="1:12" x14ac:dyDescent="0.35">
      <c r="A726" t="str">
        <f t="shared" si="11"/>
        <v>Long Term Film Contract and Broadcasting Rights</v>
      </c>
      <c r="B726" t="s">
        <v>586</v>
      </c>
      <c r="C726" t="s">
        <v>9950</v>
      </c>
      <c r="D726" t="s">
        <v>9951</v>
      </c>
      <c r="E726" t="s">
        <v>9952</v>
      </c>
      <c r="F726" t="s">
        <v>9953</v>
      </c>
      <c r="G726" t="s">
        <v>9954</v>
      </c>
      <c r="H726" t="s">
        <v>9955</v>
      </c>
      <c r="I726" t="s">
        <v>9956</v>
      </c>
      <c r="J726" t="s">
        <v>9957</v>
      </c>
      <c r="K726" t="s">
        <v>9958</v>
      </c>
      <c r="L726" t="s">
        <v>9959</v>
      </c>
    </row>
    <row r="727" spans="1:12" x14ac:dyDescent="0.35">
      <c r="A727" t="str">
        <f t="shared" si="11"/>
        <v>Assets Under Management - Equity</v>
      </c>
      <c r="B727" t="s">
        <v>261</v>
      </c>
      <c r="C727" t="s">
        <v>5879</v>
      </c>
      <c r="D727" t="s">
        <v>5880</v>
      </c>
      <c r="E727" t="s">
        <v>5881</v>
      </c>
      <c r="F727" t="s">
        <v>5882</v>
      </c>
      <c r="G727" t="s">
        <v>5883</v>
      </c>
      <c r="H727" t="s">
        <v>5884</v>
      </c>
      <c r="I727" t="s">
        <v>5885</v>
      </c>
      <c r="J727" t="s">
        <v>5886</v>
      </c>
      <c r="K727" t="s">
        <v>5887</v>
      </c>
      <c r="L727" t="s">
        <v>8554</v>
      </c>
    </row>
    <row r="728" spans="1:12" x14ac:dyDescent="0.35">
      <c r="A728" t="str">
        <f t="shared" si="11"/>
        <v>Assets Under Management - Fixed Income</v>
      </c>
      <c r="B728" t="s">
        <v>262</v>
      </c>
      <c r="C728" t="s">
        <v>9960</v>
      </c>
      <c r="D728" t="s">
        <v>9961</v>
      </c>
      <c r="E728" t="s">
        <v>9962</v>
      </c>
      <c r="F728" t="s">
        <v>9963</v>
      </c>
      <c r="G728" t="s">
        <v>9964</v>
      </c>
      <c r="H728" t="s">
        <v>9965</v>
      </c>
      <c r="I728" t="s">
        <v>9966</v>
      </c>
      <c r="J728" t="s">
        <v>9967</v>
      </c>
      <c r="K728" t="s">
        <v>9968</v>
      </c>
      <c r="L728" t="s">
        <v>9969</v>
      </c>
    </row>
    <row r="729" spans="1:12" x14ac:dyDescent="0.35">
      <c r="A729" t="str">
        <f t="shared" si="11"/>
        <v>Assets Under Management - Money Market</v>
      </c>
      <c r="B729" t="s">
        <v>263</v>
      </c>
      <c r="C729" t="s">
        <v>5888</v>
      </c>
      <c r="D729" t="s">
        <v>5889</v>
      </c>
      <c r="E729" t="s">
        <v>5890</v>
      </c>
      <c r="F729" t="s">
        <v>5891</v>
      </c>
      <c r="G729" t="s">
        <v>5892</v>
      </c>
      <c r="H729" t="s">
        <v>5893</v>
      </c>
      <c r="I729" t="s">
        <v>5894</v>
      </c>
      <c r="J729" t="s">
        <v>5895</v>
      </c>
      <c r="K729" t="s">
        <v>5896</v>
      </c>
      <c r="L729" t="s">
        <v>8555</v>
      </c>
    </row>
    <row r="730" spans="1:12" x14ac:dyDescent="0.35">
      <c r="A730" t="str">
        <f t="shared" si="11"/>
        <v>Assets Under Management - Other</v>
      </c>
      <c r="B730" t="s">
        <v>264</v>
      </c>
      <c r="C730" t="s">
        <v>5897</v>
      </c>
      <c r="D730" t="s">
        <v>5898</v>
      </c>
      <c r="E730" t="s">
        <v>5899</v>
      </c>
      <c r="F730" t="s">
        <v>5900</v>
      </c>
      <c r="G730" t="s">
        <v>5901</v>
      </c>
      <c r="H730" t="s">
        <v>5902</v>
      </c>
      <c r="I730" t="s">
        <v>5903</v>
      </c>
      <c r="J730" t="s">
        <v>5904</v>
      </c>
      <c r="K730" t="s">
        <v>5905</v>
      </c>
      <c r="L730" t="s">
        <v>8556</v>
      </c>
    </row>
    <row r="731" spans="1:12" x14ac:dyDescent="0.35">
      <c r="A731" t="str">
        <f t="shared" si="11"/>
        <v>Assets Under Management</v>
      </c>
      <c r="B731" t="s">
        <v>1013</v>
      </c>
      <c r="C731" t="s">
        <v>5906</v>
      </c>
      <c r="D731" t="s">
        <v>5907</v>
      </c>
      <c r="E731" t="s">
        <v>5908</v>
      </c>
      <c r="F731" t="s">
        <v>5909</v>
      </c>
      <c r="G731" t="s">
        <v>5910</v>
      </c>
      <c r="H731" t="s">
        <v>5911</v>
      </c>
      <c r="I731" t="s">
        <v>5912</v>
      </c>
      <c r="J731" t="s">
        <v>5913</v>
      </c>
      <c r="K731" t="s">
        <v>5914</v>
      </c>
      <c r="L731" t="s">
        <v>8557</v>
      </c>
    </row>
    <row r="732" spans="1:12" x14ac:dyDescent="0.35">
      <c r="A732" t="str">
        <f t="shared" si="11"/>
        <v>Assets Under Management - Private Equity</v>
      </c>
      <c r="B732" t="s">
        <v>284</v>
      </c>
      <c r="C732" t="s">
        <v>5915</v>
      </c>
      <c r="D732" t="s">
        <v>5916</v>
      </c>
      <c r="E732" t="s">
        <v>5917</v>
      </c>
      <c r="F732" t="s">
        <v>5918</v>
      </c>
      <c r="G732" t="s">
        <v>5919</v>
      </c>
      <c r="H732" t="s">
        <v>5920</v>
      </c>
      <c r="I732" t="s">
        <v>5921</v>
      </c>
      <c r="J732" t="s">
        <v>5922</v>
      </c>
      <c r="K732" t="s">
        <v>5923</v>
      </c>
      <c r="L732" t="s">
        <v>8558</v>
      </c>
    </row>
    <row r="733" spans="1:12" x14ac:dyDescent="0.35">
      <c r="A733" t="str">
        <f t="shared" si="11"/>
        <v>Assets Under Management - Real Estate</v>
      </c>
      <c r="B733" t="s">
        <v>285</v>
      </c>
      <c r="C733" t="s">
        <v>5924</v>
      </c>
      <c r="D733" t="s">
        <v>5925</v>
      </c>
      <c r="E733" t="s">
        <v>5926</v>
      </c>
      <c r="F733" t="s">
        <v>5927</v>
      </c>
      <c r="G733" t="s">
        <v>5928</v>
      </c>
      <c r="H733" t="s">
        <v>5929</v>
      </c>
      <c r="I733" t="s">
        <v>5930</v>
      </c>
      <c r="J733" t="s">
        <v>5931</v>
      </c>
      <c r="K733" t="s">
        <v>5932</v>
      </c>
      <c r="L733" t="s">
        <v>8559</v>
      </c>
    </row>
    <row r="734" spans="1:12" x14ac:dyDescent="0.35">
      <c r="A734" t="str">
        <f t="shared" si="11"/>
        <v>Assets Under Management - Institutional</v>
      </c>
      <c r="B734" t="s">
        <v>286</v>
      </c>
      <c r="C734" t="s">
        <v>5933</v>
      </c>
      <c r="D734" t="s">
        <v>5934</v>
      </c>
      <c r="E734" t="s">
        <v>5935</v>
      </c>
      <c r="F734" t="s">
        <v>5936</v>
      </c>
      <c r="G734" t="s">
        <v>5937</v>
      </c>
      <c r="H734" t="s">
        <v>5938</v>
      </c>
      <c r="I734" t="s">
        <v>5939</v>
      </c>
      <c r="J734" t="s">
        <v>5940</v>
      </c>
      <c r="K734" t="s">
        <v>5941</v>
      </c>
      <c r="L734" t="s">
        <v>8560</v>
      </c>
    </row>
    <row r="735" spans="1:12" x14ac:dyDescent="0.35">
      <c r="A735" t="str">
        <f t="shared" si="11"/>
        <v>Assets Under Management - Retail</v>
      </c>
      <c r="B735" t="s">
        <v>287</v>
      </c>
      <c r="C735" t="s">
        <v>5942</v>
      </c>
      <c r="D735" t="s">
        <v>5943</v>
      </c>
      <c r="E735" t="s">
        <v>5944</v>
      </c>
      <c r="F735" t="s">
        <v>5945</v>
      </c>
      <c r="G735" t="s">
        <v>5946</v>
      </c>
      <c r="H735" t="s">
        <v>5947</v>
      </c>
      <c r="I735" t="s">
        <v>5948</v>
      </c>
      <c r="J735" t="s">
        <v>5949</v>
      </c>
      <c r="K735" t="s">
        <v>5950</v>
      </c>
      <c r="L735" t="s">
        <v>8561</v>
      </c>
    </row>
    <row r="736" spans="1:12" x14ac:dyDescent="0.35">
      <c r="A736" t="str">
        <f t="shared" si="11"/>
        <v>Assets Under Management - High Net Worth</v>
      </c>
      <c r="B736" t="s">
        <v>288</v>
      </c>
      <c r="C736" t="s">
        <v>5951</v>
      </c>
      <c r="D736" t="s">
        <v>5952</v>
      </c>
      <c r="E736" t="s">
        <v>5953</v>
      </c>
      <c r="F736" t="s">
        <v>5954</v>
      </c>
      <c r="G736" t="s">
        <v>5955</v>
      </c>
      <c r="H736" t="s">
        <v>5956</v>
      </c>
      <c r="I736" t="s">
        <v>5957</v>
      </c>
      <c r="J736" t="s">
        <v>5958</v>
      </c>
      <c r="K736" t="s">
        <v>5959</v>
      </c>
      <c r="L736" t="s">
        <v>8562</v>
      </c>
    </row>
    <row r="737" spans="1:12" x14ac:dyDescent="0.35">
      <c r="A737" t="str">
        <f t="shared" si="11"/>
        <v>Assets Under Management - Other Clients</v>
      </c>
      <c r="B737" t="s">
        <v>289</v>
      </c>
      <c r="C737" t="s">
        <v>5960</v>
      </c>
      <c r="D737" t="s">
        <v>5961</v>
      </c>
      <c r="E737" t="s">
        <v>5962</v>
      </c>
      <c r="F737" t="s">
        <v>5963</v>
      </c>
      <c r="G737" t="s">
        <v>5964</v>
      </c>
      <c r="H737" t="s">
        <v>5965</v>
      </c>
      <c r="I737" t="s">
        <v>5966</v>
      </c>
      <c r="J737" t="s">
        <v>5967</v>
      </c>
      <c r="K737" t="s">
        <v>5968</v>
      </c>
      <c r="L737" t="s">
        <v>8563</v>
      </c>
    </row>
    <row r="738" spans="1:12" x14ac:dyDescent="0.35">
      <c r="A738" t="str">
        <f t="shared" si="11"/>
        <v>Assets Under Management - Domestic</v>
      </c>
      <c r="B738" t="s">
        <v>290</v>
      </c>
      <c r="C738" t="s">
        <v>5969</v>
      </c>
      <c r="D738" t="s">
        <v>5970</v>
      </c>
      <c r="E738" t="s">
        <v>5971</v>
      </c>
      <c r="F738" t="s">
        <v>5972</v>
      </c>
      <c r="G738" t="s">
        <v>5973</v>
      </c>
      <c r="H738" t="s">
        <v>5974</v>
      </c>
      <c r="I738" t="s">
        <v>5975</v>
      </c>
      <c r="J738" t="s">
        <v>5976</v>
      </c>
      <c r="K738" t="s">
        <v>5977</v>
      </c>
      <c r="L738" t="s">
        <v>8564</v>
      </c>
    </row>
    <row r="739" spans="1:12" x14ac:dyDescent="0.35">
      <c r="A739" t="str">
        <f t="shared" si="11"/>
        <v>Assets Under Management - Foreign</v>
      </c>
      <c r="B739" t="s">
        <v>291</v>
      </c>
      <c r="C739" t="s">
        <v>5978</v>
      </c>
      <c r="D739" t="s">
        <v>5979</v>
      </c>
      <c r="E739" t="s">
        <v>5980</v>
      </c>
      <c r="F739" t="s">
        <v>5981</v>
      </c>
      <c r="G739" t="s">
        <v>5982</v>
      </c>
      <c r="H739" t="s">
        <v>5983</v>
      </c>
      <c r="I739" t="s">
        <v>5984</v>
      </c>
      <c r="J739" t="s">
        <v>5985</v>
      </c>
      <c r="K739" t="s">
        <v>5986</v>
      </c>
      <c r="L739" t="s">
        <v>8565</v>
      </c>
    </row>
    <row r="740" spans="1:12" x14ac:dyDescent="0.35">
      <c r="A740" t="str">
        <f t="shared" si="11"/>
        <v>Assets Under Management - Fee Earning</v>
      </c>
      <c r="B740" t="s">
        <v>292</v>
      </c>
      <c r="C740" t="s">
        <v>5987</v>
      </c>
      <c r="D740" t="s">
        <v>5988</v>
      </c>
      <c r="E740" t="s">
        <v>5989</v>
      </c>
      <c r="F740" t="s">
        <v>5990</v>
      </c>
      <c r="G740" t="s">
        <v>5991</v>
      </c>
      <c r="H740" t="s">
        <v>5992</v>
      </c>
      <c r="I740" t="s">
        <v>5993</v>
      </c>
      <c r="J740" t="s">
        <v>5994</v>
      </c>
      <c r="K740" t="s">
        <v>5995</v>
      </c>
      <c r="L740" t="s">
        <v>8566</v>
      </c>
    </row>
    <row r="741" spans="1:12" x14ac:dyDescent="0.35">
      <c r="A741" t="str">
        <f t="shared" si="11"/>
        <v>Assets Under Management - Non Fee Earning</v>
      </c>
      <c r="B741" t="s">
        <v>293</v>
      </c>
      <c r="C741" t="s">
        <v>5996</v>
      </c>
      <c r="D741" t="s">
        <v>5997</v>
      </c>
      <c r="E741" t="s">
        <v>5998</v>
      </c>
      <c r="F741" t="s">
        <v>5999</v>
      </c>
      <c r="G741" t="s">
        <v>6000</v>
      </c>
      <c r="H741" t="s">
        <v>6001</v>
      </c>
      <c r="I741" t="s">
        <v>6002</v>
      </c>
      <c r="J741" t="s">
        <v>6003</v>
      </c>
      <c r="K741" t="s">
        <v>6004</v>
      </c>
      <c r="L741" t="s">
        <v>8567</v>
      </c>
    </row>
    <row r="742" spans="1:12" x14ac:dyDescent="0.35">
      <c r="A742" t="str">
        <f t="shared" si="11"/>
        <v>Assets Under Management - Retail Customers</v>
      </c>
      <c r="B742" t="s">
        <v>294</v>
      </c>
      <c r="C742" t="s">
        <v>6005</v>
      </c>
      <c r="D742" t="s">
        <v>6006</v>
      </c>
      <c r="E742" t="s">
        <v>6007</v>
      </c>
      <c r="F742" t="s">
        <v>6008</v>
      </c>
      <c r="G742" t="s">
        <v>6009</v>
      </c>
      <c r="H742" t="s">
        <v>6010</v>
      </c>
      <c r="I742" t="s">
        <v>6011</v>
      </c>
      <c r="J742" t="s">
        <v>6012</v>
      </c>
      <c r="K742" t="s">
        <v>6013</v>
      </c>
      <c r="L742" t="s">
        <v>8568</v>
      </c>
    </row>
    <row r="743" spans="1:12" x14ac:dyDescent="0.35">
      <c r="A743" t="str">
        <f t="shared" si="11"/>
        <v>Assets Under Management - Institutional Customers</v>
      </c>
      <c r="B743" t="s">
        <v>295</v>
      </c>
      <c r="C743" t="s">
        <v>6014</v>
      </c>
      <c r="D743" t="s">
        <v>6015</v>
      </c>
      <c r="E743" t="s">
        <v>6016</v>
      </c>
      <c r="F743" t="s">
        <v>6017</v>
      </c>
      <c r="G743" t="s">
        <v>6018</v>
      </c>
      <c r="H743" t="s">
        <v>6019</v>
      </c>
      <c r="I743" t="s">
        <v>6020</v>
      </c>
      <c r="J743" t="s">
        <v>6021</v>
      </c>
      <c r="K743" t="s">
        <v>6022</v>
      </c>
      <c r="L743" t="s">
        <v>8569</v>
      </c>
    </row>
    <row r="744" spans="1:12" x14ac:dyDescent="0.35">
      <c r="A744" t="str">
        <f t="shared" si="11"/>
        <v>Assets Under Management - Small, Medium Enterprise Customers</v>
      </c>
      <c r="B744" t="s">
        <v>296</v>
      </c>
      <c r="C744" t="s">
        <v>6023</v>
      </c>
      <c r="D744" t="s">
        <v>6024</v>
      </c>
      <c r="E744" t="s">
        <v>6025</v>
      </c>
      <c r="F744" t="s">
        <v>6026</v>
      </c>
      <c r="G744" t="s">
        <v>6027</v>
      </c>
      <c r="H744" t="s">
        <v>6028</v>
      </c>
      <c r="I744" t="s">
        <v>6029</v>
      </c>
      <c r="J744" t="s">
        <v>6030</v>
      </c>
      <c r="K744" t="s">
        <v>6031</v>
      </c>
      <c r="L744" t="s">
        <v>8570</v>
      </c>
    </row>
    <row r="745" spans="1:12" x14ac:dyDescent="0.35">
      <c r="A745" t="str">
        <f t="shared" si="11"/>
        <v>Assets Under Management - Other Customers</v>
      </c>
      <c r="B745" t="s">
        <v>297</v>
      </c>
      <c r="C745" t="s">
        <v>5960</v>
      </c>
      <c r="D745" t="s">
        <v>5961</v>
      </c>
      <c r="E745" t="s">
        <v>5962</v>
      </c>
      <c r="F745" t="s">
        <v>5963</v>
      </c>
      <c r="G745" t="s">
        <v>5964</v>
      </c>
      <c r="H745" t="s">
        <v>6032</v>
      </c>
      <c r="I745" t="s">
        <v>5966</v>
      </c>
      <c r="J745" t="s">
        <v>5967</v>
      </c>
      <c r="K745" t="s">
        <v>5968</v>
      </c>
      <c r="L745" t="s">
        <v>8563</v>
      </c>
    </row>
    <row r="746" spans="1:12" x14ac:dyDescent="0.35">
      <c r="A746" t="str">
        <f t="shared" si="11"/>
        <v>Assets Under Management - Total Customers</v>
      </c>
      <c r="B746" t="s">
        <v>298</v>
      </c>
      <c r="C746" t="s">
        <v>6033</v>
      </c>
      <c r="D746" t="s">
        <v>6034</v>
      </c>
      <c r="E746" t="s">
        <v>6035</v>
      </c>
      <c r="F746" t="s">
        <v>6036</v>
      </c>
      <c r="G746" t="s">
        <v>6037</v>
      </c>
      <c r="H746" t="s">
        <v>6038</v>
      </c>
      <c r="I746" t="s">
        <v>6039</v>
      </c>
      <c r="J746" t="s">
        <v>6040</v>
      </c>
      <c r="K746" t="s">
        <v>6041</v>
      </c>
      <c r="L746" t="s">
        <v>8571</v>
      </c>
    </row>
    <row r="747" spans="1:12" x14ac:dyDescent="0.35">
      <c r="A747" t="str">
        <f t="shared" ref="A747:A810" si="12">INDEX($B747:$CW747,,$A$5)</f>
        <v>Assets Under Management - Beginning of Period</v>
      </c>
      <c r="B747" t="s">
        <v>299</v>
      </c>
      <c r="C747" t="s">
        <v>6042</v>
      </c>
      <c r="D747" t="s">
        <v>6043</v>
      </c>
      <c r="E747" t="s">
        <v>6044</v>
      </c>
      <c r="F747" t="s">
        <v>6045</v>
      </c>
      <c r="G747" t="s">
        <v>6046</v>
      </c>
      <c r="H747" t="s">
        <v>6047</v>
      </c>
      <c r="I747" t="s">
        <v>6048</v>
      </c>
      <c r="J747" t="s">
        <v>6049</v>
      </c>
      <c r="K747" t="s">
        <v>6050</v>
      </c>
      <c r="L747" t="s">
        <v>8572</v>
      </c>
    </row>
    <row r="748" spans="1:12" x14ac:dyDescent="0.35">
      <c r="A748" t="str">
        <f t="shared" si="12"/>
        <v>Assets Under Management - Inflows</v>
      </c>
      <c r="B748" t="s">
        <v>300</v>
      </c>
      <c r="C748" t="s">
        <v>6051</v>
      </c>
      <c r="D748" t="s">
        <v>6052</v>
      </c>
      <c r="E748" t="s">
        <v>6053</v>
      </c>
      <c r="F748" t="s">
        <v>6054</v>
      </c>
      <c r="G748" t="s">
        <v>6055</v>
      </c>
      <c r="H748" t="s">
        <v>6056</v>
      </c>
      <c r="I748" t="s">
        <v>6057</v>
      </c>
      <c r="J748" t="s">
        <v>6058</v>
      </c>
      <c r="K748" t="s">
        <v>6059</v>
      </c>
      <c r="L748" t="s">
        <v>8573</v>
      </c>
    </row>
    <row r="749" spans="1:12" x14ac:dyDescent="0.35">
      <c r="A749" t="str">
        <f t="shared" si="12"/>
        <v>Assets Under Management - Outflows</v>
      </c>
      <c r="B749" t="s">
        <v>301</v>
      </c>
      <c r="C749" t="s">
        <v>6060</v>
      </c>
      <c r="D749" t="s">
        <v>6061</v>
      </c>
      <c r="E749" t="s">
        <v>6062</v>
      </c>
      <c r="F749" t="s">
        <v>6063</v>
      </c>
      <c r="G749" t="s">
        <v>6064</v>
      </c>
      <c r="H749" t="s">
        <v>6065</v>
      </c>
      <c r="I749" t="s">
        <v>6066</v>
      </c>
      <c r="J749" t="s">
        <v>6067</v>
      </c>
      <c r="K749" t="s">
        <v>6068</v>
      </c>
      <c r="L749" t="s">
        <v>8574</v>
      </c>
    </row>
    <row r="750" spans="1:12" x14ac:dyDescent="0.35">
      <c r="A750" t="str">
        <f t="shared" si="12"/>
        <v>Assets Under Management - Net Inflows / (Outflows)</v>
      </c>
      <c r="B750" t="s">
        <v>302</v>
      </c>
      <c r="C750" t="s">
        <v>6069</v>
      </c>
      <c r="D750" t="s">
        <v>6070</v>
      </c>
      <c r="E750" t="s">
        <v>6071</v>
      </c>
      <c r="F750" t="s">
        <v>6072</v>
      </c>
      <c r="G750" t="s">
        <v>6073</v>
      </c>
      <c r="H750" t="s">
        <v>6074</v>
      </c>
      <c r="I750" t="s">
        <v>6075</v>
      </c>
      <c r="J750" t="s">
        <v>6076</v>
      </c>
      <c r="K750" t="s">
        <v>6077</v>
      </c>
      <c r="L750" t="s">
        <v>8575</v>
      </c>
    </row>
    <row r="751" spans="1:12" x14ac:dyDescent="0.35">
      <c r="A751" t="str">
        <f t="shared" si="12"/>
        <v>Assets Under Management - Cash Flows &amp; Dividends</v>
      </c>
      <c r="B751" t="s">
        <v>303</v>
      </c>
      <c r="C751" t="s">
        <v>6078</v>
      </c>
      <c r="D751" t="s">
        <v>6079</v>
      </c>
      <c r="E751" t="s">
        <v>6080</v>
      </c>
      <c r="F751" t="s">
        <v>6081</v>
      </c>
      <c r="G751" t="s">
        <v>6082</v>
      </c>
      <c r="H751" t="s">
        <v>6083</v>
      </c>
      <c r="I751" t="s">
        <v>6084</v>
      </c>
      <c r="J751" t="s">
        <v>6085</v>
      </c>
      <c r="K751" t="s">
        <v>6086</v>
      </c>
      <c r="L751" t="s">
        <v>8576</v>
      </c>
    </row>
    <row r="752" spans="1:12" x14ac:dyDescent="0.35">
      <c r="A752" t="str">
        <f t="shared" si="12"/>
        <v>Assets Under Management - Market Appreciation / (Depreciation)</v>
      </c>
      <c r="B752" t="s">
        <v>431</v>
      </c>
      <c r="C752" t="s">
        <v>6087</v>
      </c>
      <c r="D752" t="s">
        <v>6088</v>
      </c>
      <c r="E752" t="s">
        <v>6089</v>
      </c>
      <c r="F752" t="s">
        <v>6090</v>
      </c>
      <c r="G752" t="s">
        <v>6091</v>
      </c>
      <c r="H752" t="s">
        <v>6092</v>
      </c>
      <c r="I752" t="s">
        <v>6093</v>
      </c>
      <c r="J752" t="s">
        <v>6094</v>
      </c>
      <c r="K752" t="s">
        <v>6095</v>
      </c>
      <c r="L752" t="s">
        <v>8577</v>
      </c>
    </row>
    <row r="753" spans="1:12" x14ac:dyDescent="0.35">
      <c r="A753" t="str">
        <f t="shared" si="12"/>
        <v>Assets Under Management - Acquisitions and Transfers</v>
      </c>
      <c r="B753" t="s">
        <v>432</v>
      </c>
      <c r="C753" t="s">
        <v>6096</v>
      </c>
      <c r="D753" t="s">
        <v>6097</v>
      </c>
      <c r="E753" t="s">
        <v>6098</v>
      </c>
      <c r="F753" t="s">
        <v>6099</v>
      </c>
      <c r="G753" t="s">
        <v>6100</v>
      </c>
      <c r="H753" t="s">
        <v>6101</v>
      </c>
      <c r="I753" t="s">
        <v>6102</v>
      </c>
      <c r="J753" t="s">
        <v>6103</v>
      </c>
      <c r="K753" t="s">
        <v>6104</v>
      </c>
      <c r="L753" t="s">
        <v>8578</v>
      </c>
    </row>
    <row r="754" spans="1:12" x14ac:dyDescent="0.35">
      <c r="A754" t="str">
        <f t="shared" si="12"/>
        <v>Assets Under Management - Other Adjustments</v>
      </c>
      <c r="B754" t="s">
        <v>433</v>
      </c>
      <c r="C754" t="s">
        <v>6105</v>
      </c>
      <c r="D754" t="s">
        <v>6106</v>
      </c>
      <c r="E754" t="s">
        <v>6107</v>
      </c>
      <c r="F754" t="s">
        <v>6108</v>
      </c>
      <c r="G754" t="s">
        <v>6109</v>
      </c>
      <c r="H754" t="s">
        <v>6110</v>
      </c>
      <c r="I754" t="s">
        <v>6111</v>
      </c>
      <c r="J754" t="s">
        <v>6112</v>
      </c>
      <c r="K754" t="s">
        <v>6113</v>
      </c>
      <c r="L754" t="s">
        <v>8579</v>
      </c>
    </row>
    <row r="755" spans="1:12" x14ac:dyDescent="0.35">
      <c r="A755" t="str">
        <f t="shared" si="12"/>
        <v>Assets Under Management - End of Period</v>
      </c>
      <c r="B755" t="s">
        <v>434</v>
      </c>
      <c r="C755" t="s">
        <v>6114</v>
      </c>
      <c r="D755" t="s">
        <v>6115</v>
      </c>
      <c r="E755" t="s">
        <v>6116</v>
      </c>
      <c r="F755" t="s">
        <v>6117</v>
      </c>
      <c r="G755" t="s">
        <v>6118</v>
      </c>
      <c r="H755" t="s">
        <v>6119</v>
      </c>
      <c r="I755" t="s">
        <v>6120</v>
      </c>
      <c r="J755" t="s">
        <v>6121</v>
      </c>
      <c r="K755" t="s">
        <v>6122</v>
      </c>
      <c r="L755" t="s">
        <v>8580</v>
      </c>
    </row>
    <row r="756" spans="1:12" x14ac:dyDescent="0.35">
      <c r="A756" t="str">
        <f t="shared" si="12"/>
        <v>Assets Under Management - Average</v>
      </c>
      <c r="B756" t="s">
        <v>435</v>
      </c>
      <c r="C756" t="s">
        <v>6123</v>
      </c>
      <c r="D756" t="s">
        <v>6124</v>
      </c>
      <c r="E756" t="s">
        <v>6125</v>
      </c>
      <c r="F756" t="s">
        <v>6126</v>
      </c>
      <c r="G756" t="s">
        <v>6127</v>
      </c>
      <c r="H756" t="s">
        <v>6128</v>
      </c>
      <c r="I756" t="s">
        <v>6129</v>
      </c>
      <c r="J756" t="s">
        <v>6130</v>
      </c>
      <c r="K756" t="s">
        <v>6131</v>
      </c>
      <c r="L756" t="s">
        <v>8581</v>
      </c>
    </row>
    <row r="757" spans="1:12" x14ac:dyDescent="0.35">
      <c r="A757" t="str">
        <f t="shared" si="12"/>
        <v>Assets Under Management - Net Change</v>
      </c>
      <c r="B757" t="s">
        <v>436</v>
      </c>
      <c r="C757" t="s">
        <v>6132</v>
      </c>
      <c r="D757" t="s">
        <v>6133</v>
      </c>
      <c r="E757" t="s">
        <v>6134</v>
      </c>
      <c r="F757" t="s">
        <v>6135</v>
      </c>
      <c r="G757" t="s">
        <v>6136</v>
      </c>
      <c r="H757" t="s">
        <v>6137</v>
      </c>
      <c r="I757" t="s">
        <v>6138</v>
      </c>
      <c r="J757" t="s">
        <v>6139</v>
      </c>
      <c r="K757" t="s">
        <v>6140</v>
      </c>
      <c r="L757" t="s">
        <v>8582</v>
      </c>
    </row>
    <row r="758" spans="1:12" x14ac:dyDescent="0.35">
      <c r="A758" t="str">
        <f t="shared" si="12"/>
        <v>Mutual Fund - Beginning of Period</v>
      </c>
      <c r="B758" t="s">
        <v>437</v>
      </c>
      <c r="C758" t="s">
        <v>6141</v>
      </c>
      <c r="D758" t="s">
        <v>6141</v>
      </c>
      <c r="E758" t="s">
        <v>6142</v>
      </c>
      <c r="F758" t="s">
        <v>6143</v>
      </c>
      <c r="G758" t="s">
        <v>6144</v>
      </c>
      <c r="H758" t="s">
        <v>6145</v>
      </c>
      <c r="I758" t="s">
        <v>6146</v>
      </c>
      <c r="J758" t="s">
        <v>6147</v>
      </c>
      <c r="K758" t="s">
        <v>6148</v>
      </c>
      <c r="L758" t="s">
        <v>8583</v>
      </c>
    </row>
    <row r="759" spans="1:12" x14ac:dyDescent="0.35">
      <c r="A759" t="str">
        <f t="shared" si="12"/>
        <v>Mutual Fund - Sales</v>
      </c>
      <c r="B759" t="s">
        <v>438</v>
      </c>
      <c r="C759" t="s">
        <v>6149</v>
      </c>
      <c r="D759" t="s">
        <v>6150</v>
      </c>
      <c r="E759" t="s">
        <v>6151</v>
      </c>
      <c r="F759" t="s">
        <v>6152</v>
      </c>
      <c r="G759" t="s">
        <v>6153</v>
      </c>
      <c r="H759" t="s">
        <v>6154</v>
      </c>
      <c r="I759" t="s">
        <v>6155</v>
      </c>
      <c r="J759" t="s">
        <v>6156</v>
      </c>
      <c r="K759" t="s">
        <v>6157</v>
      </c>
      <c r="L759" t="s">
        <v>8584</v>
      </c>
    </row>
    <row r="760" spans="1:12" x14ac:dyDescent="0.35">
      <c r="A760" t="str">
        <f t="shared" si="12"/>
        <v>Mutual Fund - Redemptions</v>
      </c>
      <c r="B760" t="s">
        <v>439</v>
      </c>
      <c r="C760" t="s">
        <v>6158</v>
      </c>
      <c r="D760" t="s">
        <v>6159</v>
      </c>
      <c r="E760" t="s">
        <v>6160</v>
      </c>
      <c r="F760" t="s">
        <v>6161</v>
      </c>
      <c r="G760" t="s">
        <v>6162</v>
      </c>
      <c r="H760" t="s">
        <v>6163</v>
      </c>
      <c r="I760" t="s">
        <v>6164</v>
      </c>
      <c r="J760" t="s">
        <v>6165</v>
      </c>
      <c r="K760" t="s">
        <v>6166</v>
      </c>
      <c r="L760" t="s">
        <v>8585</v>
      </c>
    </row>
    <row r="761" spans="1:12" x14ac:dyDescent="0.35">
      <c r="A761" t="str">
        <f t="shared" si="12"/>
        <v>Mutual Fund - Net Sales</v>
      </c>
      <c r="B761" t="s">
        <v>440</v>
      </c>
      <c r="C761" t="s">
        <v>6167</v>
      </c>
      <c r="D761" t="s">
        <v>6168</v>
      </c>
      <c r="E761" t="s">
        <v>6169</v>
      </c>
      <c r="F761" t="s">
        <v>6170</v>
      </c>
      <c r="G761" t="s">
        <v>6171</v>
      </c>
      <c r="H761" t="s">
        <v>6172</v>
      </c>
      <c r="I761" t="s">
        <v>6173</v>
      </c>
      <c r="J761" t="s">
        <v>6174</v>
      </c>
      <c r="K761" t="s">
        <v>6175</v>
      </c>
      <c r="L761" t="s">
        <v>8586</v>
      </c>
    </row>
    <row r="762" spans="1:12" x14ac:dyDescent="0.35">
      <c r="A762" t="str">
        <f t="shared" si="12"/>
        <v>Mutual Fund - Market Appreciation / (Depreciation)</v>
      </c>
      <c r="B762" t="s">
        <v>441</v>
      </c>
      <c r="C762" t="s">
        <v>6176</v>
      </c>
      <c r="D762" t="s">
        <v>6177</v>
      </c>
      <c r="E762" t="s">
        <v>6178</v>
      </c>
      <c r="F762" t="s">
        <v>6179</v>
      </c>
      <c r="G762" t="s">
        <v>6180</v>
      </c>
      <c r="H762" t="s">
        <v>6181</v>
      </c>
      <c r="I762" t="s">
        <v>6182</v>
      </c>
      <c r="J762" t="s">
        <v>6183</v>
      </c>
      <c r="K762" t="s">
        <v>6184</v>
      </c>
      <c r="L762" t="s">
        <v>8587</v>
      </c>
    </row>
    <row r="763" spans="1:12" x14ac:dyDescent="0.35">
      <c r="A763" t="str">
        <f t="shared" si="12"/>
        <v>Mutual Fund - Acquisitions and Other</v>
      </c>
      <c r="B763" t="s">
        <v>442</v>
      </c>
      <c r="C763" t="s">
        <v>6185</v>
      </c>
      <c r="D763" t="s">
        <v>6186</v>
      </c>
      <c r="E763" t="s">
        <v>6187</v>
      </c>
      <c r="F763" t="s">
        <v>6188</v>
      </c>
      <c r="G763" t="s">
        <v>6189</v>
      </c>
      <c r="H763" t="s">
        <v>6190</v>
      </c>
      <c r="I763" t="s">
        <v>6191</v>
      </c>
      <c r="J763" t="s">
        <v>6192</v>
      </c>
      <c r="K763" t="s">
        <v>6193</v>
      </c>
      <c r="L763" t="s">
        <v>8588</v>
      </c>
    </row>
    <row r="764" spans="1:12" x14ac:dyDescent="0.35">
      <c r="A764" t="str">
        <f t="shared" si="12"/>
        <v>Mutual Fund - End of Period</v>
      </c>
      <c r="B764" t="s">
        <v>443</v>
      </c>
      <c r="C764" t="s">
        <v>6194</v>
      </c>
      <c r="D764" t="s">
        <v>6194</v>
      </c>
      <c r="E764" t="s">
        <v>6195</v>
      </c>
      <c r="F764" t="s">
        <v>6196</v>
      </c>
      <c r="G764" t="s">
        <v>6197</v>
      </c>
      <c r="H764" t="s">
        <v>6198</v>
      </c>
      <c r="I764" t="s">
        <v>6199</v>
      </c>
      <c r="J764" t="s">
        <v>6200</v>
      </c>
      <c r="K764" t="s">
        <v>6201</v>
      </c>
      <c r="L764" t="s">
        <v>8589</v>
      </c>
    </row>
    <row r="765" spans="1:12" x14ac:dyDescent="0.35">
      <c r="A765" t="str">
        <f t="shared" si="12"/>
        <v>Daily Average Revenue Trades</v>
      </c>
      <c r="B765" t="s">
        <v>444</v>
      </c>
      <c r="C765" t="s">
        <v>6202</v>
      </c>
      <c r="D765" t="s">
        <v>6202</v>
      </c>
      <c r="E765" t="s">
        <v>6203</v>
      </c>
      <c r="F765" t="s">
        <v>6204</v>
      </c>
      <c r="G765" t="s">
        <v>6205</v>
      </c>
      <c r="H765" t="s">
        <v>6206</v>
      </c>
      <c r="I765" t="s">
        <v>6207</v>
      </c>
      <c r="J765" t="s">
        <v>6208</v>
      </c>
      <c r="K765" t="s">
        <v>6209</v>
      </c>
      <c r="L765" t="s">
        <v>8590</v>
      </c>
    </row>
    <row r="766" spans="1:12" x14ac:dyDescent="0.35">
      <c r="A766" t="str">
        <f t="shared" si="12"/>
        <v>Number of Trades Executed</v>
      </c>
      <c r="B766" t="s">
        <v>445</v>
      </c>
      <c r="C766" t="s">
        <v>6210</v>
      </c>
      <c r="D766" t="s">
        <v>6211</v>
      </c>
      <c r="E766" t="s">
        <v>6212</v>
      </c>
      <c r="F766" t="s">
        <v>6213</v>
      </c>
      <c r="G766" t="s">
        <v>6214</v>
      </c>
      <c r="H766" t="s">
        <v>6215</v>
      </c>
      <c r="I766" t="s">
        <v>6216</v>
      </c>
      <c r="J766" t="s">
        <v>6217</v>
      </c>
      <c r="K766" t="s">
        <v>6218</v>
      </c>
      <c r="L766" t="s">
        <v>8591</v>
      </c>
    </row>
    <row r="767" spans="1:12" x14ac:dyDescent="0.35">
      <c r="A767" t="str">
        <f t="shared" si="12"/>
        <v>Organic Growth Rate</v>
      </c>
      <c r="B767" t="s">
        <v>446</v>
      </c>
      <c r="C767" t="s">
        <v>6219</v>
      </c>
      <c r="D767" t="s">
        <v>6220</v>
      </c>
      <c r="E767" t="s">
        <v>6221</v>
      </c>
      <c r="F767" t="s">
        <v>6222</v>
      </c>
      <c r="G767" t="s">
        <v>6223</v>
      </c>
      <c r="H767" t="s">
        <v>6224</v>
      </c>
      <c r="I767" t="s">
        <v>6225</v>
      </c>
      <c r="J767" t="s">
        <v>6226</v>
      </c>
      <c r="K767" t="s">
        <v>6227</v>
      </c>
      <c r="L767" t="s">
        <v>8592</v>
      </c>
    </row>
    <row r="768" spans="1:12" x14ac:dyDescent="0.35">
      <c r="A768" t="str">
        <f t="shared" si="12"/>
        <v>Net New Client Assets</v>
      </c>
      <c r="B768" t="s">
        <v>447</v>
      </c>
      <c r="C768" t="s">
        <v>6228</v>
      </c>
      <c r="D768" t="s">
        <v>6229</v>
      </c>
      <c r="E768" t="s">
        <v>6230</v>
      </c>
      <c r="F768" t="s">
        <v>6231</v>
      </c>
      <c r="G768" t="s">
        <v>6232</v>
      </c>
      <c r="H768" t="s">
        <v>6233</v>
      </c>
      <c r="I768" t="s">
        <v>6234</v>
      </c>
      <c r="J768" t="s">
        <v>6235</v>
      </c>
      <c r="K768" t="s">
        <v>6236</v>
      </c>
      <c r="L768" t="s">
        <v>8593</v>
      </c>
    </row>
    <row r="769" spans="1:12" x14ac:dyDescent="0.35">
      <c r="A769" t="str">
        <f t="shared" si="12"/>
        <v>Average Revenue Per Trade</v>
      </c>
      <c r="B769" t="s">
        <v>448</v>
      </c>
      <c r="C769" t="s">
        <v>6237</v>
      </c>
      <c r="D769" t="s">
        <v>6238</v>
      </c>
      <c r="E769" t="s">
        <v>6239</v>
      </c>
      <c r="F769" t="s">
        <v>6240</v>
      </c>
      <c r="G769" t="s">
        <v>6241</v>
      </c>
      <c r="H769" t="s">
        <v>6242</v>
      </c>
      <c r="I769" t="s">
        <v>6243</v>
      </c>
      <c r="J769" t="s">
        <v>6244</v>
      </c>
      <c r="K769" t="s">
        <v>6245</v>
      </c>
      <c r="L769" t="s">
        <v>8594</v>
      </c>
    </row>
    <row r="770" spans="1:12" x14ac:dyDescent="0.35">
      <c r="A770" t="str">
        <f t="shared" si="12"/>
        <v>Assets Under Administration</v>
      </c>
      <c r="B770" t="s">
        <v>449</v>
      </c>
      <c r="C770" t="s">
        <v>6246</v>
      </c>
      <c r="D770" t="s">
        <v>6247</v>
      </c>
      <c r="E770" t="s">
        <v>5908</v>
      </c>
      <c r="F770" t="s">
        <v>5909</v>
      </c>
      <c r="G770" t="s">
        <v>5910</v>
      </c>
      <c r="H770" t="s">
        <v>6248</v>
      </c>
      <c r="I770" t="s">
        <v>6249</v>
      </c>
      <c r="J770" t="s">
        <v>6250</v>
      </c>
      <c r="K770" t="s">
        <v>6251</v>
      </c>
      <c r="L770" t="s">
        <v>8595</v>
      </c>
    </row>
    <row r="771" spans="1:12" x14ac:dyDescent="0.35">
      <c r="A771" t="str">
        <f t="shared" si="12"/>
        <v>Value of Customer Assets</v>
      </c>
      <c r="B771" t="s">
        <v>450</v>
      </c>
      <c r="C771" t="s">
        <v>6252</v>
      </c>
      <c r="D771" t="s">
        <v>6253</v>
      </c>
      <c r="E771" t="s">
        <v>6254</v>
      </c>
      <c r="F771" t="s">
        <v>6255</v>
      </c>
      <c r="G771" t="s">
        <v>6256</v>
      </c>
      <c r="H771" t="s">
        <v>6257</v>
      </c>
      <c r="I771" t="s">
        <v>6258</v>
      </c>
      <c r="J771" t="s">
        <v>6259</v>
      </c>
      <c r="K771" t="s">
        <v>6260</v>
      </c>
      <c r="L771" t="s">
        <v>8596</v>
      </c>
    </row>
    <row r="772" spans="1:12" x14ac:dyDescent="0.35">
      <c r="A772" t="str">
        <f t="shared" si="12"/>
        <v>Asset Managed Growth Rate</v>
      </c>
      <c r="B772" t="s">
        <v>451</v>
      </c>
      <c r="C772" t="s">
        <v>6261</v>
      </c>
      <c r="D772" t="s">
        <v>6262</v>
      </c>
      <c r="E772" t="s">
        <v>6263</v>
      </c>
      <c r="F772" t="s">
        <v>6264</v>
      </c>
      <c r="G772" t="s">
        <v>6265</v>
      </c>
      <c r="H772" t="s">
        <v>6266</v>
      </c>
      <c r="I772" t="s">
        <v>6267</v>
      </c>
      <c r="J772" t="s">
        <v>6268</v>
      </c>
      <c r="K772" t="s">
        <v>6269</v>
      </c>
      <c r="L772" t="s">
        <v>8597</v>
      </c>
    </row>
    <row r="773" spans="1:12" x14ac:dyDescent="0.35">
      <c r="A773" t="str">
        <f t="shared" si="12"/>
        <v>Assets under Capital Lease - Gross</v>
      </c>
      <c r="B773" t="s">
        <v>153</v>
      </c>
      <c r="C773" t="s">
        <v>6270</v>
      </c>
      <c r="D773" t="s">
        <v>6271</v>
      </c>
      <c r="E773" t="s">
        <v>6272</v>
      </c>
      <c r="F773" t="s">
        <v>6273</v>
      </c>
      <c r="G773" t="s">
        <v>6274</v>
      </c>
      <c r="H773" t="s">
        <v>6275</v>
      </c>
      <c r="I773" t="s">
        <v>6276</v>
      </c>
      <c r="J773" t="s">
        <v>6277</v>
      </c>
      <c r="K773" t="s">
        <v>6278</v>
      </c>
      <c r="L773" t="s">
        <v>8598</v>
      </c>
    </row>
    <row r="774" spans="1:12" x14ac:dyDescent="0.35">
      <c r="A774" t="str">
        <f t="shared" si="12"/>
        <v>Assets under Capital Lease - Accumulated Depreciation</v>
      </c>
      <c r="B774" t="s">
        <v>154</v>
      </c>
      <c r="C774" t="s">
        <v>8094</v>
      </c>
      <c r="D774" t="s">
        <v>8095</v>
      </c>
      <c r="E774" t="s">
        <v>8096</v>
      </c>
      <c r="F774" t="s">
        <v>8097</v>
      </c>
      <c r="G774" t="s">
        <v>8098</v>
      </c>
      <c r="H774" t="s">
        <v>8099</v>
      </c>
      <c r="I774" t="s">
        <v>8100</v>
      </c>
      <c r="J774" t="s">
        <v>8101</v>
      </c>
      <c r="K774" t="s">
        <v>8102</v>
      </c>
      <c r="L774" t="s">
        <v>10871</v>
      </c>
    </row>
    <row r="775" spans="1:12" x14ac:dyDescent="0.35">
      <c r="A775" t="str">
        <f t="shared" si="12"/>
        <v>Assets on Operating Lease - Gross</v>
      </c>
      <c r="B775" t="s">
        <v>155</v>
      </c>
      <c r="C775" t="s">
        <v>6279</v>
      </c>
      <c r="D775" t="s">
        <v>6280</v>
      </c>
      <c r="E775" t="s">
        <v>6281</v>
      </c>
      <c r="F775" t="s">
        <v>6282</v>
      </c>
      <c r="G775" t="s">
        <v>6283</v>
      </c>
      <c r="H775" t="s">
        <v>6284</v>
      </c>
      <c r="I775" t="s">
        <v>6285</v>
      </c>
      <c r="J775" t="s">
        <v>6286</v>
      </c>
      <c r="K775" t="s">
        <v>6287</v>
      </c>
      <c r="L775" t="s">
        <v>8599</v>
      </c>
    </row>
    <row r="776" spans="1:12" x14ac:dyDescent="0.35">
      <c r="A776" t="str">
        <f t="shared" si="12"/>
        <v>Assets on Operating Lease - Accumulated Depreciation</v>
      </c>
      <c r="B776" t="s">
        <v>156</v>
      </c>
      <c r="C776" t="s">
        <v>8085</v>
      </c>
      <c r="D776" t="s">
        <v>8086</v>
      </c>
      <c r="E776" t="s">
        <v>8087</v>
      </c>
      <c r="F776" t="s">
        <v>8088</v>
      </c>
      <c r="G776" t="s">
        <v>8089</v>
      </c>
      <c r="H776" t="s">
        <v>8090</v>
      </c>
      <c r="I776" t="s">
        <v>8091</v>
      </c>
      <c r="J776" t="s">
        <v>8092</v>
      </c>
      <c r="K776" t="s">
        <v>8093</v>
      </c>
      <c r="L776" t="s">
        <v>10872</v>
      </c>
    </row>
    <row r="777" spans="1:12" x14ac:dyDescent="0.35">
      <c r="A777" t="str">
        <f t="shared" si="12"/>
        <v>Accumulated Allowance for Doubtful Accounts</v>
      </c>
      <c r="B777" t="s">
        <v>376</v>
      </c>
      <c r="C777" t="s">
        <v>6288</v>
      </c>
      <c r="D777" t="s">
        <v>6289</v>
      </c>
      <c r="E777" t="s">
        <v>6290</v>
      </c>
      <c r="F777" t="s">
        <v>6291</v>
      </c>
      <c r="G777" t="s">
        <v>6292</v>
      </c>
      <c r="H777" t="s">
        <v>6293</v>
      </c>
      <c r="I777" t="s">
        <v>6294</v>
      </c>
      <c r="J777" t="s">
        <v>6295</v>
      </c>
      <c r="K777" t="s">
        <v>6296</v>
      </c>
      <c r="L777" t="s">
        <v>8600</v>
      </c>
    </row>
    <row r="778" spans="1:12" x14ac:dyDescent="0.35">
      <c r="A778" t="str">
        <f t="shared" si="12"/>
        <v>Options Out. at the Beginning of the Year</v>
      </c>
      <c r="B778" t="s">
        <v>157</v>
      </c>
      <c r="C778" t="s">
        <v>9970</v>
      </c>
      <c r="D778" t="s">
        <v>9971</v>
      </c>
      <c r="E778" t="s">
        <v>9972</v>
      </c>
      <c r="F778" t="s">
        <v>9973</v>
      </c>
      <c r="G778" t="s">
        <v>9974</v>
      </c>
      <c r="H778" t="s">
        <v>9975</v>
      </c>
      <c r="I778" t="s">
        <v>9976</v>
      </c>
      <c r="J778" t="s">
        <v>9977</v>
      </c>
      <c r="K778" t="s">
        <v>9978</v>
      </c>
      <c r="L778" t="s">
        <v>9979</v>
      </c>
    </row>
    <row r="779" spans="1:12" x14ac:dyDescent="0.35">
      <c r="A779" t="str">
        <f t="shared" si="12"/>
        <v>Options Granted During the Year</v>
      </c>
      <c r="B779" t="s">
        <v>158</v>
      </c>
      <c r="C779" t="s">
        <v>9980</v>
      </c>
      <c r="D779" t="s">
        <v>9981</v>
      </c>
      <c r="E779" t="s">
        <v>9982</v>
      </c>
      <c r="F779" t="s">
        <v>9983</v>
      </c>
      <c r="G779" t="s">
        <v>9984</v>
      </c>
      <c r="H779" t="s">
        <v>9985</v>
      </c>
      <c r="I779" t="s">
        <v>9986</v>
      </c>
      <c r="J779" t="s">
        <v>9987</v>
      </c>
      <c r="K779" t="s">
        <v>9988</v>
      </c>
      <c r="L779" t="s">
        <v>9989</v>
      </c>
    </row>
    <row r="780" spans="1:12" x14ac:dyDescent="0.35">
      <c r="A780" t="str">
        <f t="shared" si="12"/>
        <v>Options Exercised During the Year</v>
      </c>
      <c r="B780" t="s">
        <v>864</v>
      </c>
      <c r="C780" t="s">
        <v>9990</v>
      </c>
      <c r="D780" t="s">
        <v>9991</v>
      </c>
      <c r="E780" t="s">
        <v>9992</v>
      </c>
      <c r="F780" t="s">
        <v>9993</v>
      </c>
      <c r="G780" t="s">
        <v>9994</v>
      </c>
      <c r="H780" t="s">
        <v>9995</v>
      </c>
      <c r="I780" t="s">
        <v>9996</v>
      </c>
      <c r="J780" t="s">
        <v>9997</v>
      </c>
      <c r="K780" t="s">
        <v>9998</v>
      </c>
      <c r="L780" t="s">
        <v>9999</v>
      </c>
    </row>
    <row r="781" spans="1:12" x14ac:dyDescent="0.35">
      <c r="A781" t="str">
        <f t="shared" si="12"/>
        <v>Options Cancelled During the Year</v>
      </c>
      <c r="B781" t="s">
        <v>865</v>
      </c>
      <c r="C781" t="s">
        <v>10000</v>
      </c>
      <c r="D781" t="s">
        <v>10001</v>
      </c>
      <c r="E781" t="s">
        <v>10002</v>
      </c>
      <c r="F781" t="s">
        <v>10003</v>
      </c>
      <c r="G781" t="s">
        <v>10004</v>
      </c>
      <c r="H781" t="s">
        <v>10005</v>
      </c>
      <c r="I781" t="s">
        <v>10006</v>
      </c>
      <c r="J781" t="s">
        <v>10007</v>
      </c>
      <c r="K781" t="s">
        <v>10008</v>
      </c>
      <c r="L781" t="s">
        <v>10009</v>
      </c>
    </row>
    <row r="782" spans="1:12" x14ac:dyDescent="0.35">
      <c r="A782" t="str">
        <f t="shared" si="12"/>
        <v>Options Out. at the End of the Year</v>
      </c>
      <c r="B782" t="s">
        <v>866</v>
      </c>
      <c r="C782" t="s">
        <v>10010</v>
      </c>
      <c r="D782" t="s">
        <v>10011</v>
      </c>
      <c r="E782" t="s">
        <v>10012</v>
      </c>
      <c r="F782" t="s">
        <v>10013</v>
      </c>
      <c r="G782" t="s">
        <v>10014</v>
      </c>
      <c r="H782" t="s">
        <v>10015</v>
      </c>
      <c r="I782" t="s">
        <v>10016</v>
      </c>
      <c r="J782" t="s">
        <v>10017</v>
      </c>
      <c r="K782" t="s">
        <v>10018</v>
      </c>
      <c r="L782" t="s">
        <v>10019</v>
      </c>
    </row>
    <row r="783" spans="1:12" x14ac:dyDescent="0.35">
      <c r="A783" t="str">
        <f t="shared" si="12"/>
        <v>Options Exercisable at the End of the Period</v>
      </c>
      <c r="B783" t="s">
        <v>678</v>
      </c>
      <c r="C783" t="s">
        <v>10020</v>
      </c>
      <c r="D783" t="s">
        <v>10021</v>
      </c>
      <c r="E783" t="s">
        <v>10022</v>
      </c>
      <c r="F783" t="s">
        <v>10023</v>
      </c>
      <c r="G783" t="s">
        <v>10024</v>
      </c>
      <c r="H783" t="s">
        <v>10025</v>
      </c>
      <c r="I783" t="s">
        <v>10026</v>
      </c>
      <c r="J783" t="s">
        <v>10027</v>
      </c>
      <c r="K783" t="s">
        <v>10028</v>
      </c>
      <c r="L783" t="s">
        <v>10029</v>
      </c>
    </row>
    <row r="784" spans="1:12" x14ac:dyDescent="0.35">
      <c r="A784" t="str">
        <f t="shared" si="12"/>
        <v>Options W/Avg. Strike Price of Out. at Beginning of Period</v>
      </c>
      <c r="B784" t="s">
        <v>679</v>
      </c>
      <c r="C784" t="s">
        <v>10030</v>
      </c>
      <c r="D784" t="s">
        <v>10031</v>
      </c>
      <c r="E784" t="s">
        <v>10032</v>
      </c>
      <c r="F784" t="s">
        <v>10033</v>
      </c>
      <c r="G784" t="s">
        <v>10034</v>
      </c>
      <c r="H784" t="s">
        <v>10035</v>
      </c>
      <c r="I784" t="s">
        <v>10036</v>
      </c>
      <c r="J784" t="s">
        <v>10037</v>
      </c>
      <c r="K784" t="s">
        <v>10038</v>
      </c>
      <c r="L784" t="s">
        <v>10937</v>
      </c>
    </row>
    <row r="785" spans="1:12" x14ac:dyDescent="0.35">
      <c r="A785" t="str">
        <f t="shared" si="12"/>
        <v>Options W/Avg Strike Price of Granted</v>
      </c>
      <c r="B785" t="s">
        <v>868</v>
      </c>
      <c r="C785" t="s">
        <v>10039</v>
      </c>
      <c r="D785" t="s">
        <v>10040</v>
      </c>
      <c r="E785" t="s">
        <v>10041</v>
      </c>
      <c r="F785" t="s">
        <v>10042</v>
      </c>
      <c r="G785" t="s">
        <v>10043</v>
      </c>
      <c r="H785" t="s">
        <v>10044</v>
      </c>
      <c r="I785" t="s">
        <v>10045</v>
      </c>
      <c r="J785" t="s">
        <v>10046</v>
      </c>
      <c r="K785" t="s">
        <v>10047</v>
      </c>
      <c r="L785" t="s">
        <v>10048</v>
      </c>
    </row>
    <row r="786" spans="1:12" x14ac:dyDescent="0.35">
      <c r="A786" t="str">
        <f t="shared" si="12"/>
        <v>Options W/Avg. Strike Price of Exercised</v>
      </c>
      <c r="B786" t="s">
        <v>680</v>
      </c>
      <c r="C786" t="s">
        <v>10049</v>
      </c>
      <c r="D786" t="s">
        <v>10050</v>
      </c>
      <c r="E786" t="s">
        <v>10051</v>
      </c>
      <c r="F786" t="s">
        <v>10052</v>
      </c>
      <c r="G786" t="s">
        <v>10053</v>
      </c>
      <c r="H786" t="s">
        <v>10054</v>
      </c>
      <c r="I786" t="s">
        <v>10055</v>
      </c>
      <c r="J786" t="s">
        <v>10056</v>
      </c>
      <c r="K786" t="s">
        <v>10057</v>
      </c>
      <c r="L786" t="s">
        <v>10058</v>
      </c>
    </row>
    <row r="787" spans="1:12" x14ac:dyDescent="0.35">
      <c r="A787" t="str">
        <f t="shared" si="12"/>
        <v>Options W/Avg. Strike Price of Cancelled</v>
      </c>
      <c r="B787" t="s">
        <v>681</v>
      </c>
      <c r="C787" t="s">
        <v>10059</v>
      </c>
      <c r="D787" t="s">
        <v>10060</v>
      </c>
      <c r="E787" t="s">
        <v>10061</v>
      </c>
      <c r="F787" t="s">
        <v>10062</v>
      </c>
      <c r="G787" t="s">
        <v>10063</v>
      </c>
      <c r="H787" t="s">
        <v>10064</v>
      </c>
      <c r="I787" t="s">
        <v>10065</v>
      </c>
      <c r="J787" t="s">
        <v>10066</v>
      </c>
      <c r="K787" t="s">
        <v>10067</v>
      </c>
      <c r="L787" t="s">
        <v>10068</v>
      </c>
    </row>
    <row r="788" spans="1:12" x14ac:dyDescent="0.35">
      <c r="A788" t="str">
        <f t="shared" si="12"/>
        <v>Options W/Avg. Strike Price of Out.</v>
      </c>
      <c r="B788" t="s">
        <v>867</v>
      </c>
      <c r="C788" t="s">
        <v>10069</v>
      </c>
      <c r="D788" t="s">
        <v>10070</v>
      </c>
      <c r="E788" t="s">
        <v>10071</v>
      </c>
      <c r="F788" t="s">
        <v>10072</v>
      </c>
      <c r="G788" t="s">
        <v>10073</v>
      </c>
      <c r="H788" t="s">
        <v>10074</v>
      </c>
      <c r="I788" t="s">
        <v>10075</v>
      </c>
      <c r="J788" t="s">
        <v>10076</v>
      </c>
      <c r="K788" t="s">
        <v>10077</v>
      </c>
      <c r="L788" t="s">
        <v>10078</v>
      </c>
    </row>
    <row r="789" spans="1:12" x14ac:dyDescent="0.35">
      <c r="A789" t="str">
        <f t="shared" si="12"/>
        <v>Options W/Avg. Strike Price of Exercisable</v>
      </c>
      <c r="B789" t="s">
        <v>682</v>
      </c>
      <c r="C789" t="s">
        <v>10079</v>
      </c>
      <c r="D789" t="s">
        <v>10080</v>
      </c>
      <c r="E789" t="s">
        <v>10071</v>
      </c>
      <c r="F789" t="s">
        <v>10081</v>
      </c>
      <c r="G789" t="s">
        <v>10082</v>
      </c>
      <c r="H789" t="s">
        <v>10083</v>
      </c>
      <c r="I789" t="s">
        <v>10084</v>
      </c>
      <c r="J789" t="s">
        <v>10085</v>
      </c>
      <c r="K789" t="s">
        <v>10086</v>
      </c>
      <c r="L789" t="s">
        <v>10087</v>
      </c>
    </row>
    <row r="790" spans="1:12" x14ac:dyDescent="0.35">
      <c r="A790" t="str">
        <f t="shared" si="12"/>
        <v>Options Out. at the Beginning of Year - Class A</v>
      </c>
      <c r="B790" t="s">
        <v>869</v>
      </c>
      <c r="C790" t="s">
        <v>10088</v>
      </c>
      <c r="D790" t="s">
        <v>10089</v>
      </c>
      <c r="E790" t="s">
        <v>10090</v>
      </c>
      <c r="F790" t="s">
        <v>10091</v>
      </c>
      <c r="G790" t="s">
        <v>10092</v>
      </c>
      <c r="H790" t="s">
        <v>10093</v>
      </c>
      <c r="I790" t="s">
        <v>10094</v>
      </c>
      <c r="J790" t="s">
        <v>10095</v>
      </c>
      <c r="K790" t="s">
        <v>10096</v>
      </c>
      <c r="L790" t="s">
        <v>10097</v>
      </c>
    </row>
    <row r="791" spans="1:12" x14ac:dyDescent="0.35">
      <c r="A791" t="str">
        <f t="shared" si="12"/>
        <v>Options Granted During the Year - Class A</v>
      </c>
      <c r="B791" t="s">
        <v>870</v>
      </c>
      <c r="C791" t="s">
        <v>10098</v>
      </c>
      <c r="D791" t="s">
        <v>10099</v>
      </c>
      <c r="E791" t="s">
        <v>10100</v>
      </c>
      <c r="F791" t="s">
        <v>10101</v>
      </c>
      <c r="G791" t="s">
        <v>10102</v>
      </c>
      <c r="H791" t="s">
        <v>10103</v>
      </c>
      <c r="I791" t="s">
        <v>10104</v>
      </c>
      <c r="J791" t="s">
        <v>10105</v>
      </c>
      <c r="K791" t="s">
        <v>10106</v>
      </c>
      <c r="L791" t="s">
        <v>10107</v>
      </c>
    </row>
    <row r="792" spans="1:12" x14ac:dyDescent="0.35">
      <c r="A792" t="str">
        <f t="shared" si="12"/>
        <v>Options Exercised During the Year - Class A</v>
      </c>
      <c r="B792" t="s">
        <v>871</v>
      </c>
      <c r="C792" t="s">
        <v>10108</v>
      </c>
      <c r="D792" t="s">
        <v>10109</v>
      </c>
      <c r="E792" t="s">
        <v>10110</v>
      </c>
      <c r="F792" t="s">
        <v>10111</v>
      </c>
      <c r="G792" t="s">
        <v>10112</v>
      </c>
      <c r="H792" t="s">
        <v>10113</v>
      </c>
      <c r="I792" t="s">
        <v>10114</v>
      </c>
      <c r="J792" t="s">
        <v>10115</v>
      </c>
      <c r="K792" t="s">
        <v>10116</v>
      </c>
      <c r="L792" t="s">
        <v>10117</v>
      </c>
    </row>
    <row r="793" spans="1:12" x14ac:dyDescent="0.35">
      <c r="A793" t="str">
        <f t="shared" si="12"/>
        <v>Options Cancelled During the Year - Class A</v>
      </c>
      <c r="B793" t="s">
        <v>872</v>
      </c>
      <c r="C793" t="s">
        <v>10118</v>
      </c>
      <c r="D793" t="s">
        <v>10119</v>
      </c>
      <c r="E793" t="s">
        <v>10120</v>
      </c>
      <c r="F793" t="s">
        <v>10121</v>
      </c>
      <c r="G793" t="s">
        <v>10122</v>
      </c>
      <c r="H793" t="s">
        <v>10123</v>
      </c>
      <c r="I793" t="s">
        <v>10124</v>
      </c>
      <c r="J793" t="s">
        <v>10125</v>
      </c>
      <c r="K793" t="s">
        <v>10126</v>
      </c>
      <c r="L793" t="s">
        <v>10127</v>
      </c>
    </row>
    <row r="794" spans="1:12" x14ac:dyDescent="0.35">
      <c r="A794" t="str">
        <f t="shared" si="12"/>
        <v>Options Out. at the End of the Year - Class A</v>
      </c>
      <c r="B794" t="s">
        <v>873</v>
      </c>
      <c r="C794" t="s">
        <v>10128</v>
      </c>
      <c r="D794" t="s">
        <v>10129</v>
      </c>
      <c r="E794" t="s">
        <v>10130</v>
      </c>
      <c r="F794" t="s">
        <v>10131</v>
      </c>
      <c r="G794" t="s">
        <v>10132</v>
      </c>
      <c r="H794" t="s">
        <v>10133</v>
      </c>
      <c r="I794" t="s">
        <v>10134</v>
      </c>
      <c r="J794" t="s">
        <v>10135</v>
      </c>
      <c r="K794" t="s">
        <v>10136</v>
      </c>
      <c r="L794" t="s">
        <v>10137</v>
      </c>
    </row>
    <row r="795" spans="1:12" x14ac:dyDescent="0.35">
      <c r="A795" t="str">
        <f t="shared" si="12"/>
        <v>Options Exercisable at End of Period - Class A</v>
      </c>
      <c r="B795" t="s">
        <v>683</v>
      </c>
      <c r="C795" t="s">
        <v>10138</v>
      </c>
      <c r="D795" t="s">
        <v>10139</v>
      </c>
      <c r="E795" t="s">
        <v>10140</v>
      </c>
      <c r="F795" t="s">
        <v>10141</v>
      </c>
      <c r="G795" t="s">
        <v>10142</v>
      </c>
      <c r="H795" t="s">
        <v>10143</v>
      </c>
      <c r="I795" t="s">
        <v>10144</v>
      </c>
      <c r="J795" t="s">
        <v>10145</v>
      </c>
      <c r="K795" t="s">
        <v>10146</v>
      </c>
      <c r="L795" t="s">
        <v>10147</v>
      </c>
    </row>
    <row r="796" spans="1:12" x14ac:dyDescent="0.35">
      <c r="A796" t="str">
        <f t="shared" si="12"/>
        <v>Options W/Avg. Strike Price of Out. at Beginning of Period - Class A</v>
      </c>
      <c r="B796" t="s">
        <v>684</v>
      </c>
      <c r="C796" t="s">
        <v>10148</v>
      </c>
      <c r="D796" t="s">
        <v>10149</v>
      </c>
      <c r="E796" t="s">
        <v>10150</v>
      </c>
      <c r="F796" t="s">
        <v>10151</v>
      </c>
      <c r="G796" t="s">
        <v>10152</v>
      </c>
      <c r="H796" t="s">
        <v>10153</v>
      </c>
      <c r="I796" t="s">
        <v>10154</v>
      </c>
      <c r="J796" t="s">
        <v>10155</v>
      </c>
      <c r="K796" t="s">
        <v>10156</v>
      </c>
      <c r="L796" t="s">
        <v>10157</v>
      </c>
    </row>
    <row r="797" spans="1:12" x14ac:dyDescent="0.35">
      <c r="A797" t="str">
        <f t="shared" si="12"/>
        <v>Options W/Avg Strike Price of Granted - Class A</v>
      </c>
      <c r="B797" t="s">
        <v>875</v>
      </c>
      <c r="C797" t="s">
        <v>10158</v>
      </c>
      <c r="D797" t="s">
        <v>10159</v>
      </c>
      <c r="E797" t="s">
        <v>10160</v>
      </c>
      <c r="F797" t="s">
        <v>10161</v>
      </c>
      <c r="G797" t="s">
        <v>10162</v>
      </c>
      <c r="H797" t="s">
        <v>10163</v>
      </c>
      <c r="I797" t="s">
        <v>10164</v>
      </c>
      <c r="J797" t="s">
        <v>10165</v>
      </c>
      <c r="K797" t="s">
        <v>10166</v>
      </c>
      <c r="L797" t="s">
        <v>10167</v>
      </c>
    </row>
    <row r="798" spans="1:12" x14ac:dyDescent="0.35">
      <c r="A798" t="str">
        <f t="shared" si="12"/>
        <v>Options W/Avg. Strike Price of Exercised - Class A</v>
      </c>
      <c r="B798" t="s">
        <v>159</v>
      </c>
      <c r="C798" t="s">
        <v>10168</v>
      </c>
      <c r="D798" t="s">
        <v>10169</v>
      </c>
      <c r="E798" t="s">
        <v>10170</v>
      </c>
      <c r="F798" t="s">
        <v>10171</v>
      </c>
      <c r="G798" t="s">
        <v>10172</v>
      </c>
      <c r="H798" t="s">
        <v>10173</v>
      </c>
      <c r="I798" t="s">
        <v>10174</v>
      </c>
      <c r="J798" t="s">
        <v>10175</v>
      </c>
      <c r="K798" t="s">
        <v>10176</v>
      </c>
      <c r="L798" t="s">
        <v>10177</v>
      </c>
    </row>
    <row r="799" spans="1:12" x14ac:dyDescent="0.35">
      <c r="A799" t="str">
        <f t="shared" si="12"/>
        <v>Options W/Avg. Strike Price of Cancelled - Class A</v>
      </c>
      <c r="B799" t="s">
        <v>160</v>
      </c>
      <c r="C799" t="s">
        <v>10178</v>
      </c>
      <c r="D799" t="s">
        <v>10179</v>
      </c>
      <c r="E799" t="s">
        <v>10180</v>
      </c>
      <c r="F799" t="s">
        <v>10181</v>
      </c>
      <c r="G799" t="s">
        <v>10182</v>
      </c>
      <c r="H799" t="s">
        <v>10183</v>
      </c>
      <c r="I799" t="s">
        <v>10184</v>
      </c>
      <c r="J799" t="s">
        <v>10185</v>
      </c>
      <c r="K799" t="s">
        <v>10186</v>
      </c>
      <c r="L799" t="s">
        <v>10187</v>
      </c>
    </row>
    <row r="800" spans="1:12" x14ac:dyDescent="0.35">
      <c r="A800" t="str">
        <f t="shared" si="12"/>
        <v>Options W/Avg. Strike Price of Out. - Class A</v>
      </c>
      <c r="B800" t="s">
        <v>874</v>
      </c>
      <c r="C800" t="s">
        <v>10188</v>
      </c>
      <c r="D800" t="s">
        <v>10189</v>
      </c>
      <c r="E800" t="s">
        <v>10190</v>
      </c>
      <c r="F800" t="s">
        <v>10191</v>
      </c>
      <c r="G800" t="s">
        <v>10192</v>
      </c>
      <c r="H800" t="s">
        <v>10193</v>
      </c>
      <c r="I800" t="s">
        <v>10194</v>
      </c>
      <c r="J800" t="s">
        <v>10195</v>
      </c>
      <c r="K800" t="s">
        <v>10196</v>
      </c>
      <c r="L800" t="s">
        <v>10197</v>
      </c>
    </row>
    <row r="801" spans="1:12" x14ac:dyDescent="0.35">
      <c r="A801" t="str">
        <f t="shared" si="12"/>
        <v>Options W/Avg. Strike Price of Exercisable - Class A</v>
      </c>
      <c r="B801" s="19" t="s">
        <v>161</v>
      </c>
      <c r="C801" t="s">
        <v>10198</v>
      </c>
      <c r="D801" t="s">
        <v>10199</v>
      </c>
      <c r="E801" t="s">
        <v>10170</v>
      </c>
      <c r="F801" t="s">
        <v>10200</v>
      </c>
      <c r="G801" t="s">
        <v>10201</v>
      </c>
      <c r="H801" t="s">
        <v>10202</v>
      </c>
      <c r="I801" t="s">
        <v>10203</v>
      </c>
      <c r="J801" t="s">
        <v>10175</v>
      </c>
      <c r="K801" t="s">
        <v>10204</v>
      </c>
      <c r="L801" t="s">
        <v>10205</v>
      </c>
    </row>
    <row r="802" spans="1:12" x14ac:dyDescent="0.35">
      <c r="A802" t="str">
        <f t="shared" si="12"/>
        <v>Options Out. at the Beginning of the Year - Other</v>
      </c>
      <c r="B802" t="s">
        <v>876</v>
      </c>
      <c r="C802" t="s">
        <v>10206</v>
      </c>
      <c r="D802" t="s">
        <v>10207</v>
      </c>
      <c r="E802" t="s">
        <v>10208</v>
      </c>
      <c r="F802" t="s">
        <v>10209</v>
      </c>
      <c r="G802" t="s">
        <v>10210</v>
      </c>
      <c r="H802" t="s">
        <v>10211</v>
      </c>
      <c r="I802" t="s">
        <v>10212</v>
      </c>
      <c r="J802" t="s">
        <v>10213</v>
      </c>
      <c r="K802" t="s">
        <v>10214</v>
      </c>
      <c r="L802" t="s">
        <v>10215</v>
      </c>
    </row>
    <row r="803" spans="1:12" x14ac:dyDescent="0.35">
      <c r="A803" t="str">
        <f t="shared" si="12"/>
        <v>Options Granted During the Year - Other</v>
      </c>
      <c r="B803" t="s">
        <v>877</v>
      </c>
      <c r="C803" t="s">
        <v>10216</v>
      </c>
      <c r="D803" t="s">
        <v>10217</v>
      </c>
      <c r="E803" t="s">
        <v>10218</v>
      </c>
      <c r="F803" t="s">
        <v>10219</v>
      </c>
      <c r="G803" t="s">
        <v>10220</v>
      </c>
      <c r="H803" t="s">
        <v>10221</v>
      </c>
      <c r="I803" t="s">
        <v>10222</v>
      </c>
      <c r="J803" t="s">
        <v>10223</v>
      </c>
      <c r="K803" t="s">
        <v>10224</v>
      </c>
      <c r="L803" t="s">
        <v>10225</v>
      </c>
    </row>
    <row r="804" spans="1:12" x14ac:dyDescent="0.35">
      <c r="A804" t="str">
        <f t="shared" si="12"/>
        <v>Options Exercised During the Year - Other</v>
      </c>
      <c r="B804" t="s">
        <v>878</v>
      </c>
      <c r="C804" t="s">
        <v>10226</v>
      </c>
      <c r="D804" t="s">
        <v>10227</v>
      </c>
      <c r="E804" t="s">
        <v>10228</v>
      </c>
      <c r="F804" t="s">
        <v>10229</v>
      </c>
      <c r="G804" t="s">
        <v>10230</v>
      </c>
      <c r="H804" t="s">
        <v>10231</v>
      </c>
      <c r="I804" t="s">
        <v>10232</v>
      </c>
      <c r="J804" t="s">
        <v>10233</v>
      </c>
      <c r="K804" t="s">
        <v>10234</v>
      </c>
      <c r="L804" t="s">
        <v>10235</v>
      </c>
    </row>
    <row r="805" spans="1:12" x14ac:dyDescent="0.35">
      <c r="A805" t="str">
        <f t="shared" si="12"/>
        <v>Options Cancelled During the Year - Other</v>
      </c>
      <c r="B805" t="s">
        <v>879</v>
      </c>
      <c r="C805" t="s">
        <v>10236</v>
      </c>
      <c r="D805" t="s">
        <v>10237</v>
      </c>
      <c r="E805" t="s">
        <v>10238</v>
      </c>
      <c r="F805" t="s">
        <v>10239</v>
      </c>
      <c r="G805" t="s">
        <v>10240</v>
      </c>
      <c r="H805" t="s">
        <v>10241</v>
      </c>
      <c r="I805" t="s">
        <v>10242</v>
      </c>
      <c r="J805" t="s">
        <v>10243</v>
      </c>
      <c r="K805" t="s">
        <v>10244</v>
      </c>
      <c r="L805" t="s">
        <v>10245</v>
      </c>
    </row>
    <row r="806" spans="1:12" x14ac:dyDescent="0.35">
      <c r="A806" t="str">
        <f t="shared" si="12"/>
        <v>Options Out. at the End of the Year - Other</v>
      </c>
      <c r="B806" t="s">
        <v>880</v>
      </c>
      <c r="C806" t="s">
        <v>10246</v>
      </c>
      <c r="D806" t="s">
        <v>10247</v>
      </c>
      <c r="E806" t="s">
        <v>10248</v>
      </c>
      <c r="F806" t="s">
        <v>10249</v>
      </c>
      <c r="G806" t="s">
        <v>10250</v>
      </c>
      <c r="H806" t="s">
        <v>10251</v>
      </c>
      <c r="I806" t="s">
        <v>10252</v>
      </c>
      <c r="J806" t="s">
        <v>10253</v>
      </c>
      <c r="K806" t="s">
        <v>10254</v>
      </c>
      <c r="L806" t="s">
        <v>10255</v>
      </c>
    </row>
    <row r="807" spans="1:12" x14ac:dyDescent="0.35">
      <c r="A807" t="str">
        <f t="shared" si="12"/>
        <v>Options Exercisable at End of Period - Other</v>
      </c>
      <c r="B807" t="s">
        <v>162</v>
      </c>
      <c r="C807" t="s">
        <v>10256</v>
      </c>
      <c r="D807" t="s">
        <v>10257</v>
      </c>
      <c r="E807" t="s">
        <v>10258</v>
      </c>
      <c r="F807" t="s">
        <v>10259</v>
      </c>
      <c r="G807" t="s">
        <v>10260</v>
      </c>
      <c r="H807" t="s">
        <v>10261</v>
      </c>
      <c r="I807" t="s">
        <v>10262</v>
      </c>
      <c r="J807" t="s">
        <v>10263</v>
      </c>
      <c r="K807" t="s">
        <v>10264</v>
      </c>
      <c r="L807" t="s">
        <v>10265</v>
      </c>
    </row>
    <row r="808" spans="1:12" x14ac:dyDescent="0.35">
      <c r="A808" t="str">
        <f t="shared" si="12"/>
        <v>Options W/Avg. Strike Price of Out. at Beginning of Period - Other</v>
      </c>
      <c r="B808" t="s">
        <v>163</v>
      </c>
      <c r="C808" t="s">
        <v>10266</v>
      </c>
      <c r="D808" t="s">
        <v>10267</v>
      </c>
      <c r="E808" t="s">
        <v>10268</v>
      </c>
      <c r="F808" t="s">
        <v>10269</v>
      </c>
      <c r="G808" t="s">
        <v>10270</v>
      </c>
      <c r="H808" t="s">
        <v>10271</v>
      </c>
      <c r="I808" t="s">
        <v>10272</v>
      </c>
      <c r="J808" t="s">
        <v>10273</v>
      </c>
      <c r="K808" t="s">
        <v>10274</v>
      </c>
      <c r="L808" t="s">
        <v>10275</v>
      </c>
    </row>
    <row r="809" spans="1:12" x14ac:dyDescent="0.35">
      <c r="A809" t="str">
        <f t="shared" si="12"/>
        <v>Options W/Avg Strike Price of Granted - Other</v>
      </c>
      <c r="B809" t="s">
        <v>0</v>
      </c>
      <c r="C809" t="s">
        <v>10276</v>
      </c>
      <c r="D809" t="s">
        <v>10277</v>
      </c>
      <c r="E809" t="s">
        <v>10278</v>
      </c>
      <c r="F809" t="s">
        <v>10279</v>
      </c>
      <c r="G809" t="s">
        <v>10280</v>
      </c>
      <c r="H809" t="s">
        <v>10281</v>
      </c>
      <c r="I809" t="s">
        <v>10282</v>
      </c>
      <c r="J809" t="s">
        <v>10283</v>
      </c>
      <c r="K809" t="s">
        <v>10284</v>
      </c>
      <c r="L809" t="s">
        <v>10285</v>
      </c>
    </row>
    <row r="810" spans="1:12" x14ac:dyDescent="0.35">
      <c r="A810" t="str">
        <f t="shared" si="12"/>
        <v>Options W/Avg. Strike Price of Exercised - Other</v>
      </c>
      <c r="B810" t="s">
        <v>164</v>
      </c>
      <c r="C810" t="s">
        <v>10286</v>
      </c>
      <c r="D810" t="s">
        <v>10287</v>
      </c>
      <c r="E810" t="s">
        <v>10288</v>
      </c>
      <c r="F810" t="s">
        <v>10289</v>
      </c>
      <c r="G810" t="s">
        <v>10290</v>
      </c>
      <c r="H810" t="s">
        <v>10291</v>
      </c>
      <c r="I810" t="s">
        <v>10292</v>
      </c>
      <c r="J810" t="s">
        <v>10293</v>
      </c>
      <c r="K810" t="s">
        <v>10294</v>
      </c>
      <c r="L810" t="s">
        <v>10295</v>
      </c>
    </row>
    <row r="811" spans="1:12" x14ac:dyDescent="0.35">
      <c r="A811" t="str">
        <f t="shared" ref="A811:A874" si="13">INDEX($B811:$CW811,,$A$5)</f>
        <v>Options W/Avg. Strike Price of Cancelled - Other</v>
      </c>
      <c r="B811" t="s">
        <v>165</v>
      </c>
      <c r="C811" t="s">
        <v>10296</v>
      </c>
      <c r="D811" t="s">
        <v>10297</v>
      </c>
      <c r="E811" t="s">
        <v>10298</v>
      </c>
      <c r="F811" t="s">
        <v>10299</v>
      </c>
      <c r="G811" t="s">
        <v>10300</v>
      </c>
      <c r="H811" t="s">
        <v>10301</v>
      </c>
      <c r="I811" t="s">
        <v>10302</v>
      </c>
      <c r="J811" t="s">
        <v>10303</v>
      </c>
      <c r="K811" t="s">
        <v>10304</v>
      </c>
      <c r="L811" t="s">
        <v>10305</v>
      </c>
    </row>
    <row r="812" spans="1:12" x14ac:dyDescent="0.35">
      <c r="A812" t="str">
        <f t="shared" si="13"/>
        <v>Options W/Avg. Strike Price of Out. - Other</v>
      </c>
      <c r="B812" t="s">
        <v>881</v>
      </c>
      <c r="C812" t="s">
        <v>10306</v>
      </c>
      <c r="D812" t="s">
        <v>10307</v>
      </c>
      <c r="E812" t="s">
        <v>10308</v>
      </c>
      <c r="F812" t="s">
        <v>10309</v>
      </c>
      <c r="G812" t="s">
        <v>10310</v>
      </c>
      <c r="H812" t="s">
        <v>10311</v>
      </c>
      <c r="I812" t="s">
        <v>10312</v>
      </c>
      <c r="J812" t="s">
        <v>10313</v>
      </c>
      <c r="K812" t="s">
        <v>10314</v>
      </c>
      <c r="L812" t="s">
        <v>10315</v>
      </c>
    </row>
    <row r="813" spans="1:12" x14ac:dyDescent="0.35">
      <c r="A813" t="str">
        <f t="shared" si="13"/>
        <v>Options W/Avg. Strike Price of Exercisable - Other</v>
      </c>
      <c r="B813" t="s">
        <v>166</v>
      </c>
      <c r="C813" t="s">
        <v>10316</v>
      </c>
      <c r="D813" t="s">
        <v>10317</v>
      </c>
      <c r="E813" t="s">
        <v>10318</v>
      </c>
      <c r="F813" t="s">
        <v>10319</v>
      </c>
      <c r="G813" t="s">
        <v>10320</v>
      </c>
      <c r="H813" t="s">
        <v>10321</v>
      </c>
      <c r="I813" t="s">
        <v>10322</v>
      </c>
      <c r="J813" t="s">
        <v>10323</v>
      </c>
      <c r="K813" t="s">
        <v>10324</v>
      </c>
      <c r="L813" t="s">
        <v>10325</v>
      </c>
    </row>
    <row r="814" spans="1:12" x14ac:dyDescent="0.35">
      <c r="A814" t="str">
        <f t="shared" si="13"/>
        <v>Total Options Out. at Beginning of Year</v>
      </c>
      <c r="B814" t="s">
        <v>1</v>
      </c>
      <c r="C814" t="s">
        <v>10326</v>
      </c>
      <c r="D814" t="s">
        <v>10327</v>
      </c>
      <c r="E814" t="s">
        <v>10328</v>
      </c>
      <c r="F814" t="s">
        <v>10329</v>
      </c>
      <c r="G814" t="s">
        <v>10330</v>
      </c>
      <c r="H814" t="s">
        <v>10331</v>
      </c>
      <c r="I814" t="s">
        <v>10332</v>
      </c>
      <c r="J814" t="s">
        <v>10333</v>
      </c>
      <c r="K814" t="s">
        <v>10334</v>
      </c>
      <c r="L814" t="s">
        <v>10335</v>
      </c>
    </row>
    <row r="815" spans="1:12" x14ac:dyDescent="0.35">
      <c r="A815" t="str">
        <f t="shared" si="13"/>
        <v>Total Options Granted During the Year</v>
      </c>
      <c r="B815" t="s">
        <v>2</v>
      </c>
      <c r="C815" t="s">
        <v>10336</v>
      </c>
      <c r="D815" t="s">
        <v>10337</v>
      </c>
      <c r="E815" t="s">
        <v>10338</v>
      </c>
      <c r="F815" t="s">
        <v>10339</v>
      </c>
      <c r="G815" t="s">
        <v>10340</v>
      </c>
      <c r="H815" t="s">
        <v>10341</v>
      </c>
      <c r="I815" t="s">
        <v>10342</v>
      </c>
      <c r="J815" t="s">
        <v>10343</v>
      </c>
      <c r="K815" t="s">
        <v>10344</v>
      </c>
      <c r="L815" t="s">
        <v>10345</v>
      </c>
    </row>
    <row r="816" spans="1:12" x14ac:dyDescent="0.35">
      <c r="A816" t="str">
        <f t="shared" si="13"/>
        <v>Total Options Exercised During the Year</v>
      </c>
      <c r="B816" t="s">
        <v>3</v>
      </c>
      <c r="C816" t="s">
        <v>10346</v>
      </c>
      <c r="D816" t="s">
        <v>10347</v>
      </c>
      <c r="E816" t="s">
        <v>10348</v>
      </c>
      <c r="F816" t="s">
        <v>10349</v>
      </c>
      <c r="G816" t="s">
        <v>10350</v>
      </c>
      <c r="H816" t="s">
        <v>10351</v>
      </c>
      <c r="I816" t="s">
        <v>10352</v>
      </c>
      <c r="J816" t="s">
        <v>10353</v>
      </c>
      <c r="K816" t="s">
        <v>10354</v>
      </c>
      <c r="L816" t="s">
        <v>10355</v>
      </c>
    </row>
    <row r="817" spans="1:12" x14ac:dyDescent="0.35">
      <c r="A817" t="str">
        <f t="shared" si="13"/>
        <v>Total Options Cancelled During the Year</v>
      </c>
      <c r="B817" t="s">
        <v>4</v>
      </c>
      <c r="C817" t="s">
        <v>10356</v>
      </c>
      <c r="D817" t="s">
        <v>10357</v>
      </c>
      <c r="E817" t="s">
        <v>10358</v>
      </c>
      <c r="F817" t="s">
        <v>10359</v>
      </c>
      <c r="G817" t="s">
        <v>10360</v>
      </c>
      <c r="H817" t="s">
        <v>10361</v>
      </c>
      <c r="I817" t="s">
        <v>10362</v>
      </c>
      <c r="J817" t="s">
        <v>10363</v>
      </c>
      <c r="K817" t="s">
        <v>10364</v>
      </c>
      <c r="L817" t="s">
        <v>10365</v>
      </c>
    </row>
    <row r="818" spans="1:12" x14ac:dyDescent="0.35">
      <c r="A818" t="str">
        <f t="shared" si="13"/>
        <v>Total Options Out. at the End of Year</v>
      </c>
      <c r="B818" t="s">
        <v>5</v>
      </c>
      <c r="C818" t="s">
        <v>10366</v>
      </c>
      <c r="D818" t="s">
        <v>10367</v>
      </c>
      <c r="E818" t="s">
        <v>10368</v>
      </c>
      <c r="F818" t="s">
        <v>10369</v>
      </c>
      <c r="G818" t="s">
        <v>10370</v>
      </c>
      <c r="H818" t="s">
        <v>10371</v>
      </c>
      <c r="I818" t="s">
        <v>10372</v>
      </c>
      <c r="J818" t="s">
        <v>10373</v>
      </c>
      <c r="K818" t="s">
        <v>10374</v>
      </c>
      <c r="L818" t="s">
        <v>10375</v>
      </c>
    </row>
    <row r="819" spans="1:12" x14ac:dyDescent="0.35">
      <c r="A819" t="str">
        <f t="shared" si="13"/>
        <v>Total Options Exercisable at the End of the Period</v>
      </c>
      <c r="B819" t="s">
        <v>167</v>
      </c>
      <c r="C819" t="s">
        <v>10376</v>
      </c>
      <c r="D819" t="s">
        <v>10377</v>
      </c>
      <c r="E819" t="s">
        <v>10378</v>
      </c>
      <c r="F819" t="s">
        <v>10379</v>
      </c>
      <c r="G819" t="s">
        <v>10380</v>
      </c>
      <c r="H819" t="s">
        <v>10381</v>
      </c>
      <c r="I819" t="s">
        <v>10382</v>
      </c>
      <c r="J819" t="s">
        <v>10383</v>
      </c>
      <c r="K819" t="s">
        <v>10384</v>
      </c>
      <c r="L819" t="s">
        <v>10385</v>
      </c>
    </row>
    <row r="820" spans="1:12" x14ac:dyDescent="0.35">
      <c r="A820" t="str">
        <f t="shared" si="13"/>
        <v>Warrants Out. at the Beginning of the Year</v>
      </c>
      <c r="B820" t="s">
        <v>6</v>
      </c>
      <c r="C820" t="s">
        <v>10386</v>
      </c>
      <c r="D820" t="s">
        <v>10387</v>
      </c>
      <c r="E820" t="s">
        <v>10388</v>
      </c>
      <c r="F820" t="s">
        <v>10389</v>
      </c>
      <c r="G820" t="s">
        <v>10390</v>
      </c>
      <c r="H820" t="s">
        <v>10391</v>
      </c>
      <c r="I820" t="s">
        <v>10392</v>
      </c>
      <c r="J820" t="s">
        <v>10393</v>
      </c>
      <c r="K820" t="s">
        <v>10394</v>
      </c>
      <c r="L820" t="s">
        <v>10395</v>
      </c>
    </row>
    <row r="821" spans="1:12" x14ac:dyDescent="0.35">
      <c r="A821" t="str">
        <f t="shared" si="13"/>
        <v>Warrants Issued During the Year</v>
      </c>
      <c r="B821" t="s">
        <v>7</v>
      </c>
      <c r="C821" t="s">
        <v>10396</v>
      </c>
      <c r="D821" t="s">
        <v>10397</v>
      </c>
      <c r="E821" t="s">
        <v>10398</v>
      </c>
      <c r="F821" t="s">
        <v>10399</v>
      </c>
      <c r="G821" t="s">
        <v>10400</v>
      </c>
      <c r="H821" t="s">
        <v>10401</v>
      </c>
      <c r="I821" t="s">
        <v>10402</v>
      </c>
      <c r="J821" t="s">
        <v>10403</v>
      </c>
      <c r="K821" t="s">
        <v>10404</v>
      </c>
      <c r="L821" t="s">
        <v>10405</v>
      </c>
    </row>
    <row r="822" spans="1:12" x14ac:dyDescent="0.35">
      <c r="A822" t="str">
        <f t="shared" si="13"/>
        <v>Warrants Exercised During the Year</v>
      </c>
      <c r="B822" t="s">
        <v>8</v>
      </c>
      <c r="C822" t="s">
        <v>10406</v>
      </c>
      <c r="D822" t="s">
        <v>10407</v>
      </c>
      <c r="E822" t="s">
        <v>10408</v>
      </c>
      <c r="F822" t="s">
        <v>10409</v>
      </c>
      <c r="G822" t="s">
        <v>10410</v>
      </c>
      <c r="H822" t="s">
        <v>10411</v>
      </c>
      <c r="I822" t="s">
        <v>10412</v>
      </c>
      <c r="J822" t="s">
        <v>10413</v>
      </c>
      <c r="K822" t="s">
        <v>10414</v>
      </c>
      <c r="L822" t="s">
        <v>10415</v>
      </c>
    </row>
    <row r="823" spans="1:12" x14ac:dyDescent="0.35">
      <c r="A823" t="str">
        <f t="shared" si="13"/>
        <v>Warrants Cancelled During the Year</v>
      </c>
      <c r="B823" t="s">
        <v>9</v>
      </c>
      <c r="C823" t="s">
        <v>10416</v>
      </c>
      <c r="D823" t="s">
        <v>10417</v>
      </c>
      <c r="E823" t="s">
        <v>10418</v>
      </c>
      <c r="F823" t="s">
        <v>10419</v>
      </c>
      <c r="G823" t="s">
        <v>10420</v>
      </c>
      <c r="H823" t="s">
        <v>10421</v>
      </c>
      <c r="I823" t="s">
        <v>10422</v>
      </c>
      <c r="J823" t="s">
        <v>10423</v>
      </c>
      <c r="K823" t="s">
        <v>10424</v>
      </c>
      <c r="L823" t="s">
        <v>10425</v>
      </c>
    </row>
    <row r="824" spans="1:12" x14ac:dyDescent="0.35">
      <c r="A824" t="str">
        <f t="shared" si="13"/>
        <v>Warrants Out. at the End of the Year</v>
      </c>
      <c r="B824" t="s">
        <v>10</v>
      </c>
      <c r="C824" t="s">
        <v>10426</v>
      </c>
      <c r="D824" t="s">
        <v>10427</v>
      </c>
      <c r="E824" t="s">
        <v>10428</v>
      </c>
      <c r="F824" t="s">
        <v>10429</v>
      </c>
      <c r="G824" t="s">
        <v>10430</v>
      </c>
      <c r="H824" t="s">
        <v>10431</v>
      </c>
      <c r="I824" t="s">
        <v>10432</v>
      </c>
      <c r="J824" t="s">
        <v>10433</v>
      </c>
      <c r="K824" t="s">
        <v>10434</v>
      </c>
      <c r="L824" t="s">
        <v>10435</v>
      </c>
    </row>
    <row r="825" spans="1:12" x14ac:dyDescent="0.35">
      <c r="A825" t="str">
        <f t="shared" si="13"/>
        <v>Warrants W/Avg Strike Price of Out.</v>
      </c>
      <c r="B825" t="s">
        <v>11</v>
      </c>
      <c r="C825" t="s">
        <v>10436</v>
      </c>
      <c r="D825" t="s">
        <v>10437</v>
      </c>
      <c r="E825" t="s">
        <v>10438</v>
      </c>
      <c r="F825" t="s">
        <v>10439</v>
      </c>
      <c r="G825" t="s">
        <v>10440</v>
      </c>
      <c r="H825" t="s">
        <v>10441</v>
      </c>
      <c r="I825" t="s">
        <v>10442</v>
      </c>
      <c r="J825" t="s">
        <v>10443</v>
      </c>
      <c r="K825" t="s">
        <v>10444</v>
      </c>
      <c r="L825" t="s">
        <v>10445</v>
      </c>
    </row>
    <row r="826" spans="1:12" x14ac:dyDescent="0.35">
      <c r="A826" t="str">
        <f t="shared" si="13"/>
        <v>Warrants W/Avg Strike of Issued</v>
      </c>
      <c r="B826" t="s">
        <v>12</v>
      </c>
      <c r="C826" t="s">
        <v>10446</v>
      </c>
      <c r="D826" t="s">
        <v>10447</v>
      </c>
      <c r="E826" t="s">
        <v>10448</v>
      </c>
      <c r="F826" t="s">
        <v>10449</v>
      </c>
      <c r="G826" t="s">
        <v>10450</v>
      </c>
      <c r="H826" t="s">
        <v>10451</v>
      </c>
      <c r="I826" t="s">
        <v>10452</v>
      </c>
      <c r="J826" t="s">
        <v>10453</v>
      </c>
      <c r="K826" t="s">
        <v>10454</v>
      </c>
      <c r="L826" t="s">
        <v>10455</v>
      </c>
    </row>
    <row r="827" spans="1:12" x14ac:dyDescent="0.35">
      <c r="A827" t="str">
        <f t="shared" si="13"/>
        <v>Warrants Out. at the Beginning of the Year - Class A</v>
      </c>
      <c r="B827" t="s">
        <v>13</v>
      </c>
      <c r="C827" t="s">
        <v>10456</v>
      </c>
      <c r="D827" t="s">
        <v>10457</v>
      </c>
      <c r="E827" t="s">
        <v>10458</v>
      </c>
      <c r="F827" t="s">
        <v>10459</v>
      </c>
      <c r="G827" t="s">
        <v>10460</v>
      </c>
      <c r="H827" t="s">
        <v>10461</v>
      </c>
      <c r="I827" t="s">
        <v>10462</v>
      </c>
      <c r="J827" t="s">
        <v>10463</v>
      </c>
      <c r="K827" t="s">
        <v>10464</v>
      </c>
      <c r="L827" t="s">
        <v>10465</v>
      </c>
    </row>
    <row r="828" spans="1:12" x14ac:dyDescent="0.35">
      <c r="A828" t="str">
        <f t="shared" si="13"/>
        <v>Warrants Issued During the Year - Class A</v>
      </c>
      <c r="B828" t="s">
        <v>14</v>
      </c>
      <c r="C828" t="s">
        <v>10466</v>
      </c>
      <c r="D828" t="s">
        <v>10467</v>
      </c>
      <c r="E828" t="s">
        <v>10468</v>
      </c>
      <c r="F828" t="s">
        <v>10469</v>
      </c>
      <c r="G828" t="s">
        <v>10470</v>
      </c>
      <c r="H828" t="s">
        <v>10471</v>
      </c>
      <c r="I828" t="s">
        <v>10472</v>
      </c>
      <c r="J828" t="s">
        <v>10473</v>
      </c>
      <c r="K828" t="s">
        <v>10474</v>
      </c>
      <c r="L828" t="s">
        <v>10475</v>
      </c>
    </row>
    <row r="829" spans="1:12" x14ac:dyDescent="0.35">
      <c r="A829" t="str">
        <f t="shared" si="13"/>
        <v>Warrants Exercised During the Year - Class A</v>
      </c>
      <c r="B829" t="s">
        <v>15</v>
      </c>
      <c r="C829" t="s">
        <v>10476</v>
      </c>
      <c r="D829" t="s">
        <v>10477</v>
      </c>
      <c r="E829" t="s">
        <v>10478</v>
      </c>
      <c r="F829" t="s">
        <v>10479</v>
      </c>
      <c r="G829" t="s">
        <v>10480</v>
      </c>
      <c r="H829" t="s">
        <v>10481</v>
      </c>
      <c r="I829" t="s">
        <v>10482</v>
      </c>
      <c r="J829" t="s">
        <v>10483</v>
      </c>
      <c r="K829" t="s">
        <v>10484</v>
      </c>
      <c r="L829" t="s">
        <v>10485</v>
      </c>
    </row>
    <row r="830" spans="1:12" x14ac:dyDescent="0.35">
      <c r="A830" t="str">
        <f t="shared" si="13"/>
        <v>Warrants Cancelled During the Year - Class A</v>
      </c>
      <c r="B830" t="s">
        <v>16</v>
      </c>
      <c r="C830" t="s">
        <v>10486</v>
      </c>
      <c r="D830" t="s">
        <v>10487</v>
      </c>
      <c r="E830" t="s">
        <v>10488</v>
      </c>
      <c r="F830" t="s">
        <v>10489</v>
      </c>
      <c r="G830" t="s">
        <v>10490</v>
      </c>
      <c r="H830" t="s">
        <v>10491</v>
      </c>
      <c r="I830" t="s">
        <v>10492</v>
      </c>
      <c r="J830" t="s">
        <v>10493</v>
      </c>
      <c r="K830" t="s">
        <v>10494</v>
      </c>
      <c r="L830" t="s">
        <v>10495</v>
      </c>
    </row>
    <row r="831" spans="1:12" x14ac:dyDescent="0.35">
      <c r="A831" t="str">
        <f t="shared" si="13"/>
        <v>Warrants Out. at the End of the Year - Class A</v>
      </c>
      <c r="B831" t="s">
        <v>17</v>
      </c>
      <c r="C831" t="s">
        <v>10496</v>
      </c>
      <c r="D831" t="s">
        <v>10497</v>
      </c>
      <c r="E831" t="s">
        <v>10498</v>
      </c>
      <c r="F831" t="s">
        <v>10499</v>
      </c>
      <c r="G831" t="s">
        <v>10500</v>
      </c>
      <c r="H831" t="s">
        <v>10501</v>
      </c>
      <c r="I831" t="s">
        <v>10502</v>
      </c>
      <c r="J831" t="s">
        <v>10503</v>
      </c>
      <c r="K831" t="s">
        <v>10504</v>
      </c>
      <c r="L831" t="s">
        <v>10505</v>
      </c>
    </row>
    <row r="832" spans="1:12" x14ac:dyDescent="0.35">
      <c r="A832" t="str">
        <f t="shared" si="13"/>
        <v>Warrants W/Avg Strike Price of Out. - Class A</v>
      </c>
      <c r="B832" s="19" t="s">
        <v>18</v>
      </c>
      <c r="C832" t="s">
        <v>10506</v>
      </c>
      <c r="D832" t="s">
        <v>10507</v>
      </c>
      <c r="E832" t="s">
        <v>10508</v>
      </c>
      <c r="F832" t="s">
        <v>10509</v>
      </c>
      <c r="G832" t="s">
        <v>10510</v>
      </c>
      <c r="H832" t="s">
        <v>10511</v>
      </c>
      <c r="I832" t="s">
        <v>10512</v>
      </c>
      <c r="J832" t="s">
        <v>10513</v>
      </c>
      <c r="K832" t="s">
        <v>10514</v>
      </c>
      <c r="L832" t="s">
        <v>10515</v>
      </c>
    </row>
    <row r="833" spans="1:12" x14ac:dyDescent="0.35">
      <c r="A833" t="str">
        <f t="shared" si="13"/>
        <v>Warrants W/Avg Strike of Issued - Class A</v>
      </c>
      <c r="B833" t="s">
        <v>19</v>
      </c>
      <c r="C833" t="s">
        <v>10516</v>
      </c>
      <c r="D833" t="s">
        <v>10517</v>
      </c>
      <c r="E833" t="s">
        <v>10518</v>
      </c>
      <c r="F833" t="s">
        <v>10519</v>
      </c>
      <c r="G833" t="s">
        <v>10520</v>
      </c>
      <c r="H833" t="s">
        <v>10521</v>
      </c>
      <c r="I833" t="s">
        <v>10522</v>
      </c>
      <c r="J833" t="s">
        <v>10523</v>
      </c>
      <c r="K833" t="s">
        <v>10524</v>
      </c>
      <c r="L833" t="s">
        <v>10525</v>
      </c>
    </row>
    <row r="834" spans="1:12" x14ac:dyDescent="0.35">
      <c r="A834" t="str">
        <f t="shared" si="13"/>
        <v>Warrants Out. at the Beginning of the Year - Other</v>
      </c>
      <c r="B834" t="s">
        <v>20</v>
      </c>
      <c r="C834" t="s">
        <v>10526</v>
      </c>
      <c r="D834" t="s">
        <v>10527</v>
      </c>
      <c r="E834" t="s">
        <v>10528</v>
      </c>
      <c r="F834" t="s">
        <v>10529</v>
      </c>
      <c r="G834" t="s">
        <v>10530</v>
      </c>
      <c r="H834" t="s">
        <v>10531</v>
      </c>
      <c r="I834" t="s">
        <v>10532</v>
      </c>
      <c r="J834" t="s">
        <v>10533</v>
      </c>
      <c r="K834" t="s">
        <v>10534</v>
      </c>
      <c r="L834" t="s">
        <v>10535</v>
      </c>
    </row>
    <row r="835" spans="1:12" x14ac:dyDescent="0.35">
      <c r="A835" t="str">
        <f t="shared" si="13"/>
        <v>Warrants Issued During the Year - Other</v>
      </c>
      <c r="B835" t="s">
        <v>21</v>
      </c>
      <c r="C835" t="s">
        <v>10536</v>
      </c>
      <c r="D835" t="s">
        <v>10537</v>
      </c>
      <c r="E835" t="s">
        <v>10538</v>
      </c>
      <c r="F835" t="s">
        <v>10539</v>
      </c>
      <c r="G835" t="s">
        <v>10540</v>
      </c>
      <c r="H835" t="s">
        <v>10541</v>
      </c>
      <c r="I835" t="s">
        <v>10542</v>
      </c>
      <c r="J835" t="s">
        <v>10543</v>
      </c>
      <c r="K835" t="s">
        <v>10544</v>
      </c>
      <c r="L835" t="s">
        <v>10545</v>
      </c>
    </row>
    <row r="836" spans="1:12" x14ac:dyDescent="0.35">
      <c r="A836" t="str">
        <f t="shared" si="13"/>
        <v>Warrants Exercised During the Year - Other</v>
      </c>
      <c r="B836" t="s">
        <v>518</v>
      </c>
      <c r="C836" t="s">
        <v>10546</v>
      </c>
      <c r="D836" t="s">
        <v>10547</v>
      </c>
      <c r="E836" t="s">
        <v>10548</v>
      </c>
      <c r="F836" t="s">
        <v>10549</v>
      </c>
      <c r="G836" t="s">
        <v>10550</v>
      </c>
      <c r="H836" t="s">
        <v>10551</v>
      </c>
      <c r="I836" t="s">
        <v>10552</v>
      </c>
      <c r="J836" t="s">
        <v>10553</v>
      </c>
      <c r="K836" t="s">
        <v>10554</v>
      </c>
      <c r="L836" t="s">
        <v>10555</v>
      </c>
    </row>
    <row r="837" spans="1:12" x14ac:dyDescent="0.35">
      <c r="A837" t="str">
        <f t="shared" si="13"/>
        <v>Warrants Cancelled During the Year - Other</v>
      </c>
      <c r="B837" t="s">
        <v>519</v>
      </c>
      <c r="C837" t="s">
        <v>10556</v>
      </c>
      <c r="D837" t="s">
        <v>10557</v>
      </c>
      <c r="E837" t="s">
        <v>10558</v>
      </c>
      <c r="F837" t="s">
        <v>10559</v>
      </c>
      <c r="G837" t="s">
        <v>10560</v>
      </c>
      <c r="H837" t="s">
        <v>10561</v>
      </c>
      <c r="I837" t="s">
        <v>10562</v>
      </c>
      <c r="J837" t="s">
        <v>10563</v>
      </c>
      <c r="K837" t="s">
        <v>10564</v>
      </c>
      <c r="L837" t="s">
        <v>10565</v>
      </c>
    </row>
    <row r="838" spans="1:12" x14ac:dyDescent="0.35">
      <c r="A838" t="str">
        <f t="shared" si="13"/>
        <v>Warrants Out. At The End of the Year - Other</v>
      </c>
      <c r="B838" t="s">
        <v>520</v>
      </c>
      <c r="C838" t="s">
        <v>10566</v>
      </c>
      <c r="D838" t="s">
        <v>10567</v>
      </c>
      <c r="E838" t="s">
        <v>10568</v>
      </c>
      <c r="F838" t="s">
        <v>10569</v>
      </c>
      <c r="G838" t="s">
        <v>10570</v>
      </c>
      <c r="H838" t="s">
        <v>10571</v>
      </c>
      <c r="I838" t="s">
        <v>10572</v>
      </c>
      <c r="J838" t="s">
        <v>10573</v>
      </c>
      <c r="K838" t="s">
        <v>10574</v>
      </c>
      <c r="L838" t="s">
        <v>10575</v>
      </c>
    </row>
    <row r="839" spans="1:12" x14ac:dyDescent="0.35">
      <c r="A839" t="str">
        <f t="shared" si="13"/>
        <v>Warrants W/Avg Strike Price of Out. - Other</v>
      </c>
      <c r="B839" t="s">
        <v>521</v>
      </c>
      <c r="C839" t="s">
        <v>10576</v>
      </c>
      <c r="D839" t="s">
        <v>10577</v>
      </c>
      <c r="E839" t="s">
        <v>10578</v>
      </c>
      <c r="F839" t="s">
        <v>10579</v>
      </c>
      <c r="G839" t="s">
        <v>10580</v>
      </c>
      <c r="H839" t="s">
        <v>10581</v>
      </c>
      <c r="I839" s="19" t="s">
        <v>10915</v>
      </c>
      <c r="J839" t="s">
        <v>10582</v>
      </c>
      <c r="K839" t="s">
        <v>10583</v>
      </c>
      <c r="L839" t="s">
        <v>10584</v>
      </c>
    </row>
    <row r="840" spans="1:12" x14ac:dyDescent="0.35">
      <c r="A840" t="str">
        <f t="shared" si="13"/>
        <v>Warrants W/Avg Strike of Issued - Other</v>
      </c>
      <c r="B840" t="s">
        <v>522</v>
      </c>
      <c r="C840" t="s">
        <v>10585</v>
      </c>
      <c r="D840" t="s">
        <v>10586</v>
      </c>
      <c r="E840" t="s">
        <v>10587</v>
      </c>
      <c r="F840" t="s">
        <v>10588</v>
      </c>
      <c r="G840" t="s">
        <v>10589</v>
      </c>
      <c r="H840" t="s">
        <v>10590</v>
      </c>
      <c r="I840" s="19" t="s">
        <v>10916</v>
      </c>
      <c r="J840" t="s">
        <v>10591</v>
      </c>
      <c r="K840" t="s">
        <v>10592</v>
      </c>
      <c r="L840" t="s">
        <v>10593</v>
      </c>
    </row>
    <row r="841" spans="1:12" x14ac:dyDescent="0.35">
      <c r="A841" t="str">
        <f t="shared" si="13"/>
        <v>Total Warrants Out. at the Beginning of the Year</v>
      </c>
      <c r="B841" t="s">
        <v>523</v>
      </c>
      <c r="C841" t="s">
        <v>10594</v>
      </c>
      <c r="D841" t="s">
        <v>10595</v>
      </c>
      <c r="E841" t="s">
        <v>10596</v>
      </c>
      <c r="F841" t="s">
        <v>10597</v>
      </c>
      <c r="G841" t="s">
        <v>10598</v>
      </c>
      <c r="H841" t="s">
        <v>10599</v>
      </c>
      <c r="I841" t="s">
        <v>10600</v>
      </c>
      <c r="J841" t="s">
        <v>10601</v>
      </c>
      <c r="K841" t="s">
        <v>10602</v>
      </c>
      <c r="L841" t="s">
        <v>10603</v>
      </c>
    </row>
    <row r="842" spans="1:12" x14ac:dyDescent="0.35">
      <c r="A842" t="str">
        <f t="shared" si="13"/>
        <v>Total Warrants Issued During the Year</v>
      </c>
      <c r="B842" t="s">
        <v>524</v>
      </c>
      <c r="C842" t="s">
        <v>10604</v>
      </c>
      <c r="D842" t="s">
        <v>10605</v>
      </c>
      <c r="E842" t="s">
        <v>10606</v>
      </c>
      <c r="F842" t="s">
        <v>10607</v>
      </c>
      <c r="G842" t="s">
        <v>10608</v>
      </c>
      <c r="H842" t="s">
        <v>10609</v>
      </c>
      <c r="I842" t="s">
        <v>10610</v>
      </c>
      <c r="J842" t="s">
        <v>10611</v>
      </c>
      <c r="K842" t="s">
        <v>10612</v>
      </c>
      <c r="L842" t="s">
        <v>10613</v>
      </c>
    </row>
    <row r="843" spans="1:12" x14ac:dyDescent="0.35">
      <c r="A843" t="str">
        <f t="shared" si="13"/>
        <v>Total Warrants Exercised During the Year</v>
      </c>
      <c r="B843" t="s">
        <v>525</v>
      </c>
      <c r="C843" t="s">
        <v>10614</v>
      </c>
      <c r="D843" t="s">
        <v>10615</v>
      </c>
      <c r="E843" t="s">
        <v>10616</v>
      </c>
      <c r="F843" t="s">
        <v>10617</v>
      </c>
      <c r="G843" t="s">
        <v>10618</v>
      </c>
      <c r="H843" t="s">
        <v>10619</v>
      </c>
      <c r="I843" t="s">
        <v>10620</v>
      </c>
      <c r="J843" t="s">
        <v>10621</v>
      </c>
      <c r="K843" t="s">
        <v>10622</v>
      </c>
      <c r="L843" t="s">
        <v>10623</v>
      </c>
    </row>
    <row r="844" spans="1:12" x14ac:dyDescent="0.35">
      <c r="A844" t="str">
        <f t="shared" si="13"/>
        <v>Total Warrants Cancelled During the Year</v>
      </c>
      <c r="B844" t="s">
        <v>527</v>
      </c>
      <c r="C844" t="s">
        <v>10624</v>
      </c>
      <c r="D844" t="s">
        <v>10625</v>
      </c>
      <c r="E844" t="s">
        <v>10626</v>
      </c>
      <c r="F844" t="s">
        <v>10627</v>
      </c>
      <c r="G844" t="s">
        <v>10628</v>
      </c>
      <c r="H844" t="s">
        <v>10629</v>
      </c>
      <c r="I844" t="s">
        <v>10630</v>
      </c>
      <c r="J844" t="s">
        <v>10631</v>
      </c>
      <c r="K844" t="s">
        <v>10632</v>
      </c>
      <c r="L844" t="s">
        <v>10633</v>
      </c>
    </row>
    <row r="845" spans="1:12" x14ac:dyDescent="0.35">
      <c r="A845" t="str">
        <f t="shared" si="13"/>
        <v>Total Warrants Out. at the End of the Year</v>
      </c>
      <c r="B845" t="s">
        <v>528</v>
      </c>
      <c r="C845" t="s">
        <v>10634</v>
      </c>
      <c r="D845" t="s">
        <v>10635</v>
      </c>
      <c r="E845" t="s">
        <v>10636</v>
      </c>
      <c r="F845" t="s">
        <v>10637</v>
      </c>
      <c r="G845" t="s">
        <v>10638</v>
      </c>
      <c r="H845" t="s">
        <v>10639</v>
      </c>
      <c r="I845" t="s">
        <v>10640</v>
      </c>
      <c r="J845" t="s">
        <v>10641</v>
      </c>
      <c r="K845" t="s">
        <v>10642</v>
      </c>
      <c r="L845" t="s">
        <v>10643</v>
      </c>
    </row>
    <row r="846" spans="1:12" x14ac:dyDescent="0.35">
      <c r="A846" t="str">
        <f t="shared" si="13"/>
        <v>Interest Capitalized, Beg. Of Period</v>
      </c>
      <c r="B846" t="s">
        <v>636</v>
      </c>
      <c r="C846" t="s">
        <v>6297</v>
      </c>
      <c r="D846" t="s">
        <v>6298</v>
      </c>
      <c r="E846" t="s">
        <v>6299</v>
      </c>
      <c r="F846" t="s">
        <v>6300</v>
      </c>
      <c r="G846" t="s">
        <v>6301</v>
      </c>
      <c r="H846" t="s">
        <v>6302</v>
      </c>
      <c r="I846" t="s">
        <v>6303</v>
      </c>
      <c r="J846" t="s">
        <v>6304</v>
      </c>
      <c r="K846" t="s">
        <v>6305</v>
      </c>
      <c r="L846" t="s">
        <v>8601</v>
      </c>
    </row>
    <row r="847" spans="1:12" x14ac:dyDescent="0.35">
      <c r="A847" t="str">
        <f t="shared" si="13"/>
        <v>Interest Capitalized, Expensed</v>
      </c>
      <c r="B847" t="s">
        <v>637</v>
      </c>
      <c r="C847" t="s">
        <v>6306</v>
      </c>
      <c r="D847" t="s">
        <v>6307</v>
      </c>
      <c r="E847" t="s">
        <v>6308</v>
      </c>
      <c r="F847" t="s">
        <v>6309</v>
      </c>
      <c r="G847" t="s">
        <v>6310</v>
      </c>
      <c r="H847" t="s">
        <v>6311</v>
      </c>
      <c r="I847" t="s">
        <v>6312</v>
      </c>
      <c r="J847" t="s">
        <v>6313</v>
      </c>
      <c r="K847" t="s">
        <v>6314</v>
      </c>
      <c r="L847" t="s">
        <v>8602</v>
      </c>
    </row>
    <row r="848" spans="1:12" x14ac:dyDescent="0.35">
      <c r="A848" t="str">
        <f t="shared" si="13"/>
        <v>Interest Capitalized, Written-off</v>
      </c>
      <c r="B848" t="s">
        <v>638</v>
      </c>
      <c r="C848" t="s">
        <v>6315</v>
      </c>
      <c r="D848" t="s">
        <v>6316</v>
      </c>
      <c r="E848" t="s">
        <v>6317</v>
      </c>
      <c r="F848" t="s">
        <v>6318</v>
      </c>
      <c r="G848" t="s">
        <v>6319</v>
      </c>
      <c r="H848" t="s">
        <v>6320</v>
      </c>
      <c r="I848" t="s">
        <v>6321</v>
      </c>
      <c r="J848" t="s">
        <v>6322</v>
      </c>
      <c r="K848" t="s">
        <v>6323</v>
      </c>
      <c r="L848" t="s">
        <v>8603</v>
      </c>
    </row>
    <row r="849" spans="1:12" x14ac:dyDescent="0.35">
      <c r="A849" t="str">
        <f t="shared" si="13"/>
        <v>Interest Capitalized, Other Adj.</v>
      </c>
      <c r="B849" t="s">
        <v>639</v>
      </c>
      <c r="C849" t="s">
        <v>6324</v>
      </c>
      <c r="D849" t="s">
        <v>6325</v>
      </c>
      <c r="E849" t="s">
        <v>6326</v>
      </c>
      <c r="F849" t="s">
        <v>6327</v>
      </c>
      <c r="G849" t="s">
        <v>6328</v>
      </c>
      <c r="H849" t="s">
        <v>6329</v>
      </c>
      <c r="I849" t="s">
        <v>6330</v>
      </c>
      <c r="J849" t="s">
        <v>6331</v>
      </c>
      <c r="K849" t="s">
        <v>6332</v>
      </c>
      <c r="L849" t="s">
        <v>8604</v>
      </c>
    </row>
    <row r="850" spans="1:12" x14ac:dyDescent="0.35">
      <c r="A850" t="str">
        <f t="shared" si="13"/>
        <v>Interest Capitalized, End Of Period</v>
      </c>
      <c r="B850" t="s">
        <v>640</v>
      </c>
      <c r="C850" t="s">
        <v>6333</v>
      </c>
      <c r="D850" t="s">
        <v>6334</v>
      </c>
      <c r="E850" t="s">
        <v>6335</v>
      </c>
      <c r="F850" t="s">
        <v>6336</v>
      </c>
      <c r="G850" t="s">
        <v>6337</v>
      </c>
      <c r="H850" t="s">
        <v>6338</v>
      </c>
      <c r="I850" t="s">
        <v>6339</v>
      </c>
      <c r="J850" t="s">
        <v>6340</v>
      </c>
      <c r="K850" t="s">
        <v>6341</v>
      </c>
      <c r="L850" t="s">
        <v>8605</v>
      </c>
    </row>
    <row r="851" spans="1:12" x14ac:dyDescent="0.35">
      <c r="A851" t="str">
        <f t="shared" si="13"/>
        <v>Loss Carry Forward Items</v>
      </c>
      <c r="B851" t="s">
        <v>529</v>
      </c>
      <c r="C851" t="s">
        <v>10644</v>
      </c>
      <c r="D851" t="s">
        <v>10645</v>
      </c>
      <c r="E851" t="s">
        <v>10646</v>
      </c>
      <c r="F851" t="s">
        <v>10647</v>
      </c>
      <c r="G851" t="s">
        <v>10648</v>
      </c>
      <c r="H851" t="s">
        <v>10649</v>
      </c>
      <c r="I851" t="s">
        <v>10650</v>
      </c>
      <c r="J851" t="s">
        <v>10651</v>
      </c>
      <c r="K851" t="s">
        <v>10652</v>
      </c>
      <c r="L851" t="s">
        <v>10653</v>
      </c>
    </row>
    <row r="852" spans="1:12" x14ac:dyDescent="0.35">
      <c r="A852" t="str">
        <f t="shared" si="13"/>
        <v>NOL C/F, Current Year</v>
      </c>
      <c r="B852" t="s">
        <v>530</v>
      </c>
      <c r="C852" t="s">
        <v>6342</v>
      </c>
      <c r="D852" t="s">
        <v>6343</v>
      </c>
      <c r="E852" t="s">
        <v>6344</v>
      </c>
      <c r="F852" t="s">
        <v>6345</v>
      </c>
      <c r="G852" t="s">
        <v>6346</v>
      </c>
      <c r="H852" t="s">
        <v>6347</v>
      </c>
      <c r="I852" t="s">
        <v>6348</v>
      </c>
      <c r="J852" t="s">
        <v>6349</v>
      </c>
      <c r="K852" t="s">
        <v>6350</v>
      </c>
      <c r="L852" t="s">
        <v>8606</v>
      </c>
    </row>
    <row r="853" spans="1:12" x14ac:dyDescent="0.35">
      <c r="A853" t="str">
        <f t="shared" si="13"/>
        <v>NOL C/F, Current Year + 1</v>
      </c>
      <c r="B853" t="s">
        <v>531</v>
      </c>
      <c r="C853" t="s">
        <v>6351</v>
      </c>
      <c r="D853" t="s">
        <v>6352</v>
      </c>
      <c r="E853" t="s">
        <v>6353</v>
      </c>
      <c r="F853" t="s">
        <v>6354</v>
      </c>
      <c r="G853" t="s">
        <v>6355</v>
      </c>
      <c r="H853" t="s">
        <v>6356</v>
      </c>
      <c r="I853" t="s">
        <v>6357</v>
      </c>
      <c r="J853" t="s">
        <v>6358</v>
      </c>
      <c r="K853" t="s">
        <v>6359</v>
      </c>
      <c r="L853" t="s">
        <v>8607</v>
      </c>
    </row>
    <row r="854" spans="1:12" x14ac:dyDescent="0.35">
      <c r="A854" t="str">
        <f t="shared" si="13"/>
        <v>NOL C/F, Current Year + 2</v>
      </c>
      <c r="B854" t="s">
        <v>532</v>
      </c>
      <c r="C854" t="s">
        <v>6360</v>
      </c>
      <c r="D854" t="s">
        <v>6361</v>
      </c>
      <c r="E854" t="s">
        <v>6362</v>
      </c>
      <c r="F854" t="s">
        <v>6363</v>
      </c>
      <c r="G854" t="s">
        <v>6364</v>
      </c>
      <c r="H854" t="s">
        <v>6365</v>
      </c>
      <c r="I854" t="s">
        <v>6366</v>
      </c>
      <c r="J854" t="s">
        <v>6367</v>
      </c>
      <c r="K854" t="s">
        <v>6368</v>
      </c>
      <c r="L854" t="s">
        <v>8608</v>
      </c>
    </row>
    <row r="855" spans="1:12" x14ac:dyDescent="0.35">
      <c r="A855" t="str">
        <f t="shared" si="13"/>
        <v>NOL C/F, Current Year + 3</v>
      </c>
      <c r="B855" t="s">
        <v>533</v>
      </c>
      <c r="C855" t="s">
        <v>6369</v>
      </c>
      <c r="D855" t="s">
        <v>6370</v>
      </c>
      <c r="E855" t="s">
        <v>6371</v>
      </c>
      <c r="F855" t="s">
        <v>6372</v>
      </c>
      <c r="G855" t="s">
        <v>6373</v>
      </c>
      <c r="H855" t="s">
        <v>6374</v>
      </c>
      <c r="I855" t="s">
        <v>6375</v>
      </c>
      <c r="J855" t="s">
        <v>6376</v>
      </c>
      <c r="K855" t="s">
        <v>6377</v>
      </c>
      <c r="L855" t="s">
        <v>8609</v>
      </c>
    </row>
    <row r="856" spans="1:12" x14ac:dyDescent="0.35">
      <c r="A856" t="str">
        <f t="shared" si="13"/>
        <v>NOL C/F, Current Year + 4</v>
      </c>
      <c r="B856" t="s">
        <v>534</v>
      </c>
      <c r="C856" t="s">
        <v>6378</v>
      </c>
      <c r="D856" t="s">
        <v>6379</v>
      </c>
      <c r="E856" t="s">
        <v>6380</v>
      </c>
      <c r="F856" t="s">
        <v>6381</v>
      </c>
      <c r="G856" t="s">
        <v>6382</v>
      </c>
      <c r="H856" t="s">
        <v>6383</v>
      </c>
      <c r="I856" t="s">
        <v>6384</v>
      </c>
      <c r="J856" t="s">
        <v>6385</v>
      </c>
      <c r="K856" t="s">
        <v>6386</v>
      </c>
      <c r="L856" t="s">
        <v>8610</v>
      </c>
    </row>
    <row r="857" spans="1:12" x14ac:dyDescent="0.35">
      <c r="A857" t="str">
        <f t="shared" si="13"/>
        <v>NOL C/F, After Five Years</v>
      </c>
      <c r="B857" t="s">
        <v>535</v>
      </c>
      <c r="C857" t="s">
        <v>6387</v>
      </c>
      <c r="D857" t="s">
        <v>6388</v>
      </c>
      <c r="E857" t="s">
        <v>6389</v>
      </c>
      <c r="F857" t="s">
        <v>6390</v>
      </c>
      <c r="G857" t="s">
        <v>6391</v>
      </c>
      <c r="H857" t="s">
        <v>6392</v>
      </c>
      <c r="I857" t="s">
        <v>6393</v>
      </c>
      <c r="J857" t="s">
        <v>6394</v>
      </c>
      <c r="K857" t="s">
        <v>6395</v>
      </c>
      <c r="L857" t="s">
        <v>8611</v>
      </c>
    </row>
    <row r="858" spans="1:12" x14ac:dyDescent="0.35">
      <c r="A858" t="str">
        <f t="shared" si="13"/>
        <v>NOL C/F, No Expiration</v>
      </c>
      <c r="B858" t="s">
        <v>536</v>
      </c>
      <c r="C858" t="s">
        <v>6396</v>
      </c>
      <c r="D858" t="s">
        <v>6397</v>
      </c>
      <c r="E858" t="s">
        <v>6398</v>
      </c>
      <c r="F858" t="s">
        <v>6399</v>
      </c>
      <c r="G858" t="s">
        <v>6400</v>
      </c>
      <c r="H858" t="s">
        <v>6401</v>
      </c>
      <c r="I858" t="s">
        <v>6402</v>
      </c>
      <c r="J858" t="s">
        <v>6403</v>
      </c>
      <c r="K858" t="s">
        <v>6404</v>
      </c>
      <c r="L858" t="s">
        <v>8612</v>
      </c>
    </row>
    <row r="859" spans="1:12" x14ac:dyDescent="0.35">
      <c r="A859" t="str">
        <f t="shared" si="13"/>
        <v>Total NOL C/F</v>
      </c>
      <c r="B859" t="s">
        <v>537</v>
      </c>
      <c r="C859" t="s">
        <v>6405</v>
      </c>
      <c r="D859" t="s">
        <v>6406</v>
      </c>
      <c r="E859" t="s">
        <v>6407</v>
      </c>
      <c r="F859" t="s">
        <v>6408</v>
      </c>
      <c r="G859" t="s">
        <v>6409</v>
      </c>
      <c r="H859" t="s">
        <v>6410</v>
      </c>
      <c r="I859" t="s">
        <v>6411</v>
      </c>
      <c r="J859" t="s">
        <v>6412</v>
      </c>
      <c r="K859" t="s">
        <v>6413</v>
      </c>
      <c r="L859" t="s">
        <v>8613</v>
      </c>
    </row>
    <row r="860" spans="1:12" x14ac:dyDescent="0.35">
      <c r="A860" t="str">
        <f t="shared" si="13"/>
        <v>Max. Year for NOL C/F</v>
      </c>
      <c r="B860" t="s">
        <v>538</v>
      </c>
      <c r="C860" t="s">
        <v>6414</v>
      </c>
      <c r="D860" t="s">
        <v>6415</v>
      </c>
      <c r="E860" t="s">
        <v>6416</v>
      </c>
      <c r="F860" t="s">
        <v>6417</v>
      </c>
      <c r="G860" t="s">
        <v>6418</v>
      </c>
      <c r="H860" t="s">
        <v>6419</v>
      </c>
      <c r="I860" t="s">
        <v>6420</v>
      </c>
      <c r="J860" t="s">
        <v>6421</v>
      </c>
      <c r="K860" t="s">
        <v>6422</v>
      </c>
      <c r="L860" t="s">
        <v>8614</v>
      </c>
    </row>
    <row r="861" spans="1:12" x14ac:dyDescent="0.35">
      <c r="A861" t="str">
        <f t="shared" si="13"/>
        <v>Capital Loss C/F, Current Year</v>
      </c>
      <c r="B861" t="s">
        <v>539</v>
      </c>
      <c r="C861" t="s">
        <v>6423</v>
      </c>
      <c r="D861" t="s">
        <v>6424</v>
      </c>
      <c r="E861" t="s">
        <v>6425</v>
      </c>
      <c r="F861" t="s">
        <v>6426</v>
      </c>
      <c r="G861" t="s">
        <v>6427</v>
      </c>
      <c r="H861" t="s">
        <v>6428</v>
      </c>
      <c r="I861" t="s">
        <v>6429</v>
      </c>
      <c r="J861" t="s">
        <v>6430</v>
      </c>
      <c r="K861" t="s">
        <v>6431</v>
      </c>
      <c r="L861" t="s">
        <v>8615</v>
      </c>
    </row>
    <row r="862" spans="1:12" x14ac:dyDescent="0.35">
      <c r="A862" t="str">
        <f t="shared" si="13"/>
        <v>Capital Loss C/F, Current Year + 1</v>
      </c>
      <c r="B862" t="s">
        <v>540</v>
      </c>
      <c r="C862" t="s">
        <v>6432</v>
      </c>
      <c r="D862" t="s">
        <v>6433</v>
      </c>
      <c r="E862" t="s">
        <v>6434</v>
      </c>
      <c r="F862" t="s">
        <v>6435</v>
      </c>
      <c r="G862" t="s">
        <v>6436</v>
      </c>
      <c r="H862" t="s">
        <v>6437</v>
      </c>
      <c r="I862" t="s">
        <v>6438</v>
      </c>
      <c r="J862" t="s">
        <v>6439</v>
      </c>
      <c r="K862" t="s">
        <v>6440</v>
      </c>
      <c r="L862" t="s">
        <v>8616</v>
      </c>
    </row>
    <row r="863" spans="1:12" x14ac:dyDescent="0.35">
      <c r="A863" t="str">
        <f t="shared" si="13"/>
        <v>Capital Loss C/F, Current Year + 2</v>
      </c>
      <c r="B863" t="s">
        <v>541</v>
      </c>
      <c r="C863" t="s">
        <v>6441</v>
      </c>
      <c r="D863" t="s">
        <v>6442</v>
      </c>
      <c r="E863" t="s">
        <v>6443</v>
      </c>
      <c r="F863" t="s">
        <v>6444</v>
      </c>
      <c r="G863" t="s">
        <v>6445</v>
      </c>
      <c r="H863" t="s">
        <v>6446</v>
      </c>
      <c r="I863" t="s">
        <v>6447</v>
      </c>
      <c r="J863" t="s">
        <v>6448</v>
      </c>
      <c r="K863" t="s">
        <v>6449</v>
      </c>
      <c r="L863" t="s">
        <v>8617</v>
      </c>
    </row>
    <row r="864" spans="1:12" x14ac:dyDescent="0.35">
      <c r="A864" t="str">
        <f t="shared" si="13"/>
        <v>Capital Loss C/F, Current Year + 3</v>
      </c>
      <c r="B864" t="s">
        <v>542</v>
      </c>
      <c r="C864" t="s">
        <v>6450</v>
      </c>
      <c r="D864" t="s">
        <v>6451</v>
      </c>
      <c r="E864" t="s">
        <v>6452</v>
      </c>
      <c r="F864" t="s">
        <v>6453</v>
      </c>
      <c r="G864" t="s">
        <v>6454</v>
      </c>
      <c r="H864" t="s">
        <v>6455</v>
      </c>
      <c r="I864" t="s">
        <v>6456</v>
      </c>
      <c r="J864" t="s">
        <v>6457</v>
      </c>
      <c r="K864" t="s">
        <v>6458</v>
      </c>
      <c r="L864" t="s">
        <v>8618</v>
      </c>
    </row>
    <row r="865" spans="1:12" x14ac:dyDescent="0.35">
      <c r="A865" t="str">
        <f t="shared" si="13"/>
        <v>Capital Loss C/F, Current Year + 4</v>
      </c>
      <c r="B865" t="s">
        <v>543</v>
      </c>
      <c r="C865" t="s">
        <v>6459</v>
      </c>
      <c r="D865" t="s">
        <v>6460</v>
      </c>
      <c r="E865" t="s">
        <v>6461</v>
      </c>
      <c r="F865" t="s">
        <v>6462</v>
      </c>
      <c r="G865" t="s">
        <v>6463</v>
      </c>
      <c r="H865" t="s">
        <v>6464</v>
      </c>
      <c r="I865" t="s">
        <v>6465</v>
      </c>
      <c r="J865" t="s">
        <v>6466</v>
      </c>
      <c r="K865" t="s">
        <v>6467</v>
      </c>
      <c r="L865" t="s">
        <v>8619</v>
      </c>
    </row>
    <row r="866" spans="1:12" x14ac:dyDescent="0.35">
      <c r="A866" t="str">
        <f t="shared" si="13"/>
        <v>Capital Loss C/F, After Five Years</v>
      </c>
      <c r="B866" t="s">
        <v>544</v>
      </c>
      <c r="C866" t="s">
        <v>6468</v>
      </c>
      <c r="D866" t="s">
        <v>6469</v>
      </c>
      <c r="E866" t="s">
        <v>6470</v>
      </c>
      <c r="F866" t="s">
        <v>6471</v>
      </c>
      <c r="G866" t="s">
        <v>6472</v>
      </c>
      <c r="H866" t="s">
        <v>6473</v>
      </c>
      <c r="I866" t="s">
        <v>6474</v>
      </c>
      <c r="J866" t="s">
        <v>6475</v>
      </c>
      <c r="K866" t="s">
        <v>6476</v>
      </c>
      <c r="L866" t="s">
        <v>8620</v>
      </c>
    </row>
    <row r="867" spans="1:12" x14ac:dyDescent="0.35">
      <c r="A867" t="str">
        <f t="shared" si="13"/>
        <v>Capital Loss C/F, No Expiration</v>
      </c>
      <c r="B867" t="s">
        <v>545</v>
      </c>
      <c r="C867" t="s">
        <v>6477</v>
      </c>
      <c r="D867" t="s">
        <v>6478</v>
      </c>
      <c r="E867" t="s">
        <v>6479</v>
      </c>
      <c r="F867" t="s">
        <v>6480</v>
      </c>
      <c r="G867" t="s">
        <v>6481</v>
      </c>
      <c r="H867" t="s">
        <v>6482</v>
      </c>
      <c r="I867" t="s">
        <v>6483</v>
      </c>
      <c r="J867" t="s">
        <v>6484</v>
      </c>
      <c r="K867" t="s">
        <v>6485</v>
      </c>
      <c r="L867" t="s">
        <v>8621</v>
      </c>
    </row>
    <row r="868" spans="1:12" x14ac:dyDescent="0.35">
      <c r="A868" t="str">
        <f t="shared" si="13"/>
        <v>Total Capital Loss C/F</v>
      </c>
      <c r="B868" t="s">
        <v>546</v>
      </c>
      <c r="C868" t="s">
        <v>6486</v>
      </c>
      <c r="D868" t="s">
        <v>6487</v>
      </c>
      <c r="E868" t="s">
        <v>6488</v>
      </c>
      <c r="F868" t="s">
        <v>6489</v>
      </c>
      <c r="G868" t="s">
        <v>6490</v>
      </c>
      <c r="H868" t="s">
        <v>6491</v>
      </c>
      <c r="I868" t="s">
        <v>6492</v>
      </c>
      <c r="J868" t="s">
        <v>6493</v>
      </c>
      <c r="K868" t="s">
        <v>6494</v>
      </c>
      <c r="L868" t="s">
        <v>8622</v>
      </c>
    </row>
    <row r="869" spans="1:12" x14ac:dyDescent="0.35">
      <c r="A869" t="str">
        <f t="shared" si="13"/>
        <v>Max. Year for Capital Loss C/F</v>
      </c>
      <c r="B869" t="s">
        <v>547</v>
      </c>
      <c r="C869" t="s">
        <v>6495</v>
      </c>
      <c r="D869" t="s">
        <v>6496</v>
      </c>
      <c r="E869" t="s">
        <v>6497</v>
      </c>
      <c r="F869" t="s">
        <v>6498</v>
      </c>
      <c r="G869" t="s">
        <v>6499</v>
      </c>
      <c r="H869" t="s">
        <v>6500</v>
      </c>
      <c r="I869" t="s">
        <v>6501</v>
      </c>
      <c r="J869" t="s">
        <v>6502</v>
      </c>
      <c r="K869" t="s">
        <v>6503</v>
      </c>
      <c r="L869" t="s">
        <v>8623</v>
      </c>
    </row>
    <row r="870" spans="1:12" x14ac:dyDescent="0.35">
      <c r="A870" t="str">
        <f t="shared" si="13"/>
        <v>Tax Benefit C/F, Current Year</v>
      </c>
      <c r="B870" t="s">
        <v>548</v>
      </c>
      <c r="C870" t="s">
        <v>6504</v>
      </c>
      <c r="D870" t="s">
        <v>6505</v>
      </c>
      <c r="E870" t="s">
        <v>6506</v>
      </c>
      <c r="F870" t="s">
        <v>6507</v>
      </c>
      <c r="G870" t="s">
        <v>6508</v>
      </c>
      <c r="H870" t="s">
        <v>6509</v>
      </c>
      <c r="I870" t="s">
        <v>6510</v>
      </c>
      <c r="J870" t="s">
        <v>6511</v>
      </c>
      <c r="K870" t="s">
        <v>6512</v>
      </c>
      <c r="L870" t="s">
        <v>8624</v>
      </c>
    </row>
    <row r="871" spans="1:12" x14ac:dyDescent="0.35">
      <c r="A871" t="str">
        <f t="shared" si="13"/>
        <v>Tax Benefit C/F, Current Year + 1</v>
      </c>
      <c r="B871" t="s">
        <v>549</v>
      </c>
      <c r="C871" t="s">
        <v>6513</v>
      </c>
      <c r="D871" t="s">
        <v>6514</v>
      </c>
      <c r="E871" t="s">
        <v>6515</v>
      </c>
      <c r="F871" t="s">
        <v>6516</v>
      </c>
      <c r="G871" t="s">
        <v>6517</v>
      </c>
      <c r="H871" t="s">
        <v>6518</v>
      </c>
      <c r="I871" t="s">
        <v>6519</v>
      </c>
      <c r="J871" t="s">
        <v>6520</v>
      </c>
      <c r="K871" t="s">
        <v>6521</v>
      </c>
      <c r="L871" t="s">
        <v>8625</v>
      </c>
    </row>
    <row r="872" spans="1:12" x14ac:dyDescent="0.35">
      <c r="A872" t="str">
        <f t="shared" si="13"/>
        <v>Tax Benefit C/F, Current Year + 2</v>
      </c>
      <c r="B872" t="s">
        <v>550</v>
      </c>
      <c r="C872" t="s">
        <v>6522</v>
      </c>
      <c r="D872" t="s">
        <v>6523</v>
      </c>
      <c r="E872" t="s">
        <v>6524</v>
      </c>
      <c r="F872" t="s">
        <v>6525</v>
      </c>
      <c r="G872" t="s">
        <v>6526</v>
      </c>
      <c r="H872" t="s">
        <v>6527</v>
      </c>
      <c r="I872" t="s">
        <v>6528</v>
      </c>
      <c r="J872" t="s">
        <v>6529</v>
      </c>
      <c r="K872" t="s">
        <v>6530</v>
      </c>
      <c r="L872" t="s">
        <v>8626</v>
      </c>
    </row>
    <row r="873" spans="1:12" x14ac:dyDescent="0.35">
      <c r="A873" t="str">
        <f t="shared" si="13"/>
        <v>Tax Benefit C/F, Current Year + 3</v>
      </c>
      <c r="B873" t="s">
        <v>551</v>
      </c>
      <c r="C873" t="s">
        <v>6531</v>
      </c>
      <c r="D873" t="s">
        <v>6532</v>
      </c>
      <c r="E873" t="s">
        <v>6533</v>
      </c>
      <c r="F873" t="s">
        <v>6534</v>
      </c>
      <c r="G873" t="s">
        <v>6535</v>
      </c>
      <c r="H873" t="s">
        <v>6536</v>
      </c>
      <c r="I873" t="s">
        <v>6537</v>
      </c>
      <c r="J873" t="s">
        <v>6538</v>
      </c>
      <c r="K873" t="s">
        <v>6539</v>
      </c>
      <c r="L873" t="s">
        <v>8627</v>
      </c>
    </row>
    <row r="874" spans="1:12" x14ac:dyDescent="0.35">
      <c r="A874" t="str">
        <f t="shared" si="13"/>
        <v>Tax Benefit C/F, Current Year + 4</v>
      </c>
      <c r="B874" t="s">
        <v>552</v>
      </c>
      <c r="C874" t="s">
        <v>6540</v>
      </c>
      <c r="D874" t="s">
        <v>6541</v>
      </c>
      <c r="E874" t="s">
        <v>6542</v>
      </c>
      <c r="F874" t="s">
        <v>6543</v>
      </c>
      <c r="G874" t="s">
        <v>6544</v>
      </c>
      <c r="H874" t="s">
        <v>6545</v>
      </c>
      <c r="I874" t="s">
        <v>6546</v>
      </c>
      <c r="J874" t="s">
        <v>6547</v>
      </c>
      <c r="K874" t="s">
        <v>6548</v>
      </c>
      <c r="L874" t="s">
        <v>8628</v>
      </c>
    </row>
    <row r="875" spans="1:12" x14ac:dyDescent="0.35">
      <c r="A875" t="str">
        <f t="shared" ref="A875:A919" si="14">INDEX($B875:$CW875,,$A$5)</f>
        <v>Tax Benefit C/F, After Five Years</v>
      </c>
      <c r="B875" t="s">
        <v>553</v>
      </c>
      <c r="C875" t="s">
        <v>6549</v>
      </c>
      <c r="D875" t="s">
        <v>6550</v>
      </c>
      <c r="E875" t="s">
        <v>6551</v>
      </c>
      <c r="F875" t="s">
        <v>6552</v>
      </c>
      <c r="G875" t="s">
        <v>6553</v>
      </c>
      <c r="H875" t="s">
        <v>6554</v>
      </c>
      <c r="I875" t="s">
        <v>6555</v>
      </c>
      <c r="J875" t="s">
        <v>6556</v>
      </c>
      <c r="K875" t="s">
        <v>6557</v>
      </c>
      <c r="L875" t="s">
        <v>8629</v>
      </c>
    </row>
    <row r="876" spans="1:12" x14ac:dyDescent="0.35">
      <c r="A876" t="str">
        <f t="shared" si="14"/>
        <v>Tax Benefit C/F, No Expiration</v>
      </c>
      <c r="B876" t="s">
        <v>554</v>
      </c>
      <c r="C876" t="s">
        <v>6558</v>
      </c>
      <c r="D876" t="s">
        <v>6559</v>
      </c>
      <c r="E876" t="s">
        <v>6560</v>
      </c>
      <c r="F876" t="s">
        <v>6561</v>
      </c>
      <c r="G876" t="s">
        <v>6562</v>
      </c>
      <c r="H876" t="s">
        <v>6563</v>
      </c>
      <c r="I876" t="s">
        <v>6564</v>
      </c>
      <c r="J876" t="s">
        <v>6565</v>
      </c>
      <c r="K876" t="s">
        <v>6566</v>
      </c>
      <c r="L876" t="s">
        <v>8630</v>
      </c>
    </row>
    <row r="877" spans="1:12" x14ac:dyDescent="0.35">
      <c r="A877" t="str">
        <f t="shared" si="14"/>
        <v>Total Tax Benefit C/F</v>
      </c>
      <c r="B877" t="s">
        <v>555</v>
      </c>
      <c r="C877" t="s">
        <v>6567</v>
      </c>
      <c r="D877" t="s">
        <v>6568</v>
      </c>
      <c r="E877" t="s">
        <v>6569</v>
      </c>
      <c r="F877" t="s">
        <v>6570</v>
      </c>
      <c r="G877" t="s">
        <v>6571</v>
      </c>
      <c r="H877" t="s">
        <v>6572</v>
      </c>
      <c r="I877" t="s">
        <v>6573</v>
      </c>
      <c r="J877" t="s">
        <v>6574</v>
      </c>
      <c r="K877" t="s">
        <v>6575</v>
      </c>
      <c r="L877" t="s">
        <v>8631</v>
      </c>
    </row>
    <row r="878" spans="1:12" x14ac:dyDescent="0.35">
      <c r="A878" t="str">
        <f t="shared" si="14"/>
        <v>Max. Year for Tax Benefit C/F</v>
      </c>
      <c r="B878" t="s">
        <v>556</v>
      </c>
      <c r="C878" t="s">
        <v>6576</v>
      </c>
      <c r="D878" t="s">
        <v>6577</v>
      </c>
      <c r="E878" t="s">
        <v>6578</v>
      </c>
      <c r="F878" t="s">
        <v>6579</v>
      </c>
      <c r="G878" t="s">
        <v>6580</v>
      </c>
      <c r="H878" t="s">
        <v>6581</v>
      </c>
      <c r="I878" t="s">
        <v>6582</v>
      </c>
      <c r="J878" t="s">
        <v>6583</v>
      </c>
      <c r="K878" t="s">
        <v>6584</v>
      </c>
      <c r="L878" t="s">
        <v>8632</v>
      </c>
    </row>
    <row r="879" spans="1:12" x14ac:dyDescent="0.35">
      <c r="A879" t="str">
        <f t="shared" si="14"/>
        <v>Restr. Stock Comp. Exp., Before Tax</v>
      </c>
      <c r="B879" t="s">
        <v>587</v>
      </c>
      <c r="C879" t="s">
        <v>6585</v>
      </c>
      <c r="D879" t="s">
        <v>6586</v>
      </c>
      <c r="E879" t="s">
        <v>6587</v>
      </c>
      <c r="F879" t="s">
        <v>6588</v>
      </c>
      <c r="G879" t="s">
        <v>6589</v>
      </c>
      <c r="H879" t="s">
        <v>6590</v>
      </c>
      <c r="I879" t="s">
        <v>6591</v>
      </c>
      <c r="J879" t="s">
        <v>6592</v>
      </c>
      <c r="K879" t="s">
        <v>6593</v>
      </c>
      <c r="L879" t="s">
        <v>8633</v>
      </c>
    </row>
    <row r="880" spans="1:12" x14ac:dyDescent="0.35">
      <c r="A880" t="str">
        <f t="shared" si="14"/>
        <v>Restr. Stock Comp. Exp., Tax Effect</v>
      </c>
      <c r="B880" t="s">
        <v>588</v>
      </c>
      <c r="C880" t="s">
        <v>10691</v>
      </c>
      <c r="D880" t="s">
        <v>10692</v>
      </c>
      <c r="E880" t="s">
        <v>10693</v>
      </c>
      <c r="F880" t="s">
        <v>10694</v>
      </c>
      <c r="G880" t="s">
        <v>10695</v>
      </c>
      <c r="H880" t="s">
        <v>10696</v>
      </c>
      <c r="I880" t="s">
        <v>10697</v>
      </c>
      <c r="J880" t="s">
        <v>10698</v>
      </c>
      <c r="K880" t="s">
        <v>10699</v>
      </c>
      <c r="L880" t="s">
        <v>8634</v>
      </c>
    </row>
    <row r="881" spans="1:12" x14ac:dyDescent="0.35">
      <c r="A881" t="str">
        <f t="shared" si="14"/>
        <v>Restr. Stock Comp. Exp., After Tax</v>
      </c>
      <c r="B881" t="s">
        <v>589</v>
      </c>
      <c r="C881" t="s">
        <v>6594</v>
      </c>
      <c r="D881" t="s">
        <v>6595</v>
      </c>
      <c r="E881" t="s">
        <v>6596</v>
      </c>
      <c r="F881" t="s">
        <v>6597</v>
      </c>
      <c r="G881" t="s">
        <v>6598</v>
      </c>
      <c r="H881" t="s">
        <v>6599</v>
      </c>
      <c r="I881" t="s">
        <v>6600</v>
      </c>
      <c r="J881" t="s">
        <v>6601</v>
      </c>
      <c r="K881" t="s">
        <v>6602</v>
      </c>
      <c r="L881" t="s">
        <v>8634</v>
      </c>
    </row>
    <row r="882" spans="1:12" x14ac:dyDescent="0.35">
      <c r="A882" t="str">
        <f t="shared" si="14"/>
        <v>Stock Options Comp. Exp., Before Tax</v>
      </c>
      <c r="B882" t="s">
        <v>590</v>
      </c>
      <c r="C882" t="s">
        <v>6603</v>
      </c>
      <c r="D882" t="s">
        <v>6604</v>
      </c>
      <c r="E882" t="s">
        <v>6605</v>
      </c>
      <c r="F882" t="s">
        <v>6606</v>
      </c>
      <c r="G882" t="s">
        <v>6607</v>
      </c>
      <c r="H882" t="s">
        <v>6608</v>
      </c>
      <c r="I882" t="s">
        <v>6609</v>
      </c>
      <c r="J882" t="s">
        <v>6610</v>
      </c>
      <c r="K882" t="s">
        <v>6611</v>
      </c>
      <c r="L882" t="s">
        <v>8635</v>
      </c>
    </row>
    <row r="883" spans="1:12" x14ac:dyDescent="0.35">
      <c r="A883" t="str">
        <f t="shared" si="14"/>
        <v>Stock Options Comp. Exp., Tax Effect</v>
      </c>
      <c r="B883" t="s">
        <v>591</v>
      </c>
      <c r="C883" t="s">
        <v>10700</v>
      </c>
      <c r="D883" t="s">
        <v>10701</v>
      </c>
      <c r="E883" t="s">
        <v>10702</v>
      </c>
      <c r="F883" t="s">
        <v>10703</v>
      </c>
      <c r="G883" t="s">
        <v>10704</v>
      </c>
      <c r="H883" t="s">
        <v>10705</v>
      </c>
      <c r="I883" t="s">
        <v>10706</v>
      </c>
      <c r="J883" t="s">
        <v>10707</v>
      </c>
      <c r="K883" t="s">
        <v>10708</v>
      </c>
      <c r="L883" t="s">
        <v>8636</v>
      </c>
    </row>
    <row r="884" spans="1:12" x14ac:dyDescent="0.35">
      <c r="A884" t="str">
        <f t="shared" si="14"/>
        <v>Stock Options Comp. Exp., After Tax</v>
      </c>
      <c r="B884" t="s">
        <v>592</v>
      </c>
      <c r="C884" t="s">
        <v>6612</v>
      </c>
      <c r="D884" t="s">
        <v>6613</v>
      </c>
      <c r="E884" t="s">
        <v>6614</v>
      </c>
      <c r="F884" t="s">
        <v>6615</v>
      </c>
      <c r="G884" t="s">
        <v>6616</v>
      </c>
      <c r="H884" t="s">
        <v>6617</v>
      </c>
      <c r="I884" t="s">
        <v>6618</v>
      </c>
      <c r="J884" t="s">
        <v>6619</v>
      </c>
      <c r="K884" t="s">
        <v>6620</v>
      </c>
      <c r="L884" t="s">
        <v>8636</v>
      </c>
    </row>
    <row r="885" spans="1:12" x14ac:dyDescent="0.35">
      <c r="A885" t="str">
        <f t="shared" si="14"/>
        <v>Stock Based Comp. Exp., Before Tax</v>
      </c>
      <c r="B885" t="s">
        <v>593</v>
      </c>
      <c r="C885" t="s">
        <v>6621</v>
      </c>
      <c r="D885" t="s">
        <v>6622</v>
      </c>
      <c r="E885" t="s">
        <v>6623</v>
      </c>
      <c r="F885" t="s">
        <v>6624</v>
      </c>
      <c r="G885" t="s">
        <v>6625</v>
      </c>
      <c r="H885" t="s">
        <v>6626</v>
      </c>
      <c r="I885" t="s">
        <v>6627</v>
      </c>
      <c r="J885" t="s">
        <v>6628</v>
      </c>
      <c r="K885" t="s">
        <v>6629</v>
      </c>
      <c r="L885" t="s">
        <v>8637</v>
      </c>
    </row>
    <row r="886" spans="1:12" x14ac:dyDescent="0.35">
      <c r="A886" t="str">
        <f t="shared" si="14"/>
        <v>Stock Based Comp. Exp., Tax Effect</v>
      </c>
      <c r="B886" t="s">
        <v>594</v>
      </c>
      <c r="C886" t="s">
        <v>10709</v>
      </c>
      <c r="D886" t="s">
        <v>10710</v>
      </c>
      <c r="E886" t="s">
        <v>10711</v>
      </c>
      <c r="F886" t="s">
        <v>10712</v>
      </c>
      <c r="G886" t="s">
        <v>10713</v>
      </c>
      <c r="H886" t="s">
        <v>10714</v>
      </c>
      <c r="I886" t="s">
        <v>10715</v>
      </c>
      <c r="J886" t="s">
        <v>10716</v>
      </c>
      <c r="K886" t="s">
        <v>10717</v>
      </c>
      <c r="L886" t="s">
        <v>8638</v>
      </c>
    </row>
    <row r="887" spans="1:12" x14ac:dyDescent="0.35">
      <c r="A887" t="str">
        <f t="shared" si="14"/>
        <v>Stock Based Comp. Exp., After Tax</v>
      </c>
      <c r="B887" t="s">
        <v>595</v>
      </c>
      <c r="C887" t="s">
        <v>6630</v>
      </c>
      <c r="D887" t="s">
        <v>6631</v>
      </c>
      <c r="E887" t="s">
        <v>6632</v>
      </c>
      <c r="F887" t="s">
        <v>6633</v>
      </c>
      <c r="G887" t="s">
        <v>6634</v>
      </c>
      <c r="H887" t="s">
        <v>6635</v>
      </c>
      <c r="I887" t="s">
        <v>6636</v>
      </c>
      <c r="J887" t="s">
        <v>6637</v>
      </c>
      <c r="K887" t="s">
        <v>6638</v>
      </c>
      <c r="L887" t="s">
        <v>8638</v>
      </c>
    </row>
    <row r="888" spans="1:12" x14ac:dyDescent="0.35">
      <c r="A888" t="str">
        <f t="shared" si="14"/>
        <v>Adoption of FIN 48 Related Items</v>
      </c>
      <c r="B888" t="s">
        <v>758</v>
      </c>
      <c r="C888" t="s">
        <v>6639</v>
      </c>
      <c r="D888" t="s">
        <v>6640</v>
      </c>
      <c r="E888" t="s">
        <v>6641</v>
      </c>
      <c r="F888" t="s">
        <v>6642</v>
      </c>
      <c r="G888" t="s">
        <v>6643</v>
      </c>
      <c r="H888" t="s">
        <v>6644</v>
      </c>
      <c r="I888" t="s">
        <v>6645</v>
      </c>
      <c r="J888" t="s">
        <v>6646</v>
      </c>
      <c r="K888" t="s">
        <v>6647</v>
      </c>
      <c r="L888" t="s">
        <v>8639</v>
      </c>
    </row>
    <row r="889" spans="1:12" x14ac:dyDescent="0.35">
      <c r="A889" t="str">
        <f t="shared" si="14"/>
        <v>Trans. Impact of FIN 48 on Current Assets</v>
      </c>
      <c r="B889" t="s">
        <v>1014</v>
      </c>
      <c r="C889" t="s">
        <v>6648</v>
      </c>
      <c r="D889" t="s">
        <v>6649</v>
      </c>
      <c r="E889" t="s">
        <v>6650</v>
      </c>
      <c r="F889" t="s">
        <v>6651</v>
      </c>
      <c r="G889" t="s">
        <v>6652</v>
      </c>
      <c r="H889" t="s">
        <v>6653</v>
      </c>
      <c r="I889" t="s">
        <v>6654</v>
      </c>
      <c r="J889" t="s">
        <v>6655</v>
      </c>
      <c r="K889" t="s">
        <v>6656</v>
      </c>
      <c r="L889" t="s">
        <v>8640</v>
      </c>
    </row>
    <row r="890" spans="1:12" x14ac:dyDescent="0.35">
      <c r="A890" t="str">
        <f t="shared" si="14"/>
        <v>Trans. Impact of FIN 48 on Long Term Assets</v>
      </c>
      <c r="B890" t="s">
        <v>1015</v>
      </c>
      <c r="C890" t="s">
        <v>6657</v>
      </c>
      <c r="D890" t="s">
        <v>6658</v>
      </c>
      <c r="E890" t="s">
        <v>6659</v>
      </c>
      <c r="F890" t="s">
        <v>6660</v>
      </c>
      <c r="G890" t="s">
        <v>6661</v>
      </c>
      <c r="H890" t="s">
        <v>6662</v>
      </c>
      <c r="I890" t="s">
        <v>6663</v>
      </c>
      <c r="J890" t="s">
        <v>6664</v>
      </c>
      <c r="K890" t="s">
        <v>6665</v>
      </c>
      <c r="L890" t="s">
        <v>8641</v>
      </c>
    </row>
    <row r="891" spans="1:12" x14ac:dyDescent="0.35">
      <c r="A891" t="str">
        <f t="shared" si="14"/>
        <v>Trans. Impact of FIN 48 on Current Liabilities</v>
      </c>
      <c r="B891" t="s">
        <v>1016</v>
      </c>
      <c r="C891" t="s">
        <v>6666</v>
      </c>
      <c r="D891" t="s">
        <v>6667</v>
      </c>
      <c r="E891" t="s">
        <v>6668</v>
      </c>
      <c r="F891" t="s">
        <v>6669</v>
      </c>
      <c r="G891" t="s">
        <v>6670</v>
      </c>
      <c r="H891" t="s">
        <v>6671</v>
      </c>
      <c r="I891" t="s">
        <v>6672</v>
      </c>
      <c r="J891" t="s">
        <v>6673</v>
      </c>
      <c r="K891" t="s">
        <v>6674</v>
      </c>
      <c r="L891" t="s">
        <v>8642</v>
      </c>
    </row>
    <row r="892" spans="1:12" x14ac:dyDescent="0.35">
      <c r="A892" t="str">
        <f t="shared" si="14"/>
        <v>Trans. Impact of FIN 48 on Non-Current Liabilities</v>
      </c>
      <c r="B892" t="s">
        <v>1017</v>
      </c>
      <c r="C892" t="s">
        <v>6675</v>
      </c>
      <c r="D892" t="s">
        <v>6676</v>
      </c>
      <c r="E892" t="s">
        <v>6677</v>
      </c>
      <c r="F892" t="s">
        <v>6678</v>
      </c>
      <c r="G892" t="s">
        <v>6679</v>
      </c>
      <c r="H892" t="s">
        <v>6680</v>
      </c>
      <c r="I892" t="s">
        <v>6681</v>
      </c>
      <c r="J892" t="s">
        <v>6682</v>
      </c>
      <c r="K892" t="s">
        <v>6683</v>
      </c>
      <c r="L892" t="s">
        <v>8643</v>
      </c>
    </row>
    <row r="893" spans="1:12" x14ac:dyDescent="0.35">
      <c r="A893" t="str">
        <f t="shared" si="14"/>
        <v>Trans. Impact of FIN 48 on Retained Earnings</v>
      </c>
      <c r="B893" t="s">
        <v>1018</v>
      </c>
      <c r="C893" t="s">
        <v>6684</v>
      </c>
      <c r="D893" t="s">
        <v>6685</v>
      </c>
      <c r="E893" t="s">
        <v>6686</v>
      </c>
      <c r="F893" t="s">
        <v>6687</v>
      </c>
      <c r="G893" t="s">
        <v>6688</v>
      </c>
      <c r="H893" t="s">
        <v>6689</v>
      </c>
      <c r="I893" t="s">
        <v>6690</v>
      </c>
      <c r="J893" t="s">
        <v>6691</v>
      </c>
      <c r="K893" t="s">
        <v>6692</v>
      </c>
      <c r="L893" t="s">
        <v>8644</v>
      </c>
    </row>
    <row r="894" spans="1:12" x14ac:dyDescent="0.35">
      <c r="A894" t="str">
        <f t="shared" si="14"/>
        <v>Unrecog. Tax Benefits, Beginning of the Period</v>
      </c>
      <c r="B894" t="s">
        <v>452</v>
      </c>
      <c r="C894" t="s">
        <v>6693</v>
      </c>
      <c r="D894" t="s">
        <v>6694</v>
      </c>
      <c r="E894" t="s">
        <v>6695</v>
      </c>
      <c r="F894" t="s">
        <v>6696</v>
      </c>
      <c r="G894" t="s">
        <v>6697</v>
      </c>
      <c r="H894" t="s">
        <v>6698</v>
      </c>
      <c r="I894" t="s">
        <v>6699</v>
      </c>
      <c r="J894" t="s">
        <v>6700</v>
      </c>
      <c r="K894" t="s">
        <v>6701</v>
      </c>
      <c r="L894" t="s">
        <v>8645</v>
      </c>
    </row>
    <row r="895" spans="1:12" x14ac:dyDescent="0.35">
      <c r="A895" t="str">
        <f t="shared" si="14"/>
        <v>Additions Based on Tax Positions - Current Yr.</v>
      </c>
      <c r="B895" t="s">
        <v>453</v>
      </c>
      <c r="C895" t="s">
        <v>6702</v>
      </c>
      <c r="D895" t="s">
        <v>6703</v>
      </c>
      <c r="E895" t="s">
        <v>6704</v>
      </c>
      <c r="F895" t="s">
        <v>6705</v>
      </c>
      <c r="G895" t="s">
        <v>6706</v>
      </c>
      <c r="H895" t="s">
        <v>6707</v>
      </c>
      <c r="I895" t="s">
        <v>6708</v>
      </c>
      <c r="J895" t="s">
        <v>6709</v>
      </c>
      <c r="K895" t="s">
        <v>6710</v>
      </c>
      <c r="L895" t="s">
        <v>8646</v>
      </c>
    </row>
    <row r="896" spans="1:12" x14ac:dyDescent="0.35">
      <c r="A896" t="str">
        <f t="shared" si="14"/>
        <v>Reductions Based on Tax Positions - Current Yr.</v>
      </c>
      <c r="B896" t="s">
        <v>454</v>
      </c>
      <c r="C896" t="s">
        <v>6711</v>
      </c>
      <c r="D896" t="s">
        <v>6712</v>
      </c>
      <c r="E896" t="s">
        <v>6713</v>
      </c>
      <c r="F896" t="s">
        <v>6714</v>
      </c>
      <c r="G896" t="s">
        <v>6715</v>
      </c>
      <c r="H896" t="s">
        <v>6716</v>
      </c>
      <c r="I896" t="s">
        <v>6717</v>
      </c>
      <c r="J896" t="s">
        <v>6718</v>
      </c>
      <c r="K896" t="s">
        <v>6719</v>
      </c>
      <c r="L896" t="s">
        <v>8647</v>
      </c>
    </row>
    <row r="897" spans="1:12" x14ac:dyDescent="0.35">
      <c r="A897" t="str">
        <f t="shared" si="14"/>
        <v>Additions for Tax Positions - Prior Yrs</v>
      </c>
      <c r="B897" t="s">
        <v>455</v>
      </c>
      <c r="C897" t="s">
        <v>6720</v>
      </c>
      <c r="D897" t="s">
        <v>6721</v>
      </c>
      <c r="E897" t="s">
        <v>6722</v>
      </c>
      <c r="F897" t="s">
        <v>6723</v>
      </c>
      <c r="G897" t="s">
        <v>6724</v>
      </c>
      <c r="H897" t="s">
        <v>6725</v>
      </c>
      <c r="I897" t="s">
        <v>6726</v>
      </c>
      <c r="J897" t="s">
        <v>6727</v>
      </c>
      <c r="K897" t="s">
        <v>6728</v>
      </c>
      <c r="L897" t="s">
        <v>8648</v>
      </c>
    </row>
    <row r="898" spans="1:12" x14ac:dyDescent="0.35">
      <c r="A898" t="str">
        <f t="shared" si="14"/>
        <v>Reductions for Tax Positions - Prior Yrs</v>
      </c>
      <c r="B898" t="s">
        <v>456</v>
      </c>
      <c r="C898" t="s">
        <v>6729</v>
      </c>
      <c r="D898" t="s">
        <v>6730</v>
      </c>
      <c r="E898" t="s">
        <v>6731</v>
      </c>
      <c r="F898" t="s">
        <v>6732</v>
      </c>
      <c r="G898" t="s">
        <v>6733</v>
      </c>
      <c r="H898" t="s">
        <v>6734</v>
      </c>
      <c r="I898" t="s">
        <v>6735</v>
      </c>
      <c r="J898" t="s">
        <v>6736</v>
      </c>
      <c r="K898" t="s">
        <v>6737</v>
      </c>
      <c r="L898" t="s">
        <v>8649</v>
      </c>
    </row>
    <row r="899" spans="1:12" x14ac:dyDescent="0.35">
      <c r="A899" t="str">
        <f t="shared" si="14"/>
        <v>Settlements with Tax Authorities</v>
      </c>
      <c r="B899" t="s">
        <v>457</v>
      </c>
      <c r="C899" t="s">
        <v>6738</v>
      </c>
      <c r="D899" t="s">
        <v>6739</v>
      </c>
      <c r="E899" t="s">
        <v>6740</v>
      </c>
      <c r="F899" t="s">
        <v>6741</v>
      </c>
      <c r="G899" t="s">
        <v>6742</v>
      </c>
      <c r="H899" t="s">
        <v>6743</v>
      </c>
      <c r="I899" t="s">
        <v>6744</v>
      </c>
      <c r="J899" t="s">
        <v>6745</v>
      </c>
      <c r="K899" t="s">
        <v>6746</v>
      </c>
      <c r="L899" t="s">
        <v>8650</v>
      </c>
    </row>
    <row r="900" spans="1:12" x14ac:dyDescent="0.35">
      <c r="A900" t="str">
        <f t="shared" si="14"/>
        <v>Lapse of Statute of Limitations</v>
      </c>
      <c r="B900" t="s">
        <v>458</v>
      </c>
      <c r="C900" t="s">
        <v>6747</v>
      </c>
      <c r="D900" t="s">
        <v>6748</v>
      </c>
      <c r="E900" t="s">
        <v>6749</v>
      </c>
      <c r="F900" t="s">
        <v>6750</v>
      </c>
      <c r="G900" t="s">
        <v>6751</v>
      </c>
      <c r="H900" t="s">
        <v>6752</v>
      </c>
      <c r="I900" t="s">
        <v>6753</v>
      </c>
      <c r="J900" t="s">
        <v>6754</v>
      </c>
      <c r="K900" t="s">
        <v>6755</v>
      </c>
      <c r="L900" t="s">
        <v>8651</v>
      </c>
    </row>
    <row r="901" spans="1:12" x14ac:dyDescent="0.35">
      <c r="A901" t="str">
        <f t="shared" si="14"/>
        <v>Unrecog. Tax Benefits - Other Adj.</v>
      </c>
      <c r="B901" t="s">
        <v>459</v>
      </c>
      <c r="C901" t="s">
        <v>6756</v>
      </c>
      <c r="D901" t="s">
        <v>6757</v>
      </c>
      <c r="E901" t="s">
        <v>6758</v>
      </c>
      <c r="F901" t="s">
        <v>6759</v>
      </c>
      <c r="G901" t="s">
        <v>6760</v>
      </c>
      <c r="H901" t="s">
        <v>6761</v>
      </c>
      <c r="I901" t="s">
        <v>6762</v>
      </c>
      <c r="J901" t="s">
        <v>6763</v>
      </c>
      <c r="K901" t="s">
        <v>6764</v>
      </c>
      <c r="L901" t="s">
        <v>8652</v>
      </c>
    </row>
    <row r="902" spans="1:12" x14ac:dyDescent="0.35">
      <c r="A902" t="str">
        <f t="shared" si="14"/>
        <v>Unrecog. Tax Benefits, End of the Period</v>
      </c>
      <c r="B902" t="s">
        <v>460</v>
      </c>
      <c r="C902" t="s">
        <v>6765</v>
      </c>
      <c r="D902" t="s">
        <v>6766</v>
      </c>
      <c r="E902" t="s">
        <v>6767</v>
      </c>
      <c r="F902" t="s">
        <v>6768</v>
      </c>
      <c r="G902" t="s">
        <v>6769</v>
      </c>
      <c r="H902" t="s">
        <v>6770</v>
      </c>
      <c r="I902" t="s">
        <v>6771</v>
      </c>
      <c r="J902" t="s">
        <v>6772</v>
      </c>
      <c r="K902" t="s">
        <v>6773</v>
      </c>
      <c r="L902" t="s">
        <v>8653</v>
      </c>
    </row>
    <row r="903" spans="1:12" x14ac:dyDescent="0.35">
      <c r="A903" t="str">
        <f t="shared" si="14"/>
        <v>Account Code - Interest and Penalties</v>
      </c>
      <c r="B903" t="s">
        <v>461</v>
      </c>
      <c r="C903" t="s">
        <v>6774</v>
      </c>
      <c r="D903" t="s">
        <v>6775</v>
      </c>
      <c r="E903" t="s">
        <v>6776</v>
      </c>
      <c r="F903" t="s">
        <v>6777</v>
      </c>
      <c r="G903" t="s">
        <v>6778</v>
      </c>
      <c r="H903" t="s">
        <v>6779</v>
      </c>
      <c r="I903" t="s">
        <v>6780</v>
      </c>
      <c r="J903" t="s">
        <v>6781</v>
      </c>
      <c r="K903" t="s">
        <v>6782</v>
      </c>
      <c r="L903" t="s">
        <v>8654</v>
      </c>
    </row>
    <row r="904" spans="1:12" x14ac:dyDescent="0.35">
      <c r="A904" t="str">
        <f t="shared" si="14"/>
        <v>Interest and Penalties Recog. on IS - Before Tax</v>
      </c>
      <c r="B904" t="s">
        <v>462</v>
      </c>
      <c r="C904" t="s">
        <v>6783</v>
      </c>
      <c r="D904" t="s">
        <v>6784</v>
      </c>
      <c r="E904" t="s">
        <v>6785</v>
      </c>
      <c r="F904" t="s">
        <v>6786</v>
      </c>
      <c r="G904" t="s">
        <v>6787</v>
      </c>
      <c r="H904" t="s">
        <v>6788</v>
      </c>
      <c r="I904" t="s">
        <v>6789</v>
      </c>
      <c r="J904" t="s">
        <v>6790</v>
      </c>
      <c r="K904" t="s">
        <v>6791</v>
      </c>
      <c r="L904" t="s">
        <v>8655</v>
      </c>
    </row>
    <row r="905" spans="1:12" x14ac:dyDescent="0.35">
      <c r="A905" t="str">
        <f t="shared" si="14"/>
        <v>Interest and Penalties Recog. on IS - After Tax</v>
      </c>
      <c r="B905" t="s">
        <v>463</v>
      </c>
      <c r="C905" t="s">
        <v>6792</v>
      </c>
      <c r="D905" t="s">
        <v>6793</v>
      </c>
      <c r="E905" t="s">
        <v>6794</v>
      </c>
      <c r="F905" t="s">
        <v>6795</v>
      </c>
      <c r="G905" t="s">
        <v>6796</v>
      </c>
      <c r="H905" t="s">
        <v>6797</v>
      </c>
      <c r="I905" t="s">
        <v>6798</v>
      </c>
      <c r="J905" t="s">
        <v>6799</v>
      </c>
      <c r="K905" t="s">
        <v>6800</v>
      </c>
      <c r="L905" t="s">
        <v>8656</v>
      </c>
    </row>
    <row r="906" spans="1:12" x14ac:dyDescent="0.35">
      <c r="A906" t="str">
        <f t="shared" si="14"/>
        <v>Interest and Penalties Recog. on BS - Before Tax</v>
      </c>
      <c r="B906" t="s">
        <v>464</v>
      </c>
      <c r="C906" t="s">
        <v>6801</v>
      </c>
      <c r="D906" t="s">
        <v>6802</v>
      </c>
      <c r="E906" t="s">
        <v>6803</v>
      </c>
      <c r="F906" t="s">
        <v>6804</v>
      </c>
      <c r="G906" t="s">
        <v>6805</v>
      </c>
      <c r="H906" t="s">
        <v>6806</v>
      </c>
      <c r="I906" t="s">
        <v>6807</v>
      </c>
      <c r="J906" t="s">
        <v>6808</v>
      </c>
      <c r="K906" t="s">
        <v>6809</v>
      </c>
      <c r="L906" t="s">
        <v>8657</v>
      </c>
    </row>
    <row r="907" spans="1:12" x14ac:dyDescent="0.35">
      <c r="A907" t="str">
        <f t="shared" si="14"/>
        <v>Interest and Penalties Recog. on BS - After Tax</v>
      </c>
      <c r="B907" t="s">
        <v>465</v>
      </c>
      <c r="C907" t="s">
        <v>6810</v>
      </c>
      <c r="D907" t="s">
        <v>6811</v>
      </c>
      <c r="E907" t="s">
        <v>6812</v>
      </c>
      <c r="F907" t="s">
        <v>6813</v>
      </c>
      <c r="G907" t="s">
        <v>6814</v>
      </c>
      <c r="H907" t="s">
        <v>6815</v>
      </c>
      <c r="I907" t="s">
        <v>6816</v>
      </c>
      <c r="J907" t="s">
        <v>6817</v>
      </c>
      <c r="K907" t="s">
        <v>6818</v>
      </c>
      <c r="L907" t="s">
        <v>8658</v>
      </c>
    </row>
    <row r="908" spans="1:12" x14ac:dyDescent="0.35">
      <c r="A908" t="str">
        <f t="shared" si="14"/>
        <v>Changes in Unrecog. Tax Benefit within a Year of the Rep. Date - Min</v>
      </c>
      <c r="B908" t="s">
        <v>754</v>
      </c>
      <c r="C908" t="s">
        <v>6819</v>
      </c>
      <c r="D908" t="s">
        <v>6820</v>
      </c>
      <c r="E908" t="s">
        <v>6821</v>
      </c>
      <c r="F908" t="s">
        <v>6822</v>
      </c>
      <c r="G908" t="s">
        <v>6823</v>
      </c>
      <c r="H908" t="s">
        <v>6824</v>
      </c>
      <c r="I908" t="s">
        <v>6825</v>
      </c>
      <c r="J908" t="s">
        <v>6826</v>
      </c>
      <c r="K908" t="s">
        <v>6827</v>
      </c>
      <c r="L908" t="s">
        <v>8659</v>
      </c>
    </row>
    <row r="909" spans="1:12" x14ac:dyDescent="0.35">
      <c r="A909" t="str">
        <f t="shared" si="14"/>
        <v>Changes in Unrecog. Tax Benefit within a Year of the Rep. Date - Max</v>
      </c>
      <c r="B909" t="s">
        <v>755</v>
      </c>
      <c r="C909" t="s">
        <v>6828</v>
      </c>
      <c r="D909" t="s">
        <v>6829</v>
      </c>
      <c r="E909" t="s">
        <v>6830</v>
      </c>
      <c r="F909" t="s">
        <v>6831</v>
      </c>
      <c r="G909" t="s">
        <v>6832</v>
      </c>
      <c r="H909" t="s">
        <v>6833</v>
      </c>
      <c r="I909" t="s">
        <v>6834</v>
      </c>
      <c r="J909" t="s">
        <v>6835</v>
      </c>
      <c r="K909" t="s">
        <v>6836</v>
      </c>
      <c r="L909" t="s">
        <v>8660</v>
      </c>
    </row>
    <row r="910" spans="1:12" x14ac:dyDescent="0.35">
      <c r="A910" t="str">
        <f t="shared" si="14"/>
        <v>Impact of Unrecog. Tax Benefit on the Effective Tax Rate</v>
      </c>
      <c r="B910" t="s">
        <v>756</v>
      </c>
      <c r="C910" t="s">
        <v>6837</v>
      </c>
      <c r="D910" t="s">
        <v>6838</v>
      </c>
      <c r="E910" t="s">
        <v>6839</v>
      </c>
      <c r="F910" t="s">
        <v>6840</v>
      </c>
      <c r="G910" t="s">
        <v>6841</v>
      </c>
      <c r="H910" t="s">
        <v>6842</v>
      </c>
      <c r="I910" t="s">
        <v>6843</v>
      </c>
      <c r="J910" t="s">
        <v>6844</v>
      </c>
      <c r="K910" t="s">
        <v>6845</v>
      </c>
      <c r="L910" t="s">
        <v>8661</v>
      </c>
    </row>
    <row r="911" spans="1:12" x14ac:dyDescent="0.35">
      <c r="A911" t="str">
        <f t="shared" si="14"/>
        <v>Pension</v>
      </c>
      <c r="B911" t="s">
        <v>647</v>
      </c>
      <c r="C911" t="s">
        <v>6846</v>
      </c>
      <c r="D911" t="s">
        <v>6847</v>
      </c>
      <c r="E911" t="s">
        <v>647</v>
      </c>
      <c r="F911" t="s">
        <v>647</v>
      </c>
      <c r="G911" t="s">
        <v>6848</v>
      </c>
      <c r="H911" t="s">
        <v>6849</v>
      </c>
      <c r="I911" t="s">
        <v>6850</v>
      </c>
      <c r="J911" t="s">
        <v>6851</v>
      </c>
      <c r="K911" t="s">
        <v>6852</v>
      </c>
      <c r="L911" t="s">
        <v>8662</v>
      </c>
    </row>
    <row r="912" spans="1:12" x14ac:dyDescent="0.35">
      <c r="A912" t="str">
        <f t="shared" si="14"/>
        <v>Defined Benefit Net Periodic Cost</v>
      </c>
      <c r="B912" t="s">
        <v>760</v>
      </c>
      <c r="C912" t="s">
        <v>6853</v>
      </c>
      <c r="D912" t="s">
        <v>6854</v>
      </c>
      <c r="E912" t="s">
        <v>6855</v>
      </c>
      <c r="F912" t="s">
        <v>6856</v>
      </c>
      <c r="G912" t="s">
        <v>6857</v>
      </c>
      <c r="H912" t="s">
        <v>6858</v>
      </c>
      <c r="I912" t="s">
        <v>6859</v>
      </c>
      <c r="J912" t="s">
        <v>6860</v>
      </c>
      <c r="K912" t="s">
        <v>6861</v>
      </c>
      <c r="L912" t="s">
        <v>8663</v>
      </c>
    </row>
    <row r="913" spans="1:12" x14ac:dyDescent="0.35">
      <c r="A913" t="str">
        <f t="shared" si="14"/>
        <v>Def. Benefit Total Cost of Supple Plans</v>
      </c>
      <c r="B913" t="s">
        <v>68</v>
      </c>
      <c r="C913" t="s">
        <v>6862</v>
      </c>
      <c r="D913" t="s">
        <v>6863</v>
      </c>
      <c r="E913" t="s">
        <v>6864</v>
      </c>
      <c r="F913" t="s">
        <v>6865</v>
      </c>
      <c r="G913" t="s">
        <v>6866</v>
      </c>
      <c r="H913" t="s">
        <v>6867</v>
      </c>
      <c r="I913" t="s">
        <v>6868</v>
      </c>
      <c r="J913" t="s">
        <v>6869</v>
      </c>
      <c r="K913" t="s">
        <v>6870</v>
      </c>
      <c r="L913" t="s">
        <v>8664</v>
      </c>
    </row>
    <row r="914" spans="1:12" x14ac:dyDescent="0.35">
      <c r="A914" t="str">
        <f t="shared" si="14"/>
        <v>Def. Contribution Cost</v>
      </c>
      <c r="B914" t="s">
        <v>642</v>
      </c>
      <c r="C914" t="s">
        <v>6871</v>
      </c>
      <c r="D914" t="s">
        <v>6872</v>
      </c>
      <c r="E914" t="s">
        <v>6873</v>
      </c>
      <c r="F914" t="s">
        <v>6874</v>
      </c>
      <c r="G914" t="s">
        <v>6875</v>
      </c>
      <c r="H914" t="s">
        <v>6876</v>
      </c>
      <c r="I914" t="s">
        <v>6877</v>
      </c>
      <c r="J914" t="s">
        <v>6878</v>
      </c>
      <c r="K914" t="s">
        <v>6879</v>
      </c>
      <c r="L914" t="s">
        <v>8665</v>
      </c>
    </row>
    <row r="915" spans="1:12" x14ac:dyDescent="0.35">
      <c r="A915" t="str">
        <f t="shared" si="14"/>
        <v>Total Pension Expense</v>
      </c>
      <c r="B915" t="s">
        <v>421</v>
      </c>
      <c r="C915" t="s">
        <v>6880</v>
      </c>
      <c r="D915" t="s">
        <v>6881</v>
      </c>
      <c r="E915" t="s">
        <v>6882</v>
      </c>
      <c r="F915" t="s">
        <v>6883</v>
      </c>
      <c r="G915" t="s">
        <v>6884</v>
      </c>
      <c r="H915" t="s">
        <v>6885</v>
      </c>
      <c r="I915" t="s">
        <v>6886</v>
      </c>
      <c r="J915" t="s">
        <v>6887</v>
      </c>
      <c r="K915" t="s">
        <v>6888</v>
      </c>
      <c r="L915" t="s">
        <v>8666</v>
      </c>
    </row>
    <row r="916" spans="1:12" x14ac:dyDescent="0.35">
      <c r="A916" t="str">
        <f t="shared" si="14"/>
        <v>Defined Benefit Obligation</v>
      </c>
      <c r="B916" t="s">
        <v>761</v>
      </c>
      <c r="C916" t="s">
        <v>6889</v>
      </c>
      <c r="D916" t="s">
        <v>6890</v>
      </c>
      <c r="E916" t="s">
        <v>6891</v>
      </c>
      <c r="F916" t="s">
        <v>6892</v>
      </c>
      <c r="G916" t="s">
        <v>6893</v>
      </c>
      <c r="H916" t="s">
        <v>6894</v>
      </c>
      <c r="I916" t="s">
        <v>6895</v>
      </c>
      <c r="J916" t="s">
        <v>6896</v>
      </c>
      <c r="K916" t="s">
        <v>6897</v>
      </c>
      <c r="L916" t="s">
        <v>8667</v>
      </c>
    </row>
    <row r="917" spans="1:12" x14ac:dyDescent="0.35">
      <c r="A917" t="str">
        <f t="shared" si="14"/>
        <v>Def. Benefit Service Cost</v>
      </c>
      <c r="B917" t="s">
        <v>430</v>
      </c>
      <c r="C917" t="s">
        <v>6898</v>
      </c>
      <c r="D917" t="s">
        <v>6899</v>
      </c>
      <c r="E917" t="s">
        <v>6900</v>
      </c>
      <c r="F917" t="s">
        <v>6901</v>
      </c>
      <c r="G917" t="s">
        <v>6902</v>
      </c>
      <c r="H917" t="s">
        <v>6903</v>
      </c>
      <c r="I917" t="s">
        <v>6904</v>
      </c>
      <c r="J917" t="s">
        <v>6905</v>
      </c>
      <c r="K917" t="s">
        <v>6906</v>
      </c>
      <c r="L917" t="s">
        <v>8668</v>
      </c>
    </row>
    <row r="918" spans="1:12" x14ac:dyDescent="0.35">
      <c r="A918" t="str">
        <f t="shared" si="14"/>
        <v>Def. Benefits Paid</v>
      </c>
      <c r="B918" t="s">
        <v>1019</v>
      </c>
      <c r="C918" t="s">
        <v>6907</v>
      </c>
      <c r="D918" t="s">
        <v>6908</v>
      </c>
      <c r="E918" t="s">
        <v>6909</v>
      </c>
      <c r="F918" t="s">
        <v>6910</v>
      </c>
      <c r="G918" t="s">
        <v>6911</v>
      </c>
      <c r="H918" t="s">
        <v>6912</v>
      </c>
      <c r="I918" t="s">
        <v>6913</v>
      </c>
      <c r="J918" t="s">
        <v>6914</v>
      </c>
      <c r="K918" t="s">
        <v>6915</v>
      </c>
      <c r="L918" t="s">
        <v>8669</v>
      </c>
    </row>
    <row r="919" spans="1:12" x14ac:dyDescent="0.35">
      <c r="A919" t="str">
        <f t="shared" si="14"/>
        <v>Plan Assets</v>
      </c>
      <c r="B919" t="s">
        <v>770</v>
      </c>
      <c r="C919" t="s">
        <v>6916</v>
      </c>
      <c r="D919" t="s">
        <v>6917</v>
      </c>
      <c r="E919" t="s">
        <v>6918</v>
      </c>
      <c r="F919" t="s">
        <v>6919</v>
      </c>
      <c r="G919" t="s">
        <v>6920</v>
      </c>
      <c r="H919" t="s">
        <v>6921</v>
      </c>
      <c r="I919" t="s">
        <v>6922</v>
      </c>
      <c r="J919" t="s">
        <v>6923</v>
      </c>
      <c r="K919" t="s">
        <v>6924</v>
      </c>
      <c r="L919" t="s">
        <v>8670</v>
      </c>
    </row>
    <row r="920" spans="1:12" x14ac:dyDescent="0.35">
      <c r="A920" t="str">
        <f t="shared" ref="A920:A947" si="15">INDEX($B920:$CW920,,$A$5)</f>
        <v>Weighted Avg. Assumptions on Net Periodic Cost</v>
      </c>
      <c r="B920" t="s">
        <v>781</v>
      </c>
      <c r="C920" t="s">
        <v>6925</v>
      </c>
      <c r="D920" t="s">
        <v>6926</v>
      </c>
      <c r="E920" t="s">
        <v>6927</v>
      </c>
      <c r="F920" t="s">
        <v>6928</v>
      </c>
      <c r="G920" t="s">
        <v>6929</v>
      </c>
      <c r="H920" t="s">
        <v>6930</v>
      </c>
      <c r="I920" t="s">
        <v>6931</v>
      </c>
      <c r="J920" t="s">
        <v>6932</v>
      </c>
      <c r="K920" t="s">
        <v>6933</v>
      </c>
      <c r="L920" t="s">
        <v>8671</v>
      </c>
    </row>
    <row r="921" spans="1:12" x14ac:dyDescent="0.35">
      <c r="A921" t="str">
        <f t="shared" si="15"/>
        <v>Rate of Comp. Increase - Max</v>
      </c>
      <c r="B921" t="s">
        <v>1020</v>
      </c>
      <c r="C921" t="s">
        <v>6934</v>
      </c>
      <c r="D921" t="s">
        <v>6935</v>
      </c>
      <c r="E921" t="s">
        <v>6936</v>
      </c>
      <c r="F921" t="s">
        <v>6937</v>
      </c>
      <c r="G921" t="s">
        <v>6938</v>
      </c>
      <c r="H921" t="s">
        <v>6939</v>
      </c>
      <c r="I921" t="s">
        <v>6940</v>
      </c>
      <c r="J921" t="s">
        <v>6941</v>
      </c>
      <c r="K921" t="s">
        <v>6942</v>
      </c>
      <c r="L921" t="s">
        <v>8672</v>
      </c>
    </row>
    <row r="922" spans="1:12" x14ac:dyDescent="0.35">
      <c r="A922" t="str">
        <f t="shared" si="15"/>
        <v>Breakdown of Plan Assets</v>
      </c>
      <c r="B922" t="s">
        <v>787</v>
      </c>
      <c r="C922" t="s">
        <v>6943</v>
      </c>
      <c r="D922" t="s">
        <v>6944</v>
      </c>
      <c r="E922" t="s">
        <v>6945</v>
      </c>
      <c r="F922" t="s">
        <v>6946</v>
      </c>
      <c r="G922" t="s">
        <v>6947</v>
      </c>
      <c r="H922" t="s">
        <v>6948</v>
      </c>
      <c r="I922" t="s">
        <v>6949</v>
      </c>
      <c r="J922" t="s">
        <v>6950</v>
      </c>
      <c r="K922" t="s">
        <v>6951</v>
      </c>
      <c r="L922" t="s">
        <v>8673</v>
      </c>
    </row>
    <row r="923" spans="1:12" x14ac:dyDescent="0.35">
      <c r="A923" t="str">
        <f t="shared" si="15"/>
        <v>Plan Assets - Equities (%)</v>
      </c>
      <c r="B923" t="s">
        <v>788</v>
      </c>
      <c r="C923" t="s">
        <v>6952</v>
      </c>
      <c r="D923" t="s">
        <v>6953</v>
      </c>
      <c r="E923" t="s">
        <v>6954</v>
      </c>
      <c r="F923" t="s">
        <v>6955</v>
      </c>
      <c r="G923" t="s">
        <v>6956</v>
      </c>
      <c r="H923" t="s">
        <v>6957</v>
      </c>
      <c r="I923" t="s">
        <v>6958</v>
      </c>
      <c r="J923" t="s">
        <v>6959</v>
      </c>
      <c r="K923" t="s">
        <v>6960</v>
      </c>
      <c r="L923" t="s">
        <v>8674</v>
      </c>
    </row>
    <row r="924" spans="1:12" x14ac:dyDescent="0.35">
      <c r="A924" t="str">
        <f t="shared" si="15"/>
        <v>Plan Assets - Fixed Income (%)</v>
      </c>
      <c r="B924" t="s">
        <v>789</v>
      </c>
      <c r="C924" t="s">
        <v>6961</v>
      </c>
      <c r="D924" t="s">
        <v>6962</v>
      </c>
      <c r="E924" t="s">
        <v>6963</v>
      </c>
      <c r="F924" t="s">
        <v>6964</v>
      </c>
      <c r="G924" t="s">
        <v>6965</v>
      </c>
      <c r="H924" t="s">
        <v>6966</v>
      </c>
      <c r="I924" t="s">
        <v>6967</v>
      </c>
      <c r="J924" t="s">
        <v>6968</v>
      </c>
      <c r="K924" t="s">
        <v>6969</v>
      </c>
      <c r="L924" t="s">
        <v>8675</v>
      </c>
    </row>
    <row r="925" spans="1:12" x14ac:dyDescent="0.35">
      <c r="A925" t="str">
        <f t="shared" si="15"/>
        <v>Plan Assets- Real Estate (%)</v>
      </c>
      <c r="B925" t="s">
        <v>790</v>
      </c>
      <c r="C925" t="s">
        <v>6970</v>
      </c>
      <c r="D925" t="s">
        <v>6971</v>
      </c>
      <c r="E925" t="s">
        <v>6972</v>
      </c>
      <c r="F925" t="s">
        <v>6973</v>
      </c>
      <c r="G925" t="s">
        <v>6974</v>
      </c>
      <c r="H925" t="s">
        <v>6975</v>
      </c>
      <c r="I925" t="s">
        <v>6976</v>
      </c>
      <c r="J925" t="s">
        <v>6977</v>
      </c>
      <c r="K925" t="s">
        <v>6978</v>
      </c>
      <c r="L925" t="s">
        <v>8676</v>
      </c>
    </row>
    <row r="926" spans="1:12" x14ac:dyDescent="0.35">
      <c r="A926" t="str">
        <f t="shared" si="15"/>
        <v>Other Plan Assets (%)</v>
      </c>
      <c r="B926" t="s">
        <v>791</v>
      </c>
      <c r="C926" t="s">
        <v>6979</v>
      </c>
      <c r="D926" t="s">
        <v>6980</v>
      </c>
      <c r="E926" t="s">
        <v>6981</v>
      </c>
      <c r="F926" t="s">
        <v>6982</v>
      </c>
      <c r="G926" t="s">
        <v>6983</v>
      </c>
      <c r="H926" t="s">
        <v>6984</v>
      </c>
      <c r="I926" t="s">
        <v>6985</v>
      </c>
      <c r="J926" t="s">
        <v>6986</v>
      </c>
      <c r="K926" t="s">
        <v>6987</v>
      </c>
      <c r="L926" t="s">
        <v>8677</v>
      </c>
    </row>
    <row r="927" spans="1:12" x14ac:dyDescent="0.35">
      <c r="A927" t="str">
        <f t="shared" si="15"/>
        <v>Breakdown of Amounts recognized in Other Comprehensive Income in BS</v>
      </c>
      <c r="B927" t="s">
        <v>662</v>
      </c>
      <c r="C927" t="s">
        <v>6988</v>
      </c>
      <c r="D927" t="s">
        <v>6989</v>
      </c>
      <c r="E927" t="s">
        <v>6990</v>
      </c>
      <c r="F927" t="s">
        <v>6991</v>
      </c>
      <c r="G927" t="s">
        <v>6992</v>
      </c>
      <c r="H927" t="s">
        <v>6993</v>
      </c>
      <c r="I927" t="s">
        <v>6994</v>
      </c>
      <c r="J927" t="s">
        <v>6995</v>
      </c>
      <c r="K927" t="s">
        <v>6996</v>
      </c>
      <c r="L927" t="s">
        <v>8678</v>
      </c>
    </row>
    <row r="928" spans="1:12" x14ac:dyDescent="0.35">
      <c r="A928" t="str">
        <f t="shared" si="15"/>
        <v>Net Actuarial Loss/Gain – Compr. Inc.</v>
      </c>
      <c r="B928" t="s">
        <v>663</v>
      </c>
      <c r="C928" t="s">
        <v>6997</v>
      </c>
      <c r="D928" t="s">
        <v>6998</v>
      </c>
      <c r="E928" t="s">
        <v>6999</v>
      </c>
      <c r="F928" t="s">
        <v>7000</v>
      </c>
      <c r="G928" t="s">
        <v>7001</v>
      </c>
      <c r="H928" t="s">
        <v>7002</v>
      </c>
      <c r="I928" t="s">
        <v>7003</v>
      </c>
      <c r="J928" t="s">
        <v>7004</v>
      </c>
      <c r="K928" t="s">
        <v>7005</v>
      </c>
      <c r="L928" t="s">
        <v>8679</v>
      </c>
    </row>
    <row r="929" spans="1:12" x14ac:dyDescent="0.35">
      <c r="A929" t="str">
        <f t="shared" si="15"/>
        <v>Prior Service Cost/Benefit – Compr. Inc.</v>
      </c>
      <c r="B929" t="s">
        <v>664</v>
      </c>
      <c r="C929" t="s">
        <v>7006</v>
      </c>
      <c r="D929" t="s">
        <v>7007</v>
      </c>
      <c r="E929" t="s">
        <v>7008</v>
      </c>
      <c r="F929" t="s">
        <v>7009</v>
      </c>
      <c r="G929" t="s">
        <v>7010</v>
      </c>
      <c r="H929" t="s">
        <v>7011</v>
      </c>
      <c r="I929" t="s">
        <v>7012</v>
      </c>
      <c r="J929" t="s">
        <v>7013</v>
      </c>
      <c r="K929" t="s">
        <v>7014</v>
      </c>
      <c r="L929" t="s">
        <v>8680</v>
      </c>
    </row>
    <row r="930" spans="1:12" x14ac:dyDescent="0.35">
      <c r="A930" t="str">
        <f t="shared" si="15"/>
        <v>Transition Asset/Obligation – Compr. Inc.</v>
      </c>
      <c r="B930" t="s">
        <v>665</v>
      </c>
      <c r="C930" t="s">
        <v>7015</v>
      </c>
      <c r="D930" t="s">
        <v>7016</v>
      </c>
      <c r="E930" t="s">
        <v>7017</v>
      </c>
      <c r="F930" t="s">
        <v>7018</v>
      </c>
      <c r="G930" t="s">
        <v>7019</v>
      </c>
      <c r="H930" t="s">
        <v>7020</v>
      </c>
      <c r="I930" t="s">
        <v>7021</v>
      </c>
      <c r="J930" t="s">
        <v>7022</v>
      </c>
      <c r="K930" t="s">
        <v>7023</v>
      </c>
      <c r="L930" t="s">
        <v>8681</v>
      </c>
    </row>
    <row r="931" spans="1:12" x14ac:dyDescent="0.35">
      <c r="A931" t="str">
        <f t="shared" si="15"/>
        <v>Other Misc. Adj. – Compr. Inc.</v>
      </c>
      <c r="B931" t="s">
        <v>666</v>
      </c>
      <c r="C931" t="s">
        <v>7024</v>
      </c>
      <c r="D931" t="s">
        <v>7025</v>
      </c>
      <c r="E931" t="s">
        <v>7026</v>
      </c>
      <c r="F931" t="s">
        <v>7027</v>
      </c>
      <c r="G931" t="s">
        <v>7028</v>
      </c>
      <c r="H931" t="s">
        <v>7029</v>
      </c>
      <c r="I931" t="s">
        <v>7030</v>
      </c>
      <c r="J931" t="s">
        <v>7031</v>
      </c>
      <c r="K931" t="s">
        <v>7032</v>
      </c>
      <c r="L931" t="s">
        <v>8682</v>
      </c>
    </row>
    <row r="932" spans="1:12" x14ac:dyDescent="0.35">
      <c r="A932" t="str">
        <f t="shared" si="15"/>
        <v>Net Amount Recognized – Compr. Inc.</v>
      </c>
      <c r="B932" t="s">
        <v>667</v>
      </c>
      <c r="C932" t="s">
        <v>7033</v>
      </c>
      <c r="D932" t="s">
        <v>7034</v>
      </c>
      <c r="E932" t="s">
        <v>7035</v>
      </c>
      <c r="F932" t="s">
        <v>7036</v>
      </c>
      <c r="G932" t="s">
        <v>7037</v>
      </c>
      <c r="H932" t="s">
        <v>7038</v>
      </c>
      <c r="I932" t="s">
        <v>7039</v>
      </c>
      <c r="J932" t="s">
        <v>7040</v>
      </c>
      <c r="K932" t="s">
        <v>7041</v>
      </c>
      <c r="L932" t="s">
        <v>8683</v>
      </c>
    </row>
    <row r="933" spans="1:12" x14ac:dyDescent="0.35">
      <c r="A933" t="str">
        <f t="shared" si="15"/>
        <v>Expected to be recognized as components of net periodic benefit cost in the next year</v>
      </c>
      <c r="B933" t="s">
        <v>668</v>
      </c>
      <c r="C933" t="s">
        <v>7042</v>
      </c>
      <c r="D933" t="s">
        <v>7043</v>
      </c>
      <c r="E933" t="s">
        <v>7044</v>
      </c>
      <c r="F933" t="s">
        <v>7045</v>
      </c>
      <c r="G933" t="s">
        <v>7046</v>
      </c>
      <c r="H933" t="s">
        <v>7047</v>
      </c>
      <c r="I933" t="s">
        <v>7048</v>
      </c>
      <c r="J933" t="s">
        <v>7049</v>
      </c>
      <c r="K933" t="s">
        <v>7050</v>
      </c>
      <c r="L933" t="s">
        <v>8684</v>
      </c>
    </row>
    <row r="934" spans="1:12" x14ac:dyDescent="0.35">
      <c r="A934" t="str">
        <f t="shared" si="15"/>
        <v>Prior Service Cost/Benefit Recog. Next Period</v>
      </c>
      <c r="B934" t="s">
        <v>669</v>
      </c>
      <c r="C934" t="s">
        <v>7051</v>
      </c>
      <c r="D934" t="s">
        <v>7052</v>
      </c>
      <c r="E934" t="s">
        <v>7053</v>
      </c>
      <c r="F934" t="s">
        <v>7054</v>
      </c>
      <c r="G934" t="s">
        <v>7055</v>
      </c>
      <c r="H934" t="s">
        <v>7056</v>
      </c>
      <c r="I934" t="s">
        <v>7057</v>
      </c>
      <c r="J934" t="s">
        <v>7058</v>
      </c>
      <c r="K934" t="s">
        <v>7059</v>
      </c>
      <c r="L934" t="s">
        <v>8685</v>
      </c>
    </row>
    <row r="935" spans="1:12" x14ac:dyDescent="0.35">
      <c r="A935" t="str">
        <f t="shared" si="15"/>
        <v>Net Actuarial Loss/Gain Recog. Next Period</v>
      </c>
      <c r="B935" t="s">
        <v>670</v>
      </c>
      <c r="C935" t="s">
        <v>7060</v>
      </c>
      <c r="D935" t="s">
        <v>7061</v>
      </c>
      <c r="E935" t="s">
        <v>7062</v>
      </c>
      <c r="F935" t="s">
        <v>7063</v>
      </c>
      <c r="G935" t="s">
        <v>7064</v>
      </c>
      <c r="H935" t="s">
        <v>7065</v>
      </c>
      <c r="I935" t="s">
        <v>7066</v>
      </c>
      <c r="J935" t="s">
        <v>7067</v>
      </c>
      <c r="K935" t="s">
        <v>7068</v>
      </c>
      <c r="L935" t="s">
        <v>8686</v>
      </c>
    </row>
    <row r="936" spans="1:12" x14ac:dyDescent="0.35">
      <c r="A936" t="str">
        <f t="shared" si="15"/>
        <v>Transition Asset/Obligation Recog. Next Period</v>
      </c>
      <c r="B936" t="s">
        <v>671</v>
      </c>
      <c r="C936" t="s">
        <v>7069</v>
      </c>
      <c r="D936" t="s">
        <v>7070</v>
      </c>
      <c r="E936" t="s">
        <v>7071</v>
      </c>
      <c r="F936" t="s">
        <v>7072</v>
      </c>
      <c r="G936" t="s">
        <v>7073</v>
      </c>
      <c r="H936" t="s">
        <v>7074</v>
      </c>
      <c r="I936" t="s">
        <v>7075</v>
      </c>
      <c r="J936" t="s">
        <v>7076</v>
      </c>
      <c r="K936" t="s">
        <v>7077</v>
      </c>
      <c r="L936" t="s">
        <v>8687</v>
      </c>
    </row>
    <row r="937" spans="1:12" x14ac:dyDescent="0.35">
      <c r="A937" t="str">
        <f t="shared" si="15"/>
        <v>Total Amount to be Recognized Next Period</v>
      </c>
      <c r="B937" t="s">
        <v>672</v>
      </c>
      <c r="C937" t="s">
        <v>7078</v>
      </c>
      <c r="D937" t="s">
        <v>7079</v>
      </c>
      <c r="E937" t="s">
        <v>7080</v>
      </c>
      <c r="F937" t="s">
        <v>7081</v>
      </c>
      <c r="G937" t="s">
        <v>7082</v>
      </c>
      <c r="H937" t="s">
        <v>7083</v>
      </c>
      <c r="I937" t="s">
        <v>7084</v>
      </c>
      <c r="J937" t="s">
        <v>7085</v>
      </c>
      <c r="K937" t="s">
        <v>7086</v>
      </c>
      <c r="L937" t="s">
        <v>8688</v>
      </c>
    </row>
    <row r="938" spans="1:12" x14ac:dyDescent="0.35">
      <c r="A938" t="str">
        <f t="shared" si="15"/>
        <v>Weighted Avg. Assumptions on Def. Benefit Obligation</v>
      </c>
      <c r="B938" t="s">
        <v>796</v>
      </c>
      <c r="C938" t="s">
        <v>7087</v>
      </c>
      <c r="D938" t="s">
        <v>7088</v>
      </c>
      <c r="E938" t="s">
        <v>7089</v>
      </c>
      <c r="F938" t="s">
        <v>7090</v>
      </c>
      <c r="G938" t="s">
        <v>7091</v>
      </c>
      <c r="H938" t="s">
        <v>7092</v>
      </c>
      <c r="I938" t="s">
        <v>7093</v>
      </c>
      <c r="J938" t="s">
        <v>7094</v>
      </c>
      <c r="K938" t="s">
        <v>7095</v>
      </c>
      <c r="L938" t="s">
        <v>8689</v>
      </c>
    </row>
    <row r="939" spans="1:12" x14ac:dyDescent="0.35">
      <c r="A939" t="str">
        <f t="shared" si="15"/>
        <v>Estimated Future Benefits Paid</v>
      </c>
      <c r="B939" t="s">
        <v>801</v>
      </c>
      <c r="C939" t="s">
        <v>7096</v>
      </c>
      <c r="D939" t="s">
        <v>7097</v>
      </c>
      <c r="E939" t="s">
        <v>7098</v>
      </c>
      <c r="F939" t="s">
        <v>7099</v>
      </c>
      <c r="G939" t="s">
        <v>7100</v>
      </c>
      <c r="H939" t="s">
        <v>7101</v>
      </c>
      <c r="I939" t="s">
        <v>7102</v>
      </c>
      <c r="J939" t="s">
        <v>7103</v>
      </c>
      <c r="K939" t="s">
        <v>7104</v>
      </c>
      <c r="L939" t="s">
        <v>8690</v>
      </c>
    </row>
    <row r="940" spans="1:12" x14ac:dyDescent="0.35">
      <c r="A940" t="str">
        <f t="shared" si="15"/>
        <v>Balance Sheet Reconciliation Items</v>
      </c>
      <c r="B940" t="s">
        <v>808</v>
      </c>
      <c r="C940" t="s">
        <v>7105</v>
      </c>
      <c r="D940" t="s">
        <v>7106</v>
      </c>
      <c r="E940" t="s">
        <v>7107</v>
      </c>
      <c r="F940" t="s">
        <v>7108</v>
      </c>
      <c r="G940" t="s">
        <v>7109</v>
      </c>
      <c r="H940" t="s">
        <v>7110</v>
      </c>
      <c r="I940" t="s">
        <v>7111</v>
      </c>
      <c r="J940" t="s">
        <v>7112</v>
      </c>
      <c r="K940" t="s">
        <v>7113</v>
      </c>
      <c r="L940" t="s">
        <v>8691</v>
      </c>
    </row>
    <row r="941" spans="1:12" x14ac:dyDescent="0.35">
      <c r="A941" t="str">
        <f t="shared" si="15"/>
        <v>Long Term Assets</v>
      </c>
      <c r="B941" t="s">
        <v>673</v>
      </c>
      <c r="C941" t="s">
        <v>7114</v>
      </c>
      <c r="D941" t="s">
        <v>7115</v>
      </c>
      <c r="E941" t="s">
        <v>7116</v>
      </c>
      <c r="F941" t="s">
        <v>7117</v>
      </c>
      <c r="G941" t="s">
        <v>7118</v>
      </c>
      <c r="H941" t="s">
        <v>7119</v>
      </c>
      <c r="I941" t="s">
        <v>7120</v>
      </c>
      <c r="J941" t="s">
        <v>7121</v>
      </c>
      <c r="K941" t="s">
        <v>7122</v>
      </c>
      <c r="L941" t="s">
        <v>8692</v>
      </c>
    </row>
    <row r="942" spans="1:12" x14ac:dyDescent="0.35">
      <c r="A942" t="str">
        <f t="shared" si="15"/>
        <v>Current Liabilities</v>
      </c>
      <c r="B942" t="s">
        <v>674</v>
      </c>
      <c r="C942" t="s">
        <v>7123</v>
      </c>
      <c r="D942" t="s">
        <v>7124</v>
      </c>
      <c r="E942" t="s">
        <v>7125</v>
      </c>
      <c r="F942" t="s">
        <v>7126</v>
      </c>
      <c r="G942" t="s">
        <v>7127</v>
      </c>
      <c r="H942" t="s">
        <v>7124</v>
      </c>
      <c r="I942" t="s">
        <v>7128</v>
      </c>
      <c r="J942" t="s">
        <v>7129</v>
      </c>
      <c r="K942" t="s">
        <v>7130</v>
      </c>
      <c r="L942" t="s">
        <v>8693</v>
      </c>
    </row>
    <row r="943" spans="1:12" x14ac:dyDescent="0.35">
      <c r="A943" t="str">
        <f t="shared" si="15"/>
        <v>Long Term Liabilities</v>
      </c>
      <c r="B943" t="s">
        <v>675</v>
      </c>
      <c r="C943" t="s">
        <v>7131</v>
      </c>
      <c r="D943" t="s">
        <v>7132</v>
      </c>
      <c r="E943" t="s">
        <v>7133</v>
      </c>
      <c r="F943" t="s">
        <v>7134</v>
      </c>
      <c r="G943" t="s">
        <v>7135</v>
      </c>
      <c r="H943" t="s">
        <v>7136</v>
      </c>
      <c r="I943" t="s">
        <v>7137</v>
      </c>
      <c r="J943" t="s">
        <v>7138</v>
      </c>
      <c r="K943" t="s">
        <v>2979</v>
      </c>
      <c r="L943" t="s">
        <v>8694</v>
      </c>
    </row>
    <row r="944" spans="1:12" x14ac:dyDescent="0.35">
      <c r="A944" t="str">
        <f t="shared" si="15"/>
        <v>Adj. for Liability Recognized on Balance Sheet</v>
      </c>
      <c r="B944" t="s">
        <v>814</v>
      </c>
      <c r="C944" t="s">
        <v>7139</v>
      </c>
      <c r="D944" t="s">
        <v>7140</v>
      </c>
      <c r="E944" t="s">
        <v>7141</v>
      </c>
      <c r="F944" t="s">
        <v>7142</v>
      </c>
      <c r="G944" t="s">
        <v>7143</v>
      </c>
      <c r="H944" t="s">
        <v>7144</v>
      </c>
      <c r="I944" t="s">
        <v>7145</v>
      </c>
      <c r="J944" t="s">
        <v>7146</v>
      </c>
      <c r="K944" t="s">
        <v>7147</v>
      </c>
      <c r="L944" t="s">
        <v>8695</v>
      </c>
    </row>
    <row r="945" spans="1:12" x14ac:dyDescent="0.35">
      <c r="A945" t="str">
        <f t="shared" si="15"/>
        <v>Other Pension Related Items</v>
      </c>
      <c r="B945" t="s">
        <v>818</v>
      </c>
      <c r="C945" t="s">
        <v>7148</v>
      </c>
      <c r="D945" t="s">
        <v>7149</v>
      </c>
      <c r="E945" t="s">
        <v>7150</v>
      </c>
      <c r="F945" t="s">
        <v>7151</v>
      </c>
      <c r="G945" t="s">
        <v>7152</v>
      </c>
      <c r="H945" t="s">
        <v>7153</v>
      </c>
      <c r="I945" t="s">
        <v>7154</v>
      </c>
      <c r="J945" t="s">
        <v>7155</v>
      </c>
      <c r="K945" t="s">
        <v>7156</v>
      </c>
      <c r="L945" t="s">
        <v>8696</v>
      </c>
    </row>
    <row r="946" spans="1:12" x14ac:dyDescent="0.35">
      <c r="A946" t="str">
        <f t="shared" si="15"/>
        <v>Unfunded &amp; Vested Pension Liab.</v>
      </c>
      <c r="B946" t="s">
        <v>819</v>
      </c>
      <c r="C946" t="s">
        <v>7157</v>
      </c>
      <c r="D946" t="s">
        <v>7158</v>
      </c>
      <c r="E946" t="s">
        <v>7159</v>
      </c>
      <c r="F946" t="s">
        <v>7160</v>
      </c>
      <c r="G946" t="s">
        <v>7161</v>
      </c>
      <c r="H946" t="s">
        <v>7162</v>
      </c>
      <c r="I946" t="s">
        <v>7163</v>
      </c>
      <c r="J946" t="s">
        <v>7164</v>
      </c>
      <c r="K946" t="s">
        <v>7165</v>
      </c>
      <c r="L946" t="s">
        <v>8697</v>
      </c>
    </row>
    <row r="947" spans="1:12" x14ac:dyDescent="0.35">
      <c r="A947" t="str">
        <f t="shared" si="15"/>
        <v>Benefit Info Date</v>
      </c>
      <c r="B947" t="s">
        <v>824</v>
      </c>
      <c r="C947" t="s">
        <v>7166</v>
      </c>
      <c r="D947" t="s">
        <v>7166</v>
      </c>
      <c r="E947" t="s">
        <v>7167</v>
      </c>
      <c r="F947" t="s">
        <v>7168</v>
      </c>
      <c r="G947" t="s">
        <v>7169</v>
      </c>
      <c r="H947" t="s">
        <v>7170</v>
      </c>
      <c r="I947" t="s">
        <v>7171</v>
      </c>
      <c r="J947" t="s">
        <v>7172</v>
      </c>
      <c r="K947" t="s">
        <v>7173</v>
      </c>
      <c r="L947" t="s">
        <v>8698</v>
      </c>
    </row>
    <row r="948" spans="1:12" x14ac:dyDescent="0.35">
      <c r="A948" t="str">
        <f t="shared" ref="A948:A1004" si="16">INDEX($B948:$CW948,,$A$5)</f>
        <v>OPEB</v>
      </c>
      <c r="B948" t="s">
        <v>648</v>
      </c>
      <c r="C948" t="s">
        <v>7174</v>
      </c>
      <c r="D948" t="s">
        <v>7175</v>
      </c>
      <c r="E948" t="s">
        <v>7176</v>
      </c>
      <c r="F948" t="s">
        <v>648</v>
      </c>
      <c r="G948" t="s">
        <v>7177</v>
      </c>
      <c r="H948" t="s">
        <v>7178</v>
      </c>
      <c r="I948" t="s">
        <v>7179</v>
      </c>
      <c r="J948" t="s">
        <v>7180</v>
      </c>
      <c r="K948" t="s">
        <v>648</v>
      </c>
      <c r="L948" t="s">
        <v>8699</v>
      </c>
    </row>
    <row r="949" spans="1:12" x14ac:dyDescent="0.35">
      <c r="A949" t="str">
        <f t="shared" si="16"/>
        <v>Def. Benefit Benefit Total Cost</v>
      </c>
      <c r="B949" t="s">
        <v>827</v>
      </c>
      <c r="C949" t="s">
        <v>7181</v>
      </c>
      <c r="D949" t="s">
        <v>7182</v>
      </c>
      <c r="E949" t="s">
        <v>7183</v>
      </c>
      <c r="F949" t="s">
        <v>7184</v>
      </c>
      <c r="G949" t="s">
        <v>7185</v>
      </c>
      <c r="H949" t="s">
        <v>7186</v>
      </c>
      <c r="I949" t="s">
        <v>7187</v>
      </c>
      <c r="J949" t="s">
        <v>7188</v>
      </c>
      <c r="K949" t="s">
        <v>7189</v>
      </c>
      <c r="L949" t="s">
        <v>8700</v>
      </c>
    </row>
    <row r="950" spans="1:12" x14ac:dyDescent="0.35">
      <c r="A950" t="str">
        <f t="shared" si="16"/>
        <v>Total OPEB Expense</v>
      </c>
      <c r="B950" t="s">
        <v>828</v>
      </c>
      <c r="C950" t="s">
        <v>7190</v>
      </c>
      <c r="D950" t="s">
        <v>7191</v>
      </c>
      <c r="E950" t="s">
        <v>7192</v>
      </c>
      <c r="F950" t="s">
        <v>7193</v>
      </c>
      <c r="G950" t="s">
        <v>7194</v>
      </c>
      <c r="H950" t="s">
        <v>7195</v>
      </c>
      <c r="I950" t="s">
        <v>7196</v>
      </c>
      <c r="J950" t="s">
        <v>7197</v>
      </c>
      <c r="K950" t="s">
        <v>7198</v>
      </c>
      <c r="L950" t="s">
        <v>8701</v>
      </c>
    </row>
    <row r="951" spans="1:12" x14ac:dyDescent="0.35">
      <c r="A951" t="str">
        <f t="shared" si="16"/>
        <v>Projected Benefit Obligation</v>
      </c>
      <c r="B951" t="s">
        <v>829</v>
      </c>
      <c r="C951" t="s">
        <v>7199</v>
      </c>
      <c r="D951" t="s">
        <v>7200</v>
      </c>
      <c r="E951" t="s">
        <v>7201</v>
      </c>
      <c r="F951" t="s">
        <v>7202</v>
      </c>
      <c r="G951" t="s">
        <v>7203</v>
      </c>
      <c r="H951" t="s">
        <v>7204</v>
      </c>
      <c r="I951" t="s">
        <v>7205</v>
      </c>
      <c r="J951" t="s">
        <v>7206</v>
      </c>
      <c r="K951" t="s">
        <v>7207</v>
      </c>
      <c r="L951" t="s">
        <v>8702</v>
      </c>
    </row>
    <row r="952" spans="1:12" x14ac:dyDescent="0.35">
      <c r="A952" t="str">
        <f t="shared" si="16"/>
        <v>Benefits Sensitivity Analysis</v>
      </c>
      <c r="B952" t="s">
        <v>831</v>
      </c>
      <c r="C952" t="s">
        <v>7208</v>
      </c>
      <c r="D952" t="s">
        <v>7208</v>
      </c>
      <c r="E952" t="s">
        <v>7209</v>
      </c>
      <c r="F952" t="s">
        <v>7210</v>
      </c>
      <c r="G952" t="s">
        <v>7211</v>
      </c>
      <c r="H952" t="s">
        <v>7212</v>
      </c>
      <c r="I952" t="s">
        <v>7213</v>
      </c>
      <c r="J952" t="s">
        <v>7214</v>
      </c>
      <c r="K952" t="s">
        <v>7215</v>
      </c>
      <c r="L952" t="s">
        <v>8703</v>
      </c>
    </row>
    <row r="953" spans="1:12" x14ac:dyDescent="0.35">
      <c r="A953" t="str">
        <f t="shared" si="16"/>
        <v>Other Post-Retirement Benefit Related Items</v>
      </c>
      <c r="B953" t="s">
        <v>836</v>
      </c>
      <c r="C953" t="s">
        <v>7216</v>
      </c>
      <c r="D953" t="s">
        <v>7217</v>
      </c>
      <c r="E953" t="s">
        <v>7218</v>
      </c>
      <c r="F953" t="s">
        <v>7219</v>
      </c>
      <c r="G953" t="s">
        <v>7220</v>
      </c>
      <c r="H953" t="s">
        <v>7221</v>
      </c>
      <c r="I953" t="s">
        <v>7222</v>
      </c>
      <c r="J953" t="s">
        <v>7223</v>
      </c>
      <c r="K953" t="s">
        <v>7224</v>
      </c>
      <c r="L953" t="s">
        <v>8704</v>
      </c>
    </row>
    <row r="954" spans="1:12" x14ac:dyDescent="0.35">
      <c r="A954" t="str">
        <f t="shared" si="16"/>
        <v>Health Care Cost Trend Rate, Initial</v>
      </c>
      <c r="B954" t="s">
        <v>837</v>
      </c>
      <c r="C954" t="s">
        <v>7225</v>
      </c>
      <c r="D954" t="s">
        <v>7226</v>
      </c>
      <c r="E954" t="s">
        <v>7227</v>
      </c>
      <c r="F954" t="s">
        <v>7228</v>
      </c>
      <c r="G954" t="s">
        <v>7229</v>
      </c>
      <c r="H954" t="s">
        <v>7230</v>
      </c>
      <c r="I954" t="s">
        <v>7231</v>
      </c>
      <c r="J954" t="s">
        <v>7232</v>
      </c>
      <c r="K954" t="s">
        <v>7233</v>
      </c>
      <c r="L954" t="s">
        <v>8705</v>
      </c>
    </row>
    <row r="955" spans="1:12" x14ac:dyDescent="0.35">
      <c r="A955" t="str">
        <f t="shared" si="16"/>
        <v>Health Care Cost Trend Rate, Ultimate</v>
      </c>
      <c r="B955" t="s">
        <v>838</v>
      </c>
      <c r="C955" t="s">
        <v>7234</v>
      </c>
      <c r="D955" t="s">
        <v>7235</v>
      </c>
      <c r="E955" t="s">
        <v>7236</v>
      </c>
      <c r="F955" t="s">
        <v>7237</v>
      </c>
      <c r="G955" t="s">
        <v>7238</v>
      </c>
      <c r="H955" t="s">
        <v>7239</v>
      </c>
      <c r="I955" t="s">
        <v>7240</v>
      </c>
      <c r="J955" t="s">
        <v>7241</v>
      </c>
      <c r="K955" t="s">
        <v>7242</v>
      </c>
      <c r="L955" t="s">
        <v>8706</v>
      </c>
    </row>
    <row r="956" spans="1:12" x14ac:dyDescent="0.35">
      <c r="A956" t="str">
        <f t="shared" si="16"/>
        <v>Pension - Domestic</v>
      </c>
      <c r="B956" t="s">
        <v>649</v>
      </c>
      <c r="C956" t="s">
        <v>7243</v>
      </c>
      <c r="D956" t="s">
        <v>7244</v>
      </c>
      <c r="E956" t="s">
        <v>7245</v>
      </c>
      <c r="F956" t="s">
        <v>7246</v>
      </c>
      <c r="G956" t="s">
        <v>7247</v>
      </c>
      <c r="H956" t="s">
        <v>7248</v>
      </c>
      <c r="I956" t="s">
        <v>7249</v>
      </c>
      <c r="J956" t="s">
        <v>7250</v>
      </c>
      <c r="K956" t="s">
        <v>7251</v>
      </c>
      <c r="L956" t="s">
        <v>8707</v>
      </c>
    </row>
    <row r="957" spans="1:12" x14ac:dyDescent="0.35">
      <c r="A957" t="str">
        <f t="shared" si="16"/>
        <v>Def. Benefit Interest Cost</v>
      </c>
      <c r="B957" t="s">
        <v>763</v>
      </c>
      <c r="C957" t="s">
        <v>7252</v>
      </c>
      <c r="D957" t="s">
        <v>7253</v>
      </c>
      <c r="E957" t="s">
        <v>7254</v>
      </c>
      <c r="F957" t="s">
        <v>7255</v>
      </c>
      <c r="G957" t="s">
        <v>7256</v>
      </c>
      <c r="H957" t="s">
        <v>7257</v>
      </c>
      <c r="I957" t="s">
        <v>7258</v>
      </c>
      <c r="J957" t="s">
        <v>7259</v>
      </c>
      <c r="K957" t="s">
        <v>7260</v>
      </c>
      <c r="L957" t="s">
        <v>8708</v>
      </c>
    </row>
    <row r="958" spans="1:12" x14ac:dyDescent="0.35">
      <c r="A958" t="str">
        <f t="shared" si="16"/>
        <v>Def. Benefit Return On Assets</v>
      </c>
      <c r="B958" t="s">
        <v>1021</v>
      </c>
      <c r="C958" t="s">
        <v>7261</v>
      </c>
      <c r="D958" t="s">
        <v>7262</v>
      </c>
      <c r="E958" t="s">
        <v>7263</v>
      </c>
      <c r="F958" t="s">
        <v>7264</v>
      </c>
      <c r="G958" t="s">
        <v>7265</v>
      </c>
      <c r="H958" t="s">
        <v>7266</v>
      </c>
      <c r="I958" t="s">
        <v>7267</v>
      </c>
      <c r="J958" t="s">
        <v>7268</v>
      </c>
      <c r="K958" t="s">
        <v>7269</v>
      </c>
      <c r="L958" t="s">
        <v>8709</v>
      </c>
    </row>
    <row r="959" spans="1:12" x14ac:dyDescent="0.35">
      <c r="A959" t="str">
        <f t="shared" si="16"/>
        <v>Def. Benefit Other Cost</v>
      </c>
      <c r="B959" t="s">
        <v>826</v>
      </c>
      <c r="C959" t="s">
        <v>7270</v>
      </c>
      <c r="D959" t="s">
        <v>7271</v>
      </c>
      <c r="E959" t="s">
        <v>7272</v>
      </c>
      <c r="F959" t="s">
        <v>7273</v>
      </c>
      <c r="G959" t="s">
        <v>7274</v>
      </c>
      <c r="H959" t="s">
        <v>7275</v>
      </c>
      <c r="I959" t="s">
        <v>7276</v>
      </c>
      <c r="J959" t="s">
        <v>7277</v>
      </c>
      <c r="K959" t="s">
        <v>7278</v>
      </c>
      <c r="L959" t="s">
        <v>8710</v>
      </c>
    </row>
    <row r="960" spans="1:12" x14ac:dyDescent="0.35">
      <c r="A960" t="str">
        <f t="shared" si="16"/>
        <v>Def. Benefit Total Cost</v>
      </c>
      <c r="B960" t="s">
        <v>641</v>
      </c>
      <c r="C960" t="s">
        <v>7181</v>
      </c>
      <c r="D960" t="s">
        <v>7182</v>
      </c>
      <c r="E960" t="s">
        <v>7279</v>
      </c>
      <c r="F960" t="s">
        <v>7184</v>
      </c>
      <c r="G960" t="s">
        <v>7185</v>
      </c>
      <c r="H960" t="s">
        <v>7280</v>
      </c>
      <c r="I960" t="s">
        <v>7281</v>
      </c>
      <c r="J960" t="s">
        <v>7282</v>
      </c>
      <c r="K960" t="s">
        <v>7283</v>
      </c>
      <c r="L960" t="s">
        <v>8711</v>
      </c>
    </row>
    <row r="961" spans="1:12" x14ac:dyDescent="0.35">
      <c r="A961" t="str">
        <f t="shared" si="16"/>
        <v>Def. Benefit Total Cost Incl. Supple Plans</v>
      </c>
      <c r="B961" t="s">
        <v>69</v>
      </c>
      <c r="C961" t="s">
        <v>7284</v>
      </c>
      <c r="D961" t="s">
        <v>7285</v>
      </c>
      <c r="E961" t="s">
        <v>7286</v>
      </c>
      <c r="F961" t="s">
        <v>7287</v>
      </c>
      <c r="G961" t="s">
        <v>7288</v>
      </c>
      <c r="H961" t="s">
        <v>7289</v>
      </c>
      <c r="I961" t="s">
        <v>7290</v>
      </c>
      <c r="J961" t="s">
        <v>7291</v>
      </c>
      <c r="K961" t="s">
        <v>7292</v>
      </c>
      <c r="L961" t="s">
        <v>8712</v>
      </c>
    </row>
    <row r="962" spans="1:12" x14ac:dyDescent="0.35">
      <c r="A962" t="str">
        <f t="shared" si="16"/>
        <v>Beg. Def. Benefit Obligation</v>
      </c>
      <c r="B962" t="s">
        <v>762</v>
      </c>
      <c r="C962" t="s">
        <v>7293</v>
      </c>
      <c r="D962" t="s">
        <v>7294</v>
      </c>
      <c r="E962" t="s">
        <v>7295</v>
      </c>
      <c r="F962" t="s">
        <v>7296</v>
      </c>
      <c r="G962" t="s">
        <v>7297</v>
      </c>
      <c r="H962" t="s">
        <v>7298</v>
      </c>
      <c r="I962" t="s">
        <v>7299</v>
      </c>
      <c r="J962" t="s">
        <v>7300</v>
      </c>
      <c r="K962" t="s">
        <v>7301</v>
      </c>
      <c r="L962" t="s">
        <v>8713</v>
      </c>
    </row>
    <row r="963" spans="1:12" x14ac:dyDescent="0.35">
      <c r="A963" t="str">
        <f t="shared" si="16"/>
        <v>Def. Benefit Employee Contributions</v>
      </c>
      <c r="B963" t="s">
        <v>764</v>
      </c>
      <c r="C963" t="s">
        <v>7302</v>
      </c>
      <c r="D963" t="s">
        <v>7303</v>
      </c>
      <c r="E963" t="s">
        <v>7304</v>
      </c>
      <c r="F963" t="s">
        <v>7305</v>
      </c>
      <c r="G963" t="s">
        <v>7306</v>
      </c>
      <c r="H963" t="s">
        <v>7307</v>
      </c>
      <c r="I963" t="s">
        <v>7308</v>
      </c>
      <c r="J963" t="s">
        <v>7309</v>
      </c>
      <c r="K963" t="s">
        <v>7310</v>
      </c>
      <c r="L963" t="s">
        <v>8714</v>
      </c>
    </row>
    <row r="964" spans="1:12" x14ac:dyDescent="0.35">
      <c r="A964" t="str">
        <f t="shared" si="16"/>
        <v>Def. Benefit Actuarial Gain/Losses</v>
      </c>
      <c r="B964" t="s">
        <v>765</v>
      </c>
      <c r="C964" t="s">
        <v>7311</v>
      </c>
      <c r="D964" t="s">
        <v>7312</v>
      </c>
      <c r="E964" t="s">
        <v>7313</v>
      </c>
      <c r="F964" t="s">
        <v>7314</v>
      </c>
      <c r="G964" t="s">
        <v>7315</v>
      </c>
      <c r="H964" t="s">
        <v>7316</v>
      </c>
      <c r="I964" t="s">
        <v>7317</v>
      </c>
      <c r="J964" t="s">
        <v>7318</v>
      </c>
      <c r="K964" t="s">
        <v>7319</v>
      </c>
      <c r="L964" t="s">
        <v>8715</v>
      </c>
    </row>
    <row r="965" spans="1:12" x14ac:dyDescent="0.35">
      <c r="A965" t="str">
        <f t="shared" si="16"/>
        <v>Foreign Exchange Adj.</v>
      </c>
      <c r="B965" t="s">
        <v>766</v>
      </c>
      <c r="C965" t="s">
        <v>4626</v>
      </c>
      <c r="D965" t="s">
        <v>4627</v>
      </c>
      <c r="E965" t="s">
        <v>7320</v>
      </c>
      <c r="F965" t="s">
        <v>7321</v>
      </c>
      <c r="G965" t="s">
        <v>7322</v>
      </c>
      <c r="H965" t="s">
        <v>7323</v>
      </c>
      <c r="I965" t="s">
        <v>7324</v>
      </c>
      <c r="J965" t="s">
        <v>7325</v>
      </c>
      <c r="K965" t="s">
        <v>4634</v>
      </c>
      <c r="L965" t="s">
        <v>8716</v>
      </c>
    </row>
    <row r="966" spans="1:12" x14ac:dyDescent="0.35">
      <c r="A966" t="str">
        <f t="shared" si="16"/>
        <v>Acq. Benefit Obligation</v>
      </c>
      <c r="B966" t="s">
        <v>767</v>
      </c>
      <c r="C966" t="s">
        <v>7326</v>
      </c>
      <c r="D966" t="s">
        <v>7327</v>
      </c>
      <c r="E966" t="s">
        <v>7328</v>
      </c>
      <c r="F966" t="s">
        <v>7329</v>
      </c>
      <c r="G966" t="s">
        <v>7330</v>
      </c>
      <c r="H966" t="s">
        <v>7331</v>
      </c>
      <c r="I966" t="s">
        <v>7332</v>
      </c>
      <c r="J966" t="s">
        <v>7333</v>
      </c>
      <c r="K966" t="s">
        <v>7334</v>
      </c>
      <c r="L966" t="s">
        <v>8717</v>
      </c>
    </row>
    <row r="967" spans="1:12" x14ac:dyDescent="0.35">
      <c r="A967" t="str">
        <f t="shared" si="16"/>
        <v>Def. Benefit Settlement/Curtailment</v>
      </c>
      <c r="B967" t="s">
        <v>768</v>
      </c>
      <c r="C967" t="s">
        <v>7335</v>
      </c>
      <c r="D967" t="s">
        <v>7336</v>
      </c>
      <c r="E967" t="s">
        <v>7337</v>
      </c>
      <c r="F967" t="s">
        <v>7338</v>
      </c>
      <c r="G967" t="s">
        <v>7339</v>
      </c>
      <c r="H967" t="s">
        <v>7340</v>
      </c>
      <c r="I967" t="s">
        <v>7341</v>
      </c>
      <c r="J967" t="s">
        <v>7342</v>
      </c>
      <c r="K967" t="s">
        <v>7343</v>
      </c>
      <c r="L967" t="s">
        <v>8718</v>
      </c>
    </row>
    <row r="968" spans="1:12" x14ac:dyDescent="0.35">
      <c r="A968" t="str">
        <f t="shared" si="16"/>
        <v>Other Adj. To Def. Benefit Obligation</v>
      </c>
      <c r="B968" t="s">
        <v>769</v>
      </c>
      <c r="C968" t="s">
        <v>7344</v>
      </c>
      <c r="D968" t="s">
        <v>7345</v>
      </c>
      <c r="E968" t="s">
        <v>7346</v>
      </c>
      <c r="F968" t="s">
        <v>7347</v>
      </c>
      <c r="G968" t="s">
        <v>7348</v>
      </c>
      <c r="H968" t="s">
        <v>7349</v>
      </c>
      <c r="I968" t="s">
        <v>7350</v>
      </c>
      <c r="J968" t="s">
        <v>7351</v>
      </c>
      <c r="K968" t="s">
        <v>7352</v>
      </c>
      <c r="L968" t="s">
        <v>8719</v>
      </c>
    </row>
    <row r="969" spans="1:12" x14ac:dyDescent="0.35">
      <c r="A969" t="str">
        <f t="shared" si="16"/>
        <v>Proj. Benefit Obligation</v>
      </c>
      <c r="B969" t="s">
        <v>643</v>
      </c>
      <c r="C969" t="s">
        <v>7353</v>
      </c>
      <c r="D969" t="s">
        <v>7354</v>
      </c>
      <c r="E969" t="s">
        <v>7201</v>
      </c>
      <c r="F969" t="s">
        <v>7355</v>
      </c>
      <c r="G969" t="s">
        <v>7356</v>
      </c>
      <c r="H969" t="s">
        <v>7204</v>
      </c>
      <c r="I969" t="s">
        <v>7357</v>
      </c>
      <c r="J969" t="s">
        <v>7358</v>
      </c>
      <c r="K969" t="s">
        <v>7207</v>
      </c>
      <c r="L969" t="s">
        <v>8720</v>
      </c>
    </row>
    <row r="970" spans="1:12" x14ac:dyDescent="0.35">
      <c r="A970" t="str">
        <f t="shared" si="16"/>
        <v>Beg. Plan Assets</v>
      </c>
      <c r="B970" t="s">
        <v>771</v>
      </c>
      <c r="C970" t="s">
        <v>7359</v>
      </c>
      <c r="D970" t="s">
        <v>7360</v>
      </c>
      <c r="E970" t="s">
        <v>7361</v>
      </c>
      <c r="F970" t="s">
        <v>7362</v>
      </c>
      <c r="G970" t="s">
        <v>7363</v>
      </c>
      <c r="H970" t="s">
        <v>7364</v>
      </c>
      <c r="I970" t="s">
        <v>7365</v>
      </c>
      <c r="J970" t="s">
        <v>7366</v>
      </c>
      <c r="K970" t="s">
        <v>7367</v>
      </c>
      <c r="L970" t="s">
        <v>8721</v>
      </c>
    </row>
    <row r="971" spans="1:12" x14ac:dyDescent="0.35">
      <c r="A971" t="str">
        <f t="shared" si="16"/>
        <v>Actual Return on Plan Assets</v>
      </c>
      <c r="B971" t="s">
        <v>772</v>
      </c>
      <c r="C971" t="s">
        <v>7368</v>
      </c>
      <c r="D971" t="s">
        <v>7369</v>
      </c>
      <c r="E971" t="s">
        <v>7370</v>
      </c>
      <c r="F971" t="s">
        <v>7371</v>
      </c>
      <c r="G971" t="s">
        <v>7372</v>
      </c>
      <c r="H971" t="s">
        <v>7373</v>
      </c>
      <c r="I971" t="s">
        <v>7374</v>
      </c>
      <c r="J971" t="s">
        <v>7375</v>
      </c>
      <c r="K971" t="s">
        <v>7376</v>
      </c>
      <c r="L971" t="s">
        <v>8722</v>
      </c>
    </row>
    <row r="972" spans="1:12" x14ac:dyDescent="0.35">
      <c r="A972" t="str">
        <f t="shared" si="16"/>
        <v>Employer Contributions</v>
      </c>
      <c r="B972" t="s">
        <v>773</v>
      </c>
      <c r="C972" t="s">
        <v>7377</v>
      </c>
      <c r="D972" t="s">
        <v>7377</v>
      </c>
      <c r="E972" t="s">
        <v>7378</v>
      </c>
      <c r="F972" t="s">
        <v>7379</v>
      </c>
      <c r="G972" t="s">
        <v>7380</v>
      </c>
      <c r="H972" t="s">
        <v>7381</v>
      </c>
      <c r="I972" t="s">
        <v>7382</v>
      </c>
      <c r="J972" t="s">
        <v>7383</v>
      </c>
      <c r="K972" t="s">
        <v>7384</v>
      </c>
      <c r="L972" t="s">
        <v>8723</v>
      </c>
    </row>
    <row r="973" spans="1:12" x14ac:dyDescent="0.35">
      <c r="A973" t="str">
        <f t="shared" si="16"/>
        <v>Participant Contributions</v>
      </c>
      <c r="B973" t="s">
        <v>774</v>
      </c>
      <c r="C973" t="s">
        <v>7385</v>
      </c>
      <c r="D973" t="s">
        <v>7386</v>
      </c>
      <c r="E973" t="s">
        <v>7387</v>
      </c>
      <c r="F973" t="s">
        <v>7388</v>
      </c>
      <c r="G973" t="s">
        <v>7389</v>
      </c>
      <c r="H973" t="s">
        <v>7390</v>
      </c>
      <c r="I973" t="s">
        <v>7391</v>
      </c>
      <c r="J973" t="s">
        <v>7392</v>
      </c>
      <c r="K973" t="s">
        <v>7393</v>
      </c>
      <c r="L973" t="s">
        <v>8724</v>
      </c>
    </row>
    <row r="974" spans="1:12" x14ac:dyDescent="0.35">
      <c r="A974" t="str">
        <f t="shared" si="16"/>
        <v>Benefits Paid</v>
      </c>
      <c r="B974" t="s">
        <v>775</v>
      </c>
      <c r="C974" t="s">
        <v>7394</v>
      </c>
      <c r="D974" t="s">
        <v>7394</v>
      </c>
      <c r="E974" t="s">
        <v>7395</v>
      </c>
      <c r="F974" t="s">
        <v>7396</v>
      </c>
      <c r="G974" t="s">
        <v>7397</v>
      </c>
      <c r="H974" t="s">
        <v>7398</v>
      </c>
      <c r="I974" t="s">
        <v>7399</v>
      </c>
      <c r="J974" t="s">
        <v>7400</v>
      </c>
      <c r="K974" t="s">
        <v>7401</v>
      </c>
      <c r="L974" t="s">
        <v>8725</v>
      </c>
    </row>
    <row r="975" spans="1:12" x14ac:dyDescent="0.35">
      <c r="A975" t="str">
        <f t="shared" si="16"/>
        <v>Foreign Exchange Adjustments</v>
      </c>
      <c r="B975" t="s">
        <v>776</v>
      </c>
      <c r="C975" t="s">
        <v>4626</v>
      </c>
      <c r="D975" t="s">
        <v>4627</v>
      </c>
      <c r="E975" t="s">
        <v>4628</v>
      </c>
      <c r="F975" t="s">
        <v>4629</v>
      </c>
      <c r="G975" t="s">
        <v>4630</v>
      </c>
      <c r="H975" t="s">
        <v>7402</v>
      </c>
      <c r="I975" t="s">
        <v>7403</v>
      </c>
      <c r="J975" t="s">
        <v>7404</v>
      </c>
      <c r="K975" t="s">
        <v>4634</v>
      </c>
      <c r="L975" t="s">
        <v>8726</v>
      </c>
    </row>
    <row r="976" spans="1:12" x14ac:dyDescent="0.35">
      <c r="A976" t="str">
        <f t="shared" si="16"/>
        <v>Acquired Plan Assets</v>
      </c>
      <c r="B976" t="s">
        <v>777</v>
      </c>
      <c r="C976" t="s">
        <v>7405</v>
      </c>
      <c r="D976" t="s">
        <v>7406</v>
      </c>
      <c r="E976" t="s">
        <v>7407</v>
      </c>
      <c r="F976" t="s">
        <v>7408</v>
      </c>
      <c r="G976" t="s">
        <v>7409</v>
      </c>
      <c r="H976" t="s">
        <v>7410</v>
      </c>
      <c r="I976" t="s">
        <v>7411</v>
      </c>
      <c r="J976" t="s">
        <v>7412</v>
      </c>
      <c r="K976" t="s">
        <v>7413</v>
      </c>
      <c r="L976" t="s">
        <v>8727</v>
      </c>
    </row>
    <row r="977" spans="1:12" x14ac:dyDescent="0.35">
      <c r="A977" t="str">
        <f t="shared" si="16"/>
        <v>Plan Settlement/Curtailment</v>
      </c>
      <c r="B977" t="s">
        <v>778</v>
      </c>
      <c r="C977" t="s">
        <v>7414</v>
      </c>
      <c r="D977" t="s">
        <v>7415</v>
      </c>
      <c r="E977" t="s">
        <v>7416</v>
      </c>
      <c r="F977" t="s">
        <v>7417</v>
      </c>
      <c r="G977" t="s">
        <v>7418</v>
      </c>
      <c r="H977" t="s">
        <v>7419</v>
      </c>
      <c r="I977" t="s">
        <v>7420</v>
      </c>
      <c r="J977" t="s">
        <v>7421</v>
      </c>
      <c r="K977" t="s">
        <v>7422</v>
      </c>
      <c r="L977" t="s">
        <v>8728</v>
      </c>
    </row>
    <row r="978" spans="1:12" x14ac:dyDescent="0.35">
      <c r="A978" t="str">
        <f t="shared" si="16"/>
        <v>Other Plan Adjustments</v>
      </c>
      <c r="B978" t="s">
        <v>779</v>
      </c>
      <c r="C978" t="s">
        <v>7423</v>
      </c>
      <c r="D978" t="s">
        <v>7424</v>
      </c>
      <c r="E978" t="s">
        <v>7425</v>
      </c>
      <c r="F978" t="s">
        <v>7426</v>
      </c>
      <c r="G978" t="s">
        <v>7427</v>
      </c>
      <c r="H978" t="s">
        <v>7428</v>
      </c>
      <c r="I978" t="s">
        <v>7429</v>
      </c>
      <c r="J978" t="s">
        <v>7430</v>
      </c>
      <c r="K978" t="s">
        <v>7431</v>
      </c>
      <c r="L978" t="s">
        <v>8729</v>
      </c>
    </row>
    <row r="979" spans="1:12" x14ac:dyDescent="0.35">
      <c r="A979" t="str">
        <f t="shared" si="16"/>
        <v>Total Plan Assets</v>
      </c>
      <c r="B979" t="s">
        <v>780</v>
      </c>
      <c r="C979" t="s">
        <v>7432</v>
      </c>
      <c r="D979" t="s">
        <v>7433</v>
      </c>
      <c r="E979" t="s">
        <v>7434</v>
      </c>
      <c r="F979" t="s">
        <v>7435</v>
      </c>
      <c r="G979" t="s">
        <v>7436</v>
      </c>
      <c r="H979" t="s">
        <v>7437</v>
      </c>
      <c r="I979" t="s">
        <v>7438</v>
      </c>
      <c r="J979" t="s">
        <v>7439</v>
      </c>
      <c r="K979" t="s">
        <v>7440</v>
      </c>
      <c r="L979" t="s">
        <v>8730</v>
      </c>
    </row>
    <row r="980" spans="1:12" x14ac:dyDescent="0.35">
      <c r="A980" t="str">
        <f t="shared" si="16"/>
        <v>Exp.Ret. On Pension Assets</v>
      </c>
      <c r="B980" t="s">
        <v>645</v>
      </c>
      <c r="C980" t="s">
        <v>7441</v>
      </c>
      <c r="D980" t="s">
        <v>7442</v>
      </c>
      <c r="E980" t="s">
        <v>7443</v>
      </c>
      <c r="F980" t="s">
        <v>7444</v>
      </c>
      <c r="G980" t="s">
        <v>7445</v>
      </c>
      <c r="H980" t="s">
        <v>7446</v>
      </c>
      <c r="I980" t="s">
        <v>7447</v>
      </c>
      <c r="J980" t="s">
        <v>7448</v>
      </c>
      <c r="K980" t="s">
        <v>7449</v>
      </c>
      <c r="L980" t="s">
        <v>8731</v>
      </c>
    </row>
    <row r="981" spans="1:12" x14ac:dyDescent="0.35">
      <c r="A981" t="str">
        <f t="shared" si="16"/>
        <v>Assumed Comp. Growth Rate</v>
      </c>
      <c r="B981" t="s">
        <v>646</v>
      </c>
      <c r="C981" t="s">
        <v>7450</v>
      </c>
      <c r="D981" t="s">
        <v>7451</v>
      </c>
      <c r="E981" t="s">
        <v>7452</v>
      </c>
      <c r="F981" t="s">
        <v>7453</v>
      </c>
      <c r="G981" t="s">
        <v>7454</v>
      </c>
      <c r="H981" t="s">
        <v>7455</v>
      </c>
      <c r="I981" t="s">
        <v>7456</v>
      </c>
      <c r="J981" t="s">
        <v>7457</v>
      </c>
      <c r="K981" t="s">
        <v>7458</v>
      </c>
      <c r="L981" t="s">
        <v>8732</v>
      </c>
    </row>
    <row r="982" spans="1:12" x14ac:dyDescent="0.35">
      <c r="A982" t="str">
        <f t="shared" si="16"/>
        <v>Net Periodic Cost Disc. Rate - Min</v>
      </c>
      <c r="B982" t="s">
        <v>782</v>
      </c>
      <c r="C982" t="s">
        <v>7459</v>
      </c>
      <c r="D982" t="s">
        <v>7460</v>
      </c>
      <c r="E982" t="s">
        <v>7461</v>
      </c>
      <c r="F982" t="s">
        <v>7462</v>
      </c>
      <c r="G982" t="s">
        <v>7463</v>
      </c>
      <c r="H982" t="s">
        <v>7464</v>
      </c>
      <c r="I982" t="s">
        <v>7465</v>
      </c>
      <c r="J982" t="s">
        <v>7466</v>
      </c>
      <c r="K982" t="s">
        <v>7467</v>
      </c>
      <c r="L982" t="s">
        <v>8733</v>
      </c>
    </row>
    <row r="983" spans="1:12" x14ac:dyDescent="0.35">
      <c r="A983" t="str">
        <f t="shared" si="16"/>
        <v>Net Periodic Cost Disc. Rate - Max</v>
      </c>
      <c r="B983" t="s">
        <v>783</v>
      </c>
      <c r="C983" t="s">
        <v>7468</v>
      </c>
      <c r="D983" t="s">
        <v>7469</v>
      </c>
      <c r="E983" t="s">
        <v>7470</v>
      </c>
      <c r="F983" t="s">
        <v>7471</v>
      </c>
      <c r="G983" t="s">
        <v>7472</v>
      </c>
      <c r="H983" t="s">
        <v>7473</v>
      </c>
      <c r="I983" t="s">
        <v>7474</v>
      </c>
      <c r="J983" t="s">
        <v>7475</v>
      </c>
      <c r="K983" t="s">
        <v>7476</v>
      </c>
      <c r="L983" t="s">
        <v>8734</v>
      </c>
    </row>
    <row r="984" spans="1:12" x14ac:dyDescent="0.35">
      <c r="A984" t="str">
        <f t="shared" si="16"/>
        <v>Discount Rate on Obligations</v>
      </c>
      <c r="B984" t="s">
        <v>1022</v>
      </c>
      <c r="C984" t="s">
        <v>7477</v>
      </c>
      <c r="D984" t="s">
        <v>7478</v>
      </c>
      <c r="E984" t="s">
        <v>7479</v>
      </c>
      <c r="F984" t="s">
        <v>7480</v>
      </c>
      <c r="G984" t="s">
        <v>7481</v>
      </c>
      <c r="H984" t="s">
        <v>7482</v>
      </c>
      <c r="I984" t="s">
        <v>7483</v>
      </c>
      <c r="J984" t="s">
        <v>7484</v>
      </c>
      <c r="K984" t="s">
        <v>7485</v>
      </c>
      <c r="L984" t="s">
        <v>8735</v>
      </c>
    </row>
    <row r="985" spans="1:12" x14ac:dyDescent="0.35">
      <c r="A985" t="str">
        <f t="shared" si="16"/>
        <v>Rate of Comp. Increase - Min</v>
      </c>
      <c r="B985" t="s">
        <v>784</v>
      </c>
      <c r="C985" t="s">
        <v>7486</v>
      </c>
      <c r="D985" t="s">
        <v>7487</v>
      </c>
      <c r="E985" t="s">
        <v>7488</v>
      </c>
      <c r="F985" t="s">
        <v>7489</v>
      </c>
      <c r="G985" t="s">
        <v>7490</v>
      </c>
      <c r="H985" t="s">
        <v>7491</v>
      </c>
      <c r="I985" t="s">
        <v>7492</v>
      </c>
      <c r="J985" t="s">
        <v>7493</v>
      </c>
      <c r="K985" t="s">
        <v>7494</v>
      </c>
      <c r="L985" t="s">
        <v>8736</v>
      </c>
    </row>
    <row r="986" spans="1:12" x14ac:dyDescent="0.35">
      <c r="A986" t="str">
        <f t="shared" si="16"/>
        <v>Exp. Long-Term Rate of Return on Assets - Min</v>
      </c>
      <c r="B986" t="s">
        <v>785</v>
      </c>
      <c r="C986" t="s">
        <v>7495</v>
      </c>
      <c r="D986" t="s">
        <v>7496</v>
      </c>
      <c r="E986" t="s">
        <v>7497</v>
      </c>
      <c r="F986" t="s">
        <v>7498</v>
      </c>
      <c r="G986" t="s">
        <v>7499</v>
      </c>
      <c r="H986" t="s">
        <v>7500</v>
      </c>
      <c r="I986" t="s">
        <v>7501</v>
      </c>
      <c r="J986" t="s">
        <v>7502</v>
      </c>
      <c r="K986" t="s">
        <v>7503</v>
      </c>
      <c r="L986" t="s">
        <v>8737</v>
      </c>
    </row>
    <row r="987" spans="1:12" x14ac:dyDescent="0.35">
      <c r="A987" t="str">
        <f t="shared" si="16"/>
        <v>Exp. Long-Term Rate of Return on Assets - Max</v>
      </c>
      <c r="B987" t="s">
        <v>786</v>
      </c>
      <c r="C987" t="s">
        <v>7504</v>
      </c>
      <c r="D987" t="s">
        <v>7505</v>
      </c>
      <c r="E987" t="s">
        <v>7506</v>
      </c>
      <c r="F987" t="s">
        <v>7507</v>
      </c>
      <c r="G987" t="s">
        <v>7508</v>
      </c>
      <c r="H987" t="s">
        <v>7509</v>
      </c>
      <c r="I987" t="s">
        <v>7510</v>
      </c>
      <c r="J987" t="s">
        <v>7511</v>
      </c>
      <c r="K987" t="s">
        <v>7512</v>
      </c>
      <c r="L987" t="s">
        <v>8738</v>
      </c>
    </row>
    <row r="988" spans="1:12" x14ac:dyDescent="0.35">
      <c r="A988" t="str">
        <f t="shared" si="16"/>
        <v>Plan Assets - Equities</v>
      </c>
      <c r="B988" t="s">
        <v>792</v>
      </c>
      <c r="C988" t="s">
        <v>7513</v>
      </c>
      <c r="D988" t="s">
        <v>7514</v>
      </c>
      <c r="E988" t="s">
        <v>7515</v>
      </c>
      <c r="F988" t="s">
        <v>7516</v>
      </c>
      <c r="G988" t="s">
        <v>7517</v>
      </c>
      <c r="H988" t="s">
        <v>7518</v>
      </c>
      <c r="I988" t="s">
        <v>7519</v>
      </c>
      <c r="J988" t="s">
        <v>7520</v>
      </c>
      <c r="K988" t="s">
        <v>7521</v>
      </c>
      <c r="L988" t="s">
        <v>8739</v>
      </c>
    </row>
    <row r="989" spans="1:12" x14ac:dyDescent="0.35">
      <c r="A989" t="str">
        <f t="shared" si="16"/>
        <v>Plan Assets - Fixed Income</v>
      </c>
      <c r="B989" t="s">
        <v>793</v>
      </c>
      <c r="C989" t="s">
        <v>7522</v>
      </c>
      <c r="D989" t="s">
        <v>7523</v>
      </c>
      <c r="E989" t="s">
        <v>7524</v>
      </c>
      <c r="F989" t="s">
        <v>7525</v>
      </c>
      <c r="G989" t="s">
        <v>7526</v>
      </c>
      <c r="H989" t="s">
        <v>7527</v>
      </c>
      <c r="I989" t="s">
        <v>7528</v>
      </c>
      <c r="J989" t="s">
        <v>7529</v>
      </c>
      <c r="K989" t="s">
        <v>7530</v>
      </c>
      <c r="L989" t="s">
        <v>8740</v>
      </c>
    </row>
    <row r="990" spans="1:12" x14ac:dyDescent="0.35">
      <c r="A990" t="str">
        <f t="shared" si="16"/>
        <v>Plan Assets- Real Estate</v>
      </c>
      <c r="B990" t="s">
        <v>794</v>
      </c>
      <c r="C990" t="s">
        <v>7531</v>
      </c>
      <c r="D990" t="s">
        <v>7532</v>
      </c>
      <c r="E990" t="s">
        <v>7533</v>
      </c>
      <c r="F990" t="s">
        <v>7534</v>
      </c>
      <c r="G990" t="s">
        <v>7535</v>
      </c>
      <c r="H990" t="s">
        <v>7536</v>
      </c>
      <c r="I990" t="s">
        <v>7537</v>
      </c>
      <c r="J990" t="s">
        <v>7538</v>
      </c>
      <c r="K990" t="s">
        <v>7539</v>
      </c>
      <c r="L990" t="s">
        <v>8741</v>
      </c>
    </row>
    <row r="991" spans="1:12" x14ac:dyDescent="0.35">
      <c r="A991" t="str">
        <f t="shared" si="16"/>
        <v>Other Plan Assets</v>
      </c>
      <c r="B991" t="s">
        <v>795</v>
      </c>
      <c r="C991" t="s">
        <v>7540</v>
      </c>
      <c r="D991" t="s">
        <v>7541</v>
      </c>
      <c r="E991" t="s">
        <v>7542</v>
      </c>
      <c r="F991" t="s">
        <v>7543</v>
      </c>
      <c r="G991" t="s">
        <v>7544</v>
      </c>
      <c r="H991" t="s">
        <v>7545</v>
      </c>
      <c r="I991" t="s">
        <v>7546</v>
      </c>
      <c r="J991" t="s">
        <v>7547</v>
      </c>
      <c r="K991" t="s">
        <v>7548</v>
      </c>
      <c r="L991" t="s">
        <v>8742</v>
      </c>
    </row>
    <row r="992" spans="1:12" x14ac:dyDescent="0.35">
      <c r="A992" t="str">
        <f t="shared" si="16"/>
        <v>PBO Assumed Rate of Return - Min</v>
      </c>
      <c r="B992" t="s">
        <v>797</v>
      </c>
      <c r="C992" t="s">
        <v>7549</v>
      </c>
      <c r="D992" t="s">
        <v>7550</v>
      </c>
      <c r="E992" t="s">
        <v>7551</v>
      </c>
      <c r="F992" t="s">
        <v>7552</v>
      </c>
      <c r="G992" t="s">
        <v>7553</v>
      </c>
      <c r="H992" t="s">
        <v>7554</v>
      </c>
      <c r="I992" t="s">
        <v>7555</v>
      </c>
      <c r="J992" t="s">
        <v>7556</v>
      </c>
      <c r="K992" t="s">
        <v>7557</v>
      </c>
      <c r="L992" t="s">
        <v>8743</v>
      </c>
    </row>
    <row r="993" spans="1:12" x14ac:dyDescent="0.35">
      <c r="A993" t="str">
        <f t="shared" si="16"/>
        <v>PBO Assumed Rate of Return - Max</v>
      </c>
      <c r="B993" t="s">
        <v>798</v>
      </c>
      <c r="C993" t="s">
        <v>7558</v>
      </c>
      <c r="D993" t="s">
        <v>7559</v>
      </c>
      <c r="E993" t="s">
        <v>7560</v>
      </c>
      <c r="F993" t="s">
        <v>7561</v>
      </c>
      <c r="G993" t="s">
        <v>7562</v>
      </c>
      <c r="H993" t="s">
        <v>7563</v>
      </c>
      <c r="I993" t="s">
        <v>7564</v>
      </c>
      <c r="J993" t="s">
        <v>7565</v>
      </c>
      <c r="K993" t="s">
        <v>7566</v>
      </c>
      <c r="L993" t="s">
        <v>8744</v>
      </c>
    </row>
    <row r="994" spans="1:12" x14ac:dyDescent="0.35">
      <c r="A994" t="str">
        <f t="shared" si="16"/>
        <v>Rate of PBO Compensation Increase - Min</v>
      </c>
      <c r="B994" t="s">
        <v>799</v>
      </c>
      <c r="C994" t="s">
        <v>7567</v>
      </c>
      <c r="D994" t="s">
        <v>7568</v>
      </c>
      <c r="E994" t="s">
        <v>7569</v>
      </c>
      <c r="F994" t="s">
        <v>7570</v>
      </c>
      <c r="G994" t="s">
        <v>7571</v>
      </c>
      <c r="H994" t="s">
        <v>7572</v>
      </c>
      <c r="I994" t="s">
        <v>7573</v>
      </c>
      <c r="J994" t="s">
        <v>7574</v>
      </c>
      <c r="K994" t="s">
        <v>7575</v>
      </c>
      <c r="L994" t="s">
        <v>8745</v>
      </c>
    </row>
    <row r="995" spans="1:12" x14ac:dyDescent="0.35">
      <c r="A995" t="str">
        <f t="shared" si="16"/>
        <v>Rate of PBO Compensation Increase - Max</v>
      </c>
      <c r="B995" t="s">
        <v>800</v>
      </c>
      <c r="C995" t="s">
        <v>7576</v>
      </c>
      <c r="D995" t="s">
        <v>7577</v>
      </c>
      <c r="E995" t="s">
        <v>7578</v>
      </c>
      <c r="F995" t="s">
        <v>7579</v>
      </c>
      <c r="G995" t="s">
        <v>7580</v>
      </c>
      <c r="H995" t="s">
        <v>7581</v>
      </c>
      <c r="I995" t="s">
        <v>7582</v>
      </c>
      <c r="J995" t="s">
        <v>7583</v>
      </c>
      <c r="K995" t="s">
        <v>7584</v>
      </c>
      <c r="L995" t="s">
        <v>8746</v>
      </c>
    </row>
    <row r="996" spans="1:12" x14ac:dyDescent="0.35">
      <c r="A996" t="str">
        <f t="shared" si="16"/>
        <v>Est. Future Benefits Paid - 1st Yr</v>
      </c>
      <c r="B996" t="s">
        <v>802</v>
      </c>
      <c r="C996" t="s">
        <v>7585</v>
      </c>
      <c r="D996" t="s">
        <v>7586</v>
      </c>
      <c r="E996" t="s">
        <v>7587</v>
      </c>
      <c r="F996" t="s">
        <v>7588</v>
      </c>
      <c r="G996" t="s">
        <v>7589</v>
      </c>
      <c r="H996" t="s">
        <v>7590</v>
      </c>
      <c r="I996" t="s">
        <v>7591</v>
      </c>
      <c r="J996" t="s">
        <v>7592</v>
      </c>
      <c r="K996" t="s">
        <v>7593</v>
      </c>
      <c r="L996" t="s">
        <v>8747</v>
      </c>
    </row>
    <row r="997" spans="1:12" x14ac:dyDescent="0.35">
      <c r="A997" t="str">
        <f t="shared" si="16"/>
        <v>Est. Future Benefits Paid - 2nd Yr</v>
      </c>
      <c r="B997" t="s">
        <v>803</v>
      </c>
      <c r="C997" t="s">
        <v>7594</v>
      </c>
      <c r="D997" t="s">
        <v>7595</v>
      </c>
      <c r="E997" t="s">
        <v>7596</v>
      </c>
      <c r="F997" t="s">
        <v>7597</v>
      </c>
      <c r="G997" t="s">
        <v>7598</v>
      </c>
      <c r="H997" t="s">
        <v>7599</v>
      </c>
      <c r="I997" t="s">
        <v>7600</v>
      </c>
      <c r="J997" t="s">
        <v>7601</v>
      </c>
      <c r="K997" t="s">
        <v>7602</v>
      </c>
      <c r="L997" t="s">
        <v>8748</v>
      </c>
    </row>
    <row r="998" spans="1:12" x14ac:dyDescent="0.35">
      <c r="A998" t="str">
        <f t="shared" si="16"/>
        <v>Est. Future Benefits Paid - 3rd Yr</v>
      </c>
      <c r="B998" t="s">
        <v>804</v>
      </c>
      <c r="C998" t="s">
        <v>7603</v>
      </c>
      <c r="D998" t="s">
        <v>7604</v>
      </c>
      <c r="E998" t="s">
        <v>7605</v>
      </c>
      <c r="F998" t="s">
        <v>7606</v>
      </c>
      <c r="G998" t="s">
        <v>7607</v>
      </c>
      <c r="H998" t="s">
        <v>7608</v>
      </c>
      <c r="I998" t="s">
        <v>7609</v>
      </c>
      <c r="J998" t="s">
        <v>7610</v>
      </c>
      <c r="K998" t="s">
        <v>7611</v>
      </c>
      <c r="L998" t="s">
        <v>8749</v>
      </c>
    </row>
    <row r="999" spans="1:12" x14ac:dyDescent="0.35">
      <c r="A999" t="str">
        <f t="shared" si="16"/>
        <v>Est. Future Benefits Paid - 4th Yr</v>
      </c>
      <c r="B999" t="s">
        <v>805</v>
      </c>
      <c r="C999" t="s">
        <v>7612</v>
      </c>
      <c r="D999" t="s">
        <v>7613</v>
      </c>
      <c r="E999" t="s">
        <v>7614</v>
      </c>
      <c r="F999" t="s">
        <v>7615</v>
      </c>
      <c r="G999" t="s">
        <v>7616</v>
      </c>
      <c r="H999" t="s">
        <v>7617</v>
      </c>
      <c r="I999" t="s">
        <v>7618</v>
      </c>
      <c r="J999" t="s">
        <v>7619</v>
      </c>
      <c r="K999" t="s">
        <v>7620</v>
      </c>
      <c r="L999" t="s">
        <v>8750</v>
      </c>
    </row>
    <row r="1000" spans="1:12" x14ac:dyDescent="0.35">
      <c r="A1000" t="str">
        <f t="shared" si="16"/>
        <v>Est. Future Benefits Paid - 5th Yr</v>
      </c>
      <c r="B1000" t="s">
        <v>806</v>
      </c>
      <c r="C1000" t="s">
        <v>7621</v>
      </c>
      <c r="D1000" t="s">
        <v>7622</v>
      </c>
      <c r="E1000" t="s">
        <v>7623</v>
      </c>
      <c r="F1000" t="s">
        <v>7624</v>
      </c>
      <c r="G1000" t="s">
        <v>7625</v>
      </c>
      <c r="H1000" t="s">
        <v>7626</v>
      </c>
      <c r="I1000" t="s">
        <v>7627</v>
      </c>
      <c r="J1000" t="s">
        <v>7628</v>
      </c>
      <c r="K1000" t="s">
        <v>7629</v>
      </c>
      <c r="L1000" t="s">
        <v>8751</v>
      </c>
    </row>
    <row r="1001" spans="1:12" x14ac:dyDescent="0.35">
      <c r="A1001" t="str">
        <f t="shared" si="16"/>
        <v>Est. Future Benefits Paid - Thereafter</v>
      </c>
      <c r="B1001" t="s">
        <v>807</v>
      </c>
      <c r="C1001" t="s">
        <v>7630</v>
      </c>
      <c r="D1001" t="s">
        <v>7631</v>
      </c>
      <c r="E1001" t="s">
        <v>7632</v>
      </c>
      <c r="F1001" t="s">
        <v>7633</v>
      </c>
      <c r="G1001" t="s">
        <v>7634</v>
      </c>
      <c r="H1001" t="s">
        <v>7635</v>
      </c>
      <c r="I1001" t="s">
        <v>7636</v>
      </c>
      <c r="J1001" t="s">
        <v>7637</v>
      </c>
      <c r="K1001" t="s">
        <v>7638</v>
      </c>
      <c r="L1001" t="s">
        <v>8752</v>
      </c>
    </row>
    <row r="1002" spans="1:12" x14ac:dyDescent="0.35">
      <c r="A1002" t="str">
        <f t="shared" si="16"/>
        <v>Prepaid Benefit Cost</v>
      </c>
      <c r="B1002" t="s">
        <v>809</v>
      </c>
      <c r="C1002" t="s">
        <v>7639</v>
      </c>
      <c r="D1002" t="s">
        <v>7640</v>
      </c>
      <c r="E1002" t="s">
        <v>7641</v>
      </c>
      <c r="F1002" t="s">
        <v>7642</v>
      </c>
      <c r="G1002" t="s">
        <v>7643</v>
      </c>
      <c r="H1002" t="s">
        <v>7644</v>
      </c>
      <c r="I1002" t="s">
        <v>7645</v>
      </c>
      <c r="J1002" t="s">
        <v>7646</v>
      </c>
      <c r="K1002" t="s">
        <v>7647</v>
      </c>
      <c r="L1002" t="s">
        <v>8753</v>
      </c>
    </row>
    <row r="1003" spans="1:12" x14ac:dyDescent="0.35">
      <c r="A1003" t="str">
        <f t="shared" si="16"/>
        <v>Accrued Benefit Liability</v>
      </c>
      <c r="B1003" t="s">
        <v>810</v>
      </c>
      <c r="C1003" t="s">
        <v>7648</v>
      </c>
      <c r="D1003" t="s">
        <v>7649</v>
      </c>
      <c r="E1003" t="s">
        <v>7650</v>
      </c>
      <c r="F1003" t="s">
        <v>7329</v>
      </c>
      <c r="G1003" t="s">
        <v>7651</v>
      </c>
      <c r="H1003" t="s">
        <v>7652</v>
      </c>
      <c r="I1003" t="s">
        <v>7653</v>
      </c>
      <c r="J1003" t="s">
        <v>7654</v>
      </c>
      <c r="K1003" t="s">
        <v>7655</v>
      </c>
      <c r="L1003" t="s">
        <v>8754</v>
      </c>
    </row>
    <row r="1004" spans="1:12" x14ac:dyDescent="0.35">
      <c r="A1004" t="str">
        <f t="shared" si="16"/>
        <v>Intangible Assets</v>
      </c>
      <c r="B1004" t="s">
        <v>811</v>
      </c>
      <c r="C1004" t="s">
        <v>7656</v>
      </c>
      <c r="D1004" t="s">
        <v>7657</v>
      </c>
      <c r="E1004" t="s">
        <v>7658</v>
      </c>
      <c r="F1004" t="s">
        <v>7659</v>
      </c>
      <c r="G1004" t="s">
        <v>7660</v>
      </c>
      <c r="H1004" t="s">
        <v>7661</v>
      </c>
      <c r="I1004" t="s">
        <v>7662</v>
      </c>
      <c r="J1004" t="s">
        <v>7663</v>
      </c>
      <c r="K1004" t="s">
        <v>7664</v>
      </c>
      <c r="L1004" t="s">
        <v>8755</v>
      </c>
    </row>
    <row r="1005" spans="1:12" x14ac:dyDescent="0.35">
      <c r="A1005" t="str">
        <f t="shared" ref="A1005:A1029" si="17">INDEX($B1005:$CW1005,,$A$5)</f>
        <v>Accum. Other Comp. Income</v>
      </c>
      <c r="B1005" t="s">
        <v>812</v>
      </c>
      <c r="C1005" t="s">
        <v>7665</v>
      </c>
      <c r="D1005" t="s">
        <v>7666</v>
      </c>
      <c r="E1005" t="s">
        <v>7667</v>
      </c>
      <c r="F1005" t="s">
        <v>7668</v>
      </c>
      <c r="G1005" t="s">
        <v>7669</v>
      </c>
      <c r="H1005" t="s">
        <v>7670</v>
      </c>
      <c r="I1005" t="s">
        <v>7671</v>
      </c>
      <c r="J1005" t="s">
        <v>7672</v>
      </c>
      <c r="K1005" t="s">
        <v>7673</v>
      </c>
      <c r="L1005" t="s">
        <v>8756</v>
      </c>
    </row>
    <row r="1006" spans="1:12" x14ac:dyDescent="0.35">
      <c r="A1006" t="str">
        <f t="shared" si="17"/>
        <v>Other Assets/Liabilities</v>
      </c>
      <c r="B1006" t="s">
        <v>813</v>
      </c>
      <c r="C1006" t="s">
        <v>7674</v>
      </c>
      <c r="D1006" t="s">
        <v>7675</v>
      </c>
      <c r="E1006" t="s">
        <v>7676</v>
      </c>
      <c r="F1006" t="s">
        <v>7677</v>
      </c>
      <c r="G1006" t="s">
        <v>7678</v>
      </c>
      <c r="H1006" t="s">
        <v>7679</v>
      </c>
      <c r="I1006" t="s">
        <v>7680</v>
      </c>
      <c r="J1006" t="s">
        <v>7681</v>
      </c>
      <c r="K1006" t="s">
        <v>7682</v>
      </c>
      <c r="L1006" t="s">
        <v>8757</v>
      </c>
    </row>
    <row r="1007" spans="1:12" x14ac:dyDescent="0.35">
      <c r="A1007" t="str">
        <f t="shared" si="17"/>
        <v>Unrecog. Prior Plan Service Cost</v>
      </c>
      <c r="B1007" t="s">
        <v>815</v>
      </c>
      <c r="C1007" t="s">
        <v>7683</v>
      </c>
      <c r="D1007" t="s">
        <v>7684</v>
      </c>
      <c r="E1007" t="s">
        <v>7685</v>
      </c>
      <c r="F1007" t="s">
        <v>7686</v>
      </c>
      <c r="G1007" t="s">
        <v>7687</v>
      </c>
      <c r="H1007" t="s">
        <v>7688</v>
      </c>
      <c r="I1007" t="s">
        <v>7689</v>
      </c>
      <c r="J1007" t="s">
        <v>7690</v>
      </c>
      <c r="K1007" t="s">
        <v>7691</v>
      </c>
      <c r="L1007" t="s">
        <v>8758</v>
      </c>
    </row>
    <row r="1008" spans="1:12" x14ac:dyDescent="0.35">
      <c r="A1008" t="str">
        <f t="shared" si="17"/>
        <v>Other Adj. (Net Benefit Asset/Liab.)</v>
      </c>
      <c r="B1008" t="s">
        <v>816</v>
      </c>
      <c r="C1008" t="s">
        <v>7692</v>
      </c>
      <c r="D1008" t="s">
        <v>7693</v>
      </c>
      <c r="E1008" t="s">
        <v>7694</v>
      </c>
      <c r="F1008" t="s">
        <v>7695</v>
      </c>
      <c r="G1008" t="s">
        <v>7696</v>
      </c>
      <c r="H1008" t="s">
        <v>7697</v>
      </c>
      <c r="I1008" t="s">
        <v>7698</v>
      </c>
      <c r="J1008" t="s">
        <v>7699</v>
      </c>
      <c r="K1008" t="s">
        <v>7700</v>
      </c>
      <c r="L1008" t="s">
        <v>8759</v>
      </c>
    </row>
    <row r="1009" spans="1:12" x14ac:dyDescent="0.35">
      <c r="A1009" t="str">
        <f t="shared" si="17"/>
        <v>Net Asset/Liability Recognized on Balance Sheet</v>
      </c>
      <c r="B1009" t="s">
        <v>817</v>
      </c>
      <c r="C1009" t="s">
        <v>7701</v>
      </c>
      <c r="D1009" t="s">
        <v>7702</v>
      </c>
      <c r="E1009" t="s">
        <v>7703</v>
      </c>
      <c r="F1009" t="s">
        <v>7704</v>
      </c>
      <c r="G1009" t="s">
        <v>7705</v>
      </c>
      <c r="H1009" t="s">
        <v>7706</v>
      </c>
      <c r="I1009" t="s">
        <v>7707</v>
      </c>
      <c r="J1009" t="s">
        <v>7708</v>
      </c>
      <c r="K1009" t="s">
        <v>7709</v>
      </c>
      <c r="L1009" t="s">
        <v>8760</v>
      </c>
    </row>
    <row r="1010" spans="1:12" x14ac:dyDescent="0.35">
      <c r="A1010" t="str">
        <f t="shared" si="17"/>
        <v>Est. Contributions - Next Year</v>
      </c>
      <c r="B1010" t="s">
        <v>820</v>
      </c>
      <c r="C1010" t="s">
        <v>7710</v>
      </c>
      <c r="D1010" t="s">
        <v>7711</v>
      </c>
      <c r="E1010" t="s">
        <v>7712</v>
      </c>
      <c r="F1010" t="s">
        <v>7713</v>
      </c>
      <c r="G1010" t="s">
        <v>7714</v>
      </c>
      <c r="H1010" t="s">
        <v>7715</v>
      </c>
      <c r="I1010" t="s">
        <v>7716</v>
      </c>
      <c r="J1010" t="s">
        <v>7717</v>
      </c>
      <c r="K1010" t="s">
        <v>7718</v>
      </c>
      <c r="L1010" t="s">
        <v>8761</v>
      </c>
    </row>
    <row r="1011" spans="1:12" x14ac:dyDescent="0.35">
      <c r="A1011" t="str">
        <f t="shared" si="17"/>
        <v>Quarterly Employer Contribution</v>
      </c>
      <c r="B1011" t="s">
        <v>821</v>
      </c>
      <c r="C1011" t="s">
        <v>7719</v>
      </c>
      <c r="D1011" t="s">
        <v>7719</v>
      </c>
      <c r="E1011" t="s">
        <v>7720</v>
      </c>
      <c r="F1011" t="s">
        <v>7721</v>
      </c>
      <c r="G1011" t="s">
        <v>7722</v>
      </c>
      <c r="H1011" t="s">
        <v>7723</v>
      </c>
      <c r="I1011" t="s">
        <v>7724</v>
      </c>
      <c r="J1011" t="s">
        <v>7725</v>
      </c>
      <c r="K1011" t="s">
        <v>7726</v>
      </c>
      <c r="L1011" t="s">
        <v>8762</v>
      </c>
    </row>
    <row r="1012" spans="1:12" x14ac:dyDescent="0.35">
      <c r="A1012" t="str">
        <f t="shared" si="17"/>
        <v>Quarterly Additional Contributions Expected</v>
      </c>
      <c r="B1012" t="s">
        <v>822</v>
      </c>
      <c r="C1012" t="s">
        <v>7727</v>
      </c>
      <c r="D1012" t="s">
        <v>7728</v>
      </c>
      <c r="E1012" t="s">
        <v>7729</v>
      </c>
      <c r="F1012" t="s">
        <v>7730</v>
      </c>
      <c r="G1012" t="s">
        <v>7731</v>
      </c>
      <c r="H1012" t="s">
        <v>7732</v>
      </c>
      <c r="I1012" t="s">
        <v>7733</v>
      </c>
      <c r="J1012" t="s">
        <v>7734</v>
      </c>
      <c r="K1012" t="s">
        <v>7735</v>
      </c>
      <c r="L1012" t="s">
        <v>8763</v>
      </c>
    </row>
    <row r="1013" spans="1:12" x14ac:dyDescent="0.35">
      <c r="A1013" t="str">
        <f t="shared" si="17"/>
        <v>Unfunded Additional Minimum Liab.</v>
      </c>
      <c r="B1013" t="s">
        <v>823</v>
      </c>
      <c r="C1013" t="s">
        <v>7736</v>
      </c>
      <c r="D1013" t="s">
        <v>7737</v>
      </c>
      <c r="E1013" t="s">
        <v>7738</v>
      </c>
      <c r="F1013" t="s">
        <v>7739</v>
      </c>
      <c r="G1013" t="s">
        <v>7740</v>
      </c>
      <c r="H1013" t="s">
        <v>7741</v>
      </c>
      <c r="I1013" t="s">
        <v>7742</v>
      </c>
      <c r="J1013" t="s">
        <v>7743</v>
      </c>
      <c r="K1013" t="s">
        <v>7744</v>
      </c>
      <c r="L1013" t="s">
        <v>8764</v>
      </c>
    </row>
    <row r="1014" spans="1:12" x14ac:dyDescent="0.35">
      <c r="A1014" t="str">
        <f t="shared" si="17"/>
        <v>OPEB - Domestic</v>
      </c>
      <c r="B1014" t="s">
        <v>650</v>
      </c>
      <c r="C1014" t="s">
        <v>7745</v>
      </c>
      <c r="D1014" t="s">
        <v>7746</v>
      </c>
      <c r="E1014" t="s">
        <v>7747</v>
      </c>
      <c r="F1014" t="s">
        <v>7748</v>
      </c>
      <c r="G1014" t="s">
        <v>7749</v>
      </c>
      <c r="H1014" t="s">
        <v>7750</v>
      </c>
      <c r="I1014" t="s">
        <v>7751</v>
      </c>
      <c r="J1014" t="s">
        <v>7752</v>
      </c>
      <c r="K1014" t="s">
        <v>7753</v>
      </c>
      <c r="L1014" t="s">
        <v>8765</v>
      </c>
    </row>
    <row r="1015" spans="1:12" x14ac:dyDescent="0.35">
      <c r="A1015" t="str">
        <f t="shared" si="17"/>
        <v>Def. Benefit Expected Return on Assets</v>
      </c>
      <c r="B1015" t="s">
        <v>825</v>
      </c>
      <c r="C1015" t="s">
        <v>7754</v>
      </c>
      <c r="D1015" t="s">
        <v>7755</v>
      </c>
      <c r="E1015" t="s">
        <v>7756</v>
      </c>
      <c r="F1015" t="s">
        <v>7757</v>
      </c>
      <c r="G1015" t="s">
        <v>7758</v>
      </c>
      <c r="H1015" t="s">
        <v>7759</v>
      </c>
      <c r="I1015" t="s">
        <v>7760</v>
      </c>
      <c r="J1015" t="s">
        <v>7761</v>
      </c>
      <c r="K1015" t="s">
        <v>7762</v>
      </c>
      <c r="L1015" t="s">
        <v>8766</v>
      </c>
    </row>
    <row r="1016" spans="1:12" x14ac:dyDescent="0.35">
      <c r="A1016" t="str">
        <f t="shared" si="17"/>
        <v>Accumulated Benefit Obligation</v>
      </c>
      <c r="B1016" t="s">
        <v>830</v>
      </c>
      <c r="C1016" t="s">
        <v>7763</v>
      </c>
      <c r="D1016" t="s">
        <v>7764</v>
      </c>
      <c r="E1016" t="s">
        <v>7765</v>
      </c>
      <c r="F1016" t="s">
        <v>7766</v>
      </c>
      <c r="G1016" t="s">
        <v>7767</v>
      </c>
      <c r="H1016" t="s">
        <v>7768</v>
      </c>
      <c r="I1016" t="s">
        <v>7769</v>
      </c>
      <c r="J1016" t="s">
        <v>7770</v>
      </c>
      <c r="K1016" t="s">
        <v>7771</v>
      </c>
      <c r="L1016" t="s">
        <v>8767</v>
      </c>
    </row>
    <row r="1017" spans="1:12" x14ac:dyDescent="0.35">
      <c r="A1017" t="str">
        <f t="shared" si="17"/>
        <v>1% Increase - Effect on Service and Interest Cost</v>
      </c>
      <c r="B1017" t="s">
        <v>832</v>
      </c>
      <c r="C1017" t="s">
        <v>7772</v>
      </c>
      <c r="D1017" t="s">
        <v>7773</v>
      </c>
      <c r="E1017" t="s">
        <v>7774</v>
      </c>
      <c r="F1017" t="s">
        <v>7775</v>
      </c>
      <c r="G1017" t="s">
        <v>7776</v>
      </c>
      <c r="H1017" t="s">
        <v>7777</v>
      </c>
      <c r="I1017" t="s">
        <v>7778</v>
      </c>
      <c r="J1017" t="s">
        <v>7779</v>
      </c>
      <c r="K1017" t="s">
        <v>7780</v>
      </c>
      <c r="L1017" t="s">
        <v>8768</v>
      </c>
    </row>
    <row r="1018" spans="1:12" x14ac:dyDescent="0.35">
      <c r="A1018" t="str">
        <f t="shared" si="17"/>
        <v>1% Increase - Effect on PBO</v>
      </c>
      <c r="B1018" t="s">
        <v>833</v>
      </c>
      <c r="C1018" t="s">
        <v>7781</v>
      </c>
      <c r="D1018" t="s">
        <v>7782</v>
      </c>
      <c r="E1018" t="s">
        <v>7783</v>
      </c>
      <c r="F1018" t="s">
        <v>7784</v>
      </c>
      <c r="G1018" t="s">
        <v>7785</v>
      </c>
      <c r="H1018" t="s">
        <v>7786</v>
      </c>
      <c r="I1018" t="s">
        <v>7787</v>
      </c>
      <c r="J1018" t="s">
        <v>7788</v>
      </c>
      <c r="K1018" t="s">
        <v>7789</v>
      </c>
      <c r="L1018" t="s">
        <v>8769</v>
      </c>
    </row>
    <row r="1019" spans="1:12" x14ac:dyDescent="0.35">
      <c r="A1019" t="str">
        <f t="shared" si="17"/>
        <v>1% Decrease - Effect on Service and Interest Cost</v>
      </c>
      <c r="B1019" t="s">
        <v>834</v>
      </c>
      <c r="C1019" t="s">
        <v>7790</v>
      </c>
      <c r="D1019" t="s">
        <v>7791</v>
      </c>
      <c r="E1019" t="s">
        <v>7792</v>
      </c>
      <c r="F1019" t="s">
        <v>7793</v>
      </c>
      <c r="G1019" t="s">
        <v>7794</v>
      </c>
      <c r="H1019" t="s">
        <v>7795</v>
      </c>
      <c r="I1019" t="s">
        <v>7796</v>
      </c>
      <c r="J1019" t="s">
        <v>7797</v>
      </c>
      <c r="K1019" t="s">
        <v>7798</v>
      </c>
      <c r="L1019" t="s">
        <v>8770</v>
      </c>
    </row>
    <row r="1020" spans="1:12" x14ac:dyDescent="0.35">
      <c r="A1020" t="str">
        <f t="shared" si="17"/>
        <v>1% Decrease - Effect on PBO</v>
      </c>
      <c r="B1020" t="s">
        <v>835</v>
      </c>
      <c r="C1020" t="s">
        <v>7799</v>
      </c>
      <c r="D1020" t="s">
        <v>7800</v>
      </c>
      <c r="E1020" t="s">
        <v>7801</v>
      </c>
      <c r="F1020" t="s">
        <v>7802</v>
      </c>
      <c r="G1020" t="s">
        <v>7803</v>
      </c>
      <c r="H1020" t="s">
        <v>7804</v>
      </c>
      <c r="I1020" t="s">
        <v>7805</v>
      </c>
      <c r="J1020" t="s">
        <v>7806</v>
      </c>
      <c r="K1020" t="s">
        <v>7807</v>
      </c>
      <c r="L1020" t="s">
        <v>8771</v>
      </c>
    </row>
    <row r="1021" spans="1:12" x14ac:dyDescent="0.35">
      <c r="A1021" t="str">
        <f t="shared" si="17"/>
        <v>Pension - Foreign</v>
      </c>
      <c r="B1021" t="s">
        <v>651</v>
      </c>
      <c r="C1021" t="s">
        <v>7808</v>
      </c>
      <c r="D1021" t="s">
        <v>7809</v>
      </c>
      <c r="E1021" t="s">
        <v>7810</v>
      </c>
      <c r="F1021" t="s">
        <v>7811</v>
      </c>
      <c r="G1021" t="s">
        <v>7812</v>
      </c>
      <c r="H1021" t="s">
        <v>7813</v>
      </c>
      <c r="I1021" t="s">
        <v>7814</v>
      </c>
      <c r="J1021" t="s">
        <v>7815</v>
      </c>
      <c r="K1021" t="s">
        <v>7816</v>
      </c>
      <c r="L1021" t="s">
        <v>8772</v>
      </c>
    </row>
    <row r="1022" spans="1:12" x14ac:dyDescent="0.35">
      <c r="A1022" t="str">
        <f t="shared" si="17"/>
        <v>Accum. Benefit Obligation (Pension)</v>
      </c>
      <c r="B1022" t="s">
        <v>644</v>
      </c>
      <c r="C1022" t="s">
        <v>7817</v>
      </c>
      <c r="D1022" t="s">
        <v>7818</v>
      </c>
      <c r="E1022" t="s">
        <v>7819</v>
      </c>
      <c r="F1022" t="s">
        <v>7820</v>
      </c>
      <c r="G1022" t="s">
        <v>7821</v>
      </c>
      <c r="H1022" t="s">
        <v>7822</v>
      </c>
      <c r="I1022" t="s">
        <v>7823</v>
      </c>
      <c r="J1022" t="s">
        <v>7824</v>
      </c>
      <c r="K1022" t="s">
        <v>7825</v>
      </c>
      <c r="L1022" t="s">
        <v>8773</v>
      </c>
    </row>
    <row r="1023" spans="1:12" x14ac:dyDescent="0.35">
      <c r="A1023" t="str">
        <f t="shared" si="17"/>
        <v>OPEB - Foreign</v>
      </c>
      <c r="B1023" t="s">
        <v>652</v>
      </c>
      <c r="C1023" t="s">
        <v>7826</v>
      </c>
      <c r="D1023" t="s">
        <v>7827</v>
      </c>
      <c r="E1023" t="s">
        <v>7828</v>
      </c>
      <c r="F1023" t="s">
        <v>7829</v>
      </c>
      <c r="G1023" t="s">
        <v>7830</v>
      </c>
      <c r="H1023" t="s">
        <v>7831</v>
      </c>
      <c r="I1023" t="s">
        <v>7832</v>
      </c>
      <c r="J1023" t="s">
        <v>7833</v>
      </c>
      <c r="K1023" t="s">
        <v>7834</v>
      </c>
      <c r="L1023" t="s">
        <v>8774</v>
      </c>
    </row>
    <row r="1024" spans="1:12" x14ac:dyDescent="0.35">
      <c r="A1024" t="str">
        <f t="shared" si="17"/>
        <v>in millions of</v>
      </c>
      <c r="B1024" t="s">
        <v>983</v>
      </c>
      <c r="C1024" t="s">
        <v>10743</v>
      </c>
      <c r="D1024" t="s">
        <v>10744</v>
      </c>
      <c r="E1024" t="s">
        <v>10745</v>
      </c>
      <c r="F1024" t="s">
        <v>10746</v>
      </c>
      <c r="G1024" t="s">
        <v>10747</v>
      </c>
      <c r="H1024" t="s">
        <v>10743</v>
      </c>
      <c r="I1024" t="s">
        <v>10748</v>
      </c>
      <c r="J1024" t="s">
        <v>10749</v>
      </c>
      <c r="K1024" t="s">
        <v>10750</v>
      </c>
      <c r="L1024" t="s">
        <v>10751</v>
      </c>
    </row>
    <row r="1025" spans="1:12" x14ac:dyDescent="0.35">
      <c r="A1025" t="str">
        <f>INDEX($B1025:$CW1025,,$A$5)</f>
        <v>months</v>
      </c>
      <c r="B1025" s="19" t="s">
        <v>10939</v>
      </c>
      <c r="C1025" s="19" t="s">
        <v>10940</v>
      </c>
      <c r="D1025" s="19" t="s">
        <v>10941</v>
      </c>
      <c r="E1025" s="19" t="s">
        <v>10942</v>
      </c>
      <c r="F1025" s="19" t="s">
        <v>10943</v>
      </c>
      <c r="G1025" s="19" t="s">
        <v>10944</v>
      </c>
      <c r="H1025" s="19" t="s">
        <v>10945</v>
      </c>
      <c r="I1025" s="19" t="s">
        <v>10946</v>
      </c>
      <c r="J1025" s="19" t="s">
        <v>10947</v>
      </c>
      <c r="K1025" s="19" t="s">
        <v>10948</v>
      </c>
      <c r="L1025" s="19" t="s">
        <v>10947</v>
      </c>
    </row>
    <row r="1026" spans="1:12" x14ac:dyDescent="0.35">
      <c r="A1026" t="str">
        <f t="shared" si="17"/>
        <v>Fiscal Year Ended,</v>
      </c>
      <c r="B1026" t="s">
        <v>985</v>
      </c>
      <c r="C1026" t="s">
        <v>7835</v>
      </c>
      <c r="D1026" t="s">
        <v>7836</v>
      </c>
      <c r="E1026" t="s">
        <v>7837</v>
      </c>
      <c r="F1026" t="s">
        <v>7838</v>
      </c>
      <c r="G1026" t="s">
        <v>7839</v>
      </c>
      <c r="H1026" t="s">
        <v>7840</v>
      </c>
      <c r="I1026" t="s">
        <v>7841</v>
      </c>
      <c r="J1026" t="s">
        <v>7842</v>
      </c>
      <c r="K1026" t="s">
        <v>7843</v>
      </c>
      <c r="L1026" t="s">
        <v>10873</v>
      </c>
    </row>
    <row r="1027" spans="1:12" x14ac:dyDescent="0.35">
      <c r="A1027" t="str">
        <f t="shared" si="17"/>
        <v>ID</v>
      </c>
      <c r="B1027" s="19" t="s">
        <v>986</v>
      </c>
      <c r="C1027" t="s">
        <v>986</v>
      </c>
      <c r="D1027" t="s">
        <v>986</v>
      </c>
      <c r="E1027" t="s">
        <v>986</v>
      </c>
      <c r="F1027" t="s">
        <v>986</v>
      </c>
      <c r="G1027" t="s">
        <v>7844</v>
      </c>
      <c r="H1027" t="s">
        <v>986</v>
      </c>
      <c r="I1027" t="s">
        <v>986</v>
      </c>
      <c r="J1027" t="s">
        <v>7845</v>
      </c>
      <c r="K1027" t="s">
        <v>986</v>
      </c>
      <c r="L1027" t="s">
        <v>986</v>
      </c>
    </row>
    <row r="1028" spans="1:12" x14ac:dyDescent="0.35">
      <c r="A1028" t="str">
        <f t="shared" si="17"/>
        <v>Historical</v>
      </c>
      <c r="B1028" t="s">
        <v>901</v>
      </c>
      <c r="C1028" t="s">
        <v>10952</v>
      </c>
      <c r="D1028" t="s">
        <v>10953</v>
      </c>
      <c r="E1028" t="s">
        <v>10954</v>
      </c>
      <c r="F1028" t="s">
        <v>10955</v>
      </c>
      <c r="G1028" t="s">
        <v>10956</v>
      </c>
      <c r="H1028" t="s">
        <v>10957</v>
      </c>
      <c r="I1028" t="s">
        <v>10958</v>
      </c>
      <c r="J1028" t="s">
        <v>10959</v>
      </c>
      <c r="K1028" t="s">
        <v>10960</v>
      </c>
      <c r="L1028" t="s">
        <v>10959</v>
      </c>
    </row>
    <row r="1029" spans="1:12" x14ac:dyDescent="0.35">
      <c r="A1029" t="str">
        <f t="shared" si="17"/>
        <v>Current</v>
      </c>
      <c r="B1029" t="s">
        <v>10951</v>
      </c>
      <c r="C1029" t="s">
        <v>10961</v>
      </c>
      <c r="D1029" t="s">
        <v>10962</v>
      </c>
      <c r="E1029" t="s">
        <v>10963</v>
      </c>
      <c r="F1029" t="s">
        <v>10964</v>
      </c>
      <c r="G1029" t="s">
        <v>10965</v>
      </c>
      <c r="H1029" t="s">
        <v>10966</v>
      </c>
      <c r="I1029" t="s">
        <v>10967</v>
      </c>
      <c r="J1029" t="s">
        <v>10968</v>
      </c>
      <c r="K1029" t="s">
        <v>10969</v>
      </c>
      <c r="L1029" t="s">
        <v>10970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A41F65D8D85C643B279395178BBB636" ma:contentTypeVersion="9" ma:contentTypeDescription="Create a new document." ma:contentTypeScope="" ma:versionID="c27e913dc5e8305715eae2fc7ed3b11d">
  <xsd:schema xmlns:xsd="http://www.w3.org/2001/XMLSchema" xmlns:xs="http://www.w3.org/2001/XMLSchema" xmlns:p="http://schemas.microsoft.com/office/2006/metadata/properties" xmlns:ns3="d0640473-7254-4dee-a68e-1aa7dfe87080" targetNamespace="http://schemas.microsoft.com/office/2006/metadata/properties" ma:root="true" ma:fieldsID="adfc70a45b368461669dbdfa8357d087" ns3:_="">
    <xsd:import namespace="d0640473-7254-4dee-a68e-1aa7dfe87080"/>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640473-7254-4dee-a68e-1aa7dfe870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0FC039B-2CF8-4656-82DE-ED9F710D423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8EF507D-48B5-4095-8EC0-0A2D0772CB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640473-7254-4dee-a68e-1aa7dfe870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B7AD61-4BD4-4AF3-BD85-0CEB4570B67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Key Stats</vt:lpstr>
      <vt:lpstr>Language Index</vt:lpstr>
      <vt:lpstr>'Key Stats'!Print_Area</vt:lpstr>
      <vt:lpstr>'Key Stats'!Print_Titles</vt:lpstr>
    </vt:vector>
  </TitlesOfParts>
  <Manager>Capital IQ, Inc.</Manager>
  <Company>Capital IQ,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Capital IQ, Inc.</dc:creator>
  <cp:lastModifiedBy>DECOURCELLE Edouard</cp:lastModifiedBy>
  <cp:lastPrinted>2010-09-09T20:12:09Z</cp:lastPrinted>
  <dcterms:created xsi:type="dcterms:W3CDTF">2005-10-07T16:03:28Z</dcterms:created>
  <dcterms:modified xsi:type="dcterms:W3CDTF">2025-12-30T20:39:42Z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{63883C48-3D2B-4B35-915F-A550D70BF4D2}</vt:lpwstr>
  </property>
  <property fmtid="{D5CDD505-2E9C-101B-9397-08002B2CF9AE}" pid="3" name="ContentTypeId">
    <vt:lpwstr>0x010100BA41F65D8D85C643B279395178BBB636</vt:lpwstr>
  </property>
</Properties>
</file>